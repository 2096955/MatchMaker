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nthonylui/Segro/"/>
    </mc:Choice>
  </mc:AlternateContent>
  <xr:revisionPtr revIDLastSave="0" documentId="13_ncr:1_{6484D9FA-980E-DA47-A3B4-7A46E0818933}" xr6:coauthVersionLast="47" xr6:coauthVersionMax="47" xr10:uidLastSave="{00000000-0000-0000-0000-000000000000}"/>
  <bookViews>
    <workbookView xWindow="0" yWindow="880" windowWidth="40960" windowHeight="25720" activeTab="10" xr2:uid="{00000000-000D-0000-FFFF-FFFF00000000}"/>
  </bookViews>
  <sheets>
    <sheet name="Overview" sheetId="1" r:id="rId1"/>
    <sheet name="Gantt - POAP As Drawn" sheetId="3" state="hidden" r:id="rId2"/>
    <sheet name="Gantt - Revised" sheetId="4" r:id="rId3"/>
    <sheet name="Control Panel&gt;&gt;&gt;" sheetId="5" r:id="rId4"/>
    <sheet name="Rates" sheetId="6" r:id="rId5"/>
    <sheet name="POAP Build Cost" sheetId="7" r:id="rId6"/>
    <sheet name="5yr Run Cost" sheetId="8" r:id="rId7"/>
    <sheet name="R1 Pilot" sheetId="9" r:id="rId8"/>
    <sheet name="Agents" sheetId="10" r:id="rId9"/>
    <sheet name="Team Model" sheetId="11" r:id="rId10"/>
    <sheet name="Benchmarks" sheetId="12" r:id="rId11"/>
  </sheets>
  <definedNames>
    <definedName name="Agent_AGT_CAPEX">Agents!$F$6</definedName>
    <definedName name="Agent_AGT_GROWTH">Agents!$F$7</definedName>
    <definedName name="Agent_AGT_METER">Agents!$F$8</definedName>
    <definedName name="Agent_AGT_OPEX">Agents!$F$5</definedName>
    <definedName name="Agent_AGT_ORCH">Agents!$F$11</definedName>
    <definedName name="Agent_AGT_R1_CONTENT">Agents!$F$10</definedName>
    <definedName name="Agent_AGT_RECON">Agents!$F$9</definedName>
    <definedName name="AgentCount">'Control Panel&gt;&gt;&gt;'!$B$22</definedName>
    <definedName name="AgentStack">'Control Panel&gt;&gt;&gt;'!$B$20</definedName>
    <definedName name="AgentStackAgentY1">'5yr Run Cost'!$F$66</definedName>
    <definedName name="AgentStackFixedY1">'5yr Run Cost'!$F$67</definedName>
    <definedName name="AgentStackMcpY1">'5yr Run Cost'!$F$65</definedName>
    <definedName name="AgentStackRunY1">'5yr Run Cost'!$F$64</definedName>
    <definedName name="ClusterCount">'Control Panel&gt;&gt;&gt;'!$B$9</definedName>
    <definedName name="ContingencyPct">'Control Panel&gt;&gt;&gt;'!$B$12</definedName>
    <definedName name="DayRate">'Control Panel&gt;&gt;&gt;'!$B$11</definedName>
    <definedName name="EffortBasis">'Control Panel&gt;&gt;&gt;'!$B$6</definedName>
    <definedName name="EnvCount">'Control Panel&gt;&gt;&gt;'!$B$8</definedName>
    <definedName name="GanttCorrGoLive">'Gantt - Revised'!$BX$4</definedName>
    <definedName name="GanttFixedEnd">'Gantt - POAP As Drawn'!$J$192</definedName>
    <definedName name="GanttFoldFixedEnd">'Gantt - POAP As Drawn'!$J$147</definedName>
    <definedName name="GanttGoLive">'Gantt - POAP As Drawn'!$BW$4</definedName>
    <definedName name="GanttParentEnd">'Gantt - POAP As Drawn'!$J$147</definedName>
    <definedName name="GanttParentStart">'Gantt - POAP As Drawn'!$I$147</definedName>
    <definedName name="GanttProbeEnd">'Gantt - POAP As Drawn'!$J$6</definedName>
    <definedName name="GanttStepEnd">'Gantt - POAP As Drawn'!$J$152</definedName>
    <definedName name="GanttStepStart">'Gantt - POAP As Drawn'!$I$152</definedName>
    <definedName name="GoLiveDate">Overview!$B$26</definedName>
    <definedName name="GoLiveWeek">Overview!$B$25</definedName>
    <definedName name="HCL_Toggle">'Control Panel&gt;&gt;&gt;'!$B$5</definedName>
    <definedName name="Indexation">'Control Panel&gt;&gt;&gt;'!$B$13</definedName>
    <definedName name="McpServerCount">'Control Panel&gt;&gt;&gt;'!$B$23</definedName>
    <definedName name="ModelSKU">'Control Panel&gt;&gt;&gt;'!$B$19</definedName>
    <definedName name="ModelVendor">'Control Panel&gt;&gt;&gt;'!$B$18</definedName>
    <definedName name="NodeSize">'Control Panel&gt;&gt;&gt;'!$B$10</definedName>
    <definedName name="Observability">'Control Panel&gt;&gt;&gt;'!$B$17</definedName>
    <definedName name="OrgSize">'Control Panel&gt;&gt;&gt;'!$B$16</definedName>
    <definedName name="OverlapWeeks">'Control Panel&gt;&gt;&gt;'!$B$15</definedName>
    <definedName name="PilotTotal">'R1 Pilot'!$I$17</definedName>
    <definedName name="Platform">'Control Panel&gt;&gt;&gt;'!$B$7</definedName>
    <definedName name="RagMemoryShape">'Control Panel&gt;&gt;&gt;'!$B$21</definedName>
    <definedName name="RefStackY1_1x2">Overview!$D$41</definedName>
    <definedName name="RefStackY1_30x50">Overview!$D$43</definedName>
    <definedName name="RefStackY1_5x10">Overview!$D$42</definedName>
    <definedName name="RunY1">'5yr Run Cost'!$F$63</definedName>
    <definedName name="RunY2">'5yr Run Cost'!$G$63</definedName>
    <definedName name="RunY3">'5yr Run Cost'!$H$63</definedName>
    <definedName name="RunY4">'5yr Run Cost'!$I$63</definedName>
    <definedName name="RunY5">'5yr Run Cost'!$J$63</definedName>
    <definedName name="SlipWeeks">'Control Panel&gt;&gt;&gt;'!$B$14</definedName>
    <definedName name="TotalBuild">'POAP Build Cost'!$I$102</definedName>
    <definedName name="TotalRun5yr">'5yr Run Cost'!$K$63</definedName>
    <definedName name="WeeklyBurn">'POAP Build Cost'!$I$99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1" l="1"/>
  <c r="H22" i="1"/>
  <c r="J21" i="1"/>
  <c r="H21" i="1"/>
  <c r="J20" i="1"/>
  <c r="H20" i="1"/>
  <c r="J19" i="1"/>
  <c r="H19" i="1"/>
  <c r="J18" i="1"/>
  <c r="H18" i="1"/>
  <c r="J17" i="1"/>
  <c r="H17" i="1"/>
  <c r="J16" i="1"/>
  <c r="H16" i="1"/>
  <c r="K15" i="1"/>
  <c r="K16" i="1" s="1"/>
  <c r="J15" i="1"/>
  <c r="H15" i="1"/>
  <c r="K14" i="1"/>
  <c r="J14" i="1"/>
  <c r="I14" i="1"/>
  <c r="H14" i="1"/>
  <c r="K13" i="1"/>
  <c r="J13" i="1"/>
  <c r="H13" i="1"/>
  <c r="F18" i="12"/>
  <c r="F11" i="12"/>
  <c r="F9" i="12"/>
  <c r="F5" i="12"/>
  <c r="F11" i="10"/>
  <c r="F10" i="10"/>
  <c r="F9" i="10"/>
  <c r="F8" i="10"/>
  <c r="F7" i="10"/>
  <c r="F6" i="10"/>
  <c r="F5" i="10"/>
  <c r="A2" i="10"/>
  <c r="H16" i="9"/>
  <c r="G16" i="9"/>
  <c r="I16" i="9" s="1"/>
  <c r="I15" i="9"/>
  <c r="H15" i="9"/>
  <c r="G15" i="9"/>
  <c r="H14" i="9"/>
  <c r="G14" i="9"/>
  <c r="I14" i="9" s="1"/>
  <c r="H13" i="9"/>
  <c r="I13" i="9" s="1"/>
  <c r="G13" i="9"/>
  <c r="H12" i="9"/>
  <c r="G12" i="9"/>
  <c r="I12" i="9" s="1"/>
  <c r="H11" i="9"/>
  <c r="G11" i="9"/>
  <c r="I11" i="9" s="1"/>
  <c r="H10" i="9"/>
  <c r="G10" i="9"/>
  <c r="I10" i="9" s="1"/>
  <c r="H9" i="9"/>
  <c r="I9" i="9" s="1"/>
  <c r="I17" i="9" s="1"/>
  <c r="G9" i="9"/>
  <c r="A2" i="9"/>
  <c r="F67" i="8"/>
  <c r="J62" i="8"/>
  <c r="I62" i="8"/>
  <c r="H62" i="8"/>
  <c r="G62" i="8"/>
  <c r="F62" i="8"/>
  <c r="E62" i="8"/>
  <c r="K61" i="8"/>
  <c r="J61" i="8"/>
  <c r="I61" i="8"/>
  <c r="H61" i="8"/>
  <c r="G61" i="8"/>
  <c r="F61" i="8"/>
  <c r="E61" i="8"/>
  <c r="J60" i="8"/>
  <c r="I60" i="8"/>
  <c r="H60" i="8"/>
  <c r="G60" i="8"/>
  <c r="F60" i="8"/>
  <c r="E60" i="8"/>
  <c r="J59" i="8"/>
  <c r="I59" i="8"/>
  <c r="K59" i="8" s="1"/>
  <c r="H59" i="8"/>
  <c r="G59" i="8"/>
  <c r="F59" i="8"/>
  <c r="E59" i="8"/>
  <c r="J58" i="8"/>
  <c r="I58" i="8"/>
  <c r="H58" i="8"/>
  <c r="G58" i="8"/>
  <c r="F58" i="8"/>
  <c r="K58" i="8" s="1"/>
  <c r="E58" i="8"/>
  <c r="J57" i="8"/>
  <c r="I57" i="8"/>
  <c r="K57" i="8" s="1"/>
  <c r="H57" i="8"/>
  <c r="G57" i="8"/>
  <c r="F57" i="8"/>
  <c r="E57" i="8"/>
  <c r="J56" i="8"/>
  <c r="I56" i="8"/>
  <c r="H56" i="8"/>
  <c r="G56" i="8"/>
  <c r="F56" i="8"/>
  <c r="K56" i="8" s="1"/>
  <c r="E56" i="8"/>
  <c r="J55" i="8"/>
  <c r="K55" i="8" s="1"/>
  <c r="I55" i="8"/>
  <c r="H55" i="8"/>
  <c r="G55" i="8"/>
  <c r="F55" i="8"/>
  <c r="E55" i="8"/>
  <c r="K54" i="8"/>
  <c r="J54" i="8"/>
  <c r="I54" i="8"/>
  <c r="H54" i="8"/>
  <c r="G54" i="8"/>
  <c r="F54" i="8"/>
  <c r="E54" i="8"/>
  <c r="J53" i="8"/>
  <c r="I53" i="8"/>
  <c r="H53" i="8"/>
  <c r="K53" i="8" s="1"/>
  <c r="G53" i="8"/>
  <c r="F53" i="8"/>
  <c r="E53" i="8"/>
  <c r="K52" i="8"/>
  <c r="J52" i="8"/>
  <c r="I52" i="8"/>
  <c r="H52" i="8"/>
  <c r="G52" i="8"/>
  <c r="F52" i="8"/>
  <c r="E52" i="8"/>
  <c r="J51" i="8"/>
  <c r="I51" i="8"/>
  <c r="H51" i="8"/>
  <c r="G51" i="8"/>
  <c r="F51" i="8"/>
  <c r="K51" i="8" s="1"/>
  <c r="E51" i="8"/>
  <c r="K50" i="8"/>
  <c r="J50" i="8"/>
  <c r="I50" i="8"/>
  <c r="H50" i="8"/>
  <c r="G50" i="8"/>
  <c r="F50" i="8"/>
  <c r="E50" i="8"/>
  <c r="J49" i="8"/>
  <c r="I49" i="8"/>
  <c r="H49" i="8"/>
  <c r="G49" i="8"/>
  <c r="F49" i="8"/>
  <c r="E49" i="8"/>
  <c r="J48" i="8"/>
  <c r="I48" i="8"/>
  <c r="H48" i="8"/>
  <c r="G48" i="8"/>
  <c r="F48" i="8"/>
  <c r="E48" i="8"/>
  <c r="J47" i="8"/>
  <c r="I47" i="8"/>
  <c r="H47" i="8"/>
  <c r="G47" i="8"/>
  <c r="F47" i="8"/>
  <c r="K47" i="8" s="1"/>
  <c r="E47" i="8"/>
  <c r="J46" i="8"/>
  <c r="I46" i="8"/>
  <c r="H46" i="8"/>
  <c r="G46" i="8"/>
  <c r="F46" i="8"/>
  <c r="K46" i="8" s="1"/>
  <c r="E46" i="8"/>
  <c r="K45" i="8"/>
  <c r="J45" i="8"/>
  <c r="I45" i="8"/>
  <c r="H45" i="8"/>
  <c r="G45" i="8"/>
  <c r="F45" i="8"/>
  <c r="E45" i="8"/>
  <c r="J44" i="8"/>
  <c r="I44" i="8"/>
  <c r="H44" i="8"/>
  <c r="G44" i="8"/>
  <c r="K44" i="8" s="1"/>
  <c r="F44" i="8"/>
  <c r="E44" i="8"/>
  <c r="K43" i="8"/>
  <c r="J43" i="8"/>
  <c r="I43" i="8"/>
  <c r="H43" i="8"/>
  <c r="G43" i="8"/>
  <c r="F43" i="8"/>
  <c r="E43" i="8"/>
  <c r="J42" i="8"/>
  <c r="I42" i="8"/>
  <c r="H42" i="8"/>
  <c r="G42" i="8"/>
  <c r="F42" i="8"/>
  <c r="E42" i="8"/>
  <c r="J41" i="8"/>
  <c r="I41" i="8"/>
  <c r="H41" i="8"/>
  <c r="K41" i="8" s="1"/>
  <c r="G41" i="8"/>
  <c r="F41" i="8"/>
  <c r="E41" i="8"/>
  <c r="J40" i="8"/>
  <c r="I40" i="8"/>
  <c r="H40" i="8"/>
  <c r="G40" i="8"/>
  <c r="F40" i="8"/>
  <c r="K40" i="8" s="1"/>
  <c r="E40" i="8"/>
  <c r="J39" i="8"/>
  <c r="I39" i="8"/>
  <c r="H39" i="8"/>
  <c r="G39" i="8"/>
  <c r="F39" i="8"/>
  <c r="K39" i="8" s="1"/>
  <c r="E39" i="8"/>
  <c r="K38" i="8"/>
  <c r="J38" i="8"/>
  <c r="I38" i="8"/>
  <c r="H38" i="8"/>
  <c r="G38" i="8"/>
  <c r="F38" i="8"/>
  <c r="E38" i="8"/>
  <c r="J37" i="8"/>
  <c r="I37" i="8"/>
  <c r="H37" i="8"/>
  <c r="G37" i="8"/>
  <c r="F37" i="8"/>
  <c r="K37" i="8" s="1"/>
  <c r="E37" i="8"/>
  <c r="J36" i="8"/>
  <c r="I36" i="8"/>
  <c r="K36" i="8" s="1"/>
  <c r="H36" i="8"/>
  <c r="G36" i="8"/>
  <c r="F36" i="8"/>
  <c r="E36" i="8"/>
  <c r="J35" i="8"/>
  <c r="I35" i="8"/>
  <c r="H35" i="8"/>
  <c r="G35" i="8"/>
  <c r="E35" i="8"/>
  <c r="F35" i="8" s="1"/>
  <c r="K35" i="8" s="1"/>
  <c r="J34" i="8"/>
  <c r="I34" i="8"/>
  <c r="H34" i="8"/>
  <c r="G34" i="8"/>
  <c r="K34" i="8" s="1"/>
  <c r="F34" i="8"/>
  <c r="G33" i="8"/>
  <c r="F33" i="8"/>
  <c r="E33" i="8"/>
  <c r="J32" i="8"/>
  <c r="I32" i="8"/>
  <c r="H32" i="8"/>
  <c r="G32" i="8"/>
  <c r="E32" i="8"/>
  <c r="F32" i="8" s="1"/>
  <c r="E31" i="8"/>
  <c r="E30" i="8"/>
  <c r="J30" i="8" s="1"/>
  <c r="J29" i="8"/>
  <c r="I29" i="8"/>
  <c r="K29" i="8" s="1"/>
  <c r="H29" i="8"/>
  <c r="G29" i="8"/>
  <c r="F29" i="8"/>
  <c r="E29" i="8"/>
  <c r="F28" i="8"/>
  <c r="E28" i="8"/>
  <c r="J27" i="8"/>
  <c r="I27" i="8"/>
  <c r="K27" i="8" s="1"/>
  <c r="H27" i="8"/>
  <c r="G27" i="8"/>
  <c r="F27" i="8"/>
  <c r="E27" i="8"/>
  <c r="H26" i="8"/>
  <c r="F26" i="8"/>
  <c r="E26" i="8"/>
  <c r="I25" i="8"/>
  <c r="F25" i="8"/>
  <c r="E25" i="8"/>
  <c r="J25" i="8" s="1"/>
  <c r="F24" i="8"/>
  <c r="E24" i="8"/>
  <c r="J23" i="8"/>
  <c r="I23" i="8"/>
  <c r="H23" i="8"/>
  <c r="F23" i="8"/>
  <c r="E23" i="8"/>
  <c r="G23" i="8" s="1"/>
  <c r="K23" i="8" s="1"/>
  <c r="K22" i="8"/>
  <c r="J22" i="8"/>
  <c r="I22" i="8"/>
  <c r="H22" i="8"/>
  <c r="G22" i="8"/>
  <c r="F22" i="8"/>
  <c r="E22" i="8"/>
  <c r="J21" i="8"/>
  <c r="I21" i="8"/>
  <c r="H21" i="8"/>
  <c r="G21" i="8"/>
  <c r="F21" i="8"/>
  <c r="K21" i="8" s="1"/>
  <c r="E21" i="8"/>
  <c r="J20" i="8"/>
  <c r="I20" i="8"/>
  <c r="H20" i="8"/>
  <c r="E20" i="8"/>
  <c r="G20" i="8" s="1"/>
  <c r="I19" i="8"/>
  <c r="H19" i="8"/>
  <c r="G19" i="8"/>
  <c r="E19" i="8"/>
  <c r="J19" i="8" s="1"/>
  <c r="J18" i="8"/>
  <c r="I18" i="8"/>
  <c r="H18" i="8"/>
  <c r="G18" i="8"/>
  <c r="K18" i="8" s="1"/>
  <c r="F18" i="8"/>
  <c r="E18" i="8"/>
  <c r="F17" i="8"/>
  <c r="E17" i="8"/>
  <c r="J16" i="8"/>
  <c r="I16" i="8"/>
  <c r="H16" i="8"/>
  <c r="G16" i="8"/>
  <c r="F16" i="8"/>
  <c r="K16" i="8" s="1"/>
  <c r="E16" i="8"/>
  <c r="E15" i="8"/>
  <c r="E14" i="8"/>
  <c r="J13" i="8"/>
  <c r="I13" i="8"/>
  <c r="H13" i="8"/>
  <c r="F13" i="8"/>
  <c r="K13" i="8" s="1"/>
  <c r="E13" i="8"/>
  <c r="G13" i="8" s="1"/>
  <c r="J12" i="8"/>
  <c r="I12" i="8"/>
  <c r="H12" i="8"/>
  <c r="G12" i="8"/>
  <c r="E12" i="8"/>
  <c r="F12" i="8" s="1"/>
  <c r="J11" i="8"/>
  <c r="I11" i="8"/>
  <c r="H11" i="8"/>
  <c r="G11" i="8"/>
  <c r="F11" i="8"/>
  <c r="K11" i="8" s="1"/>
  <c r="E11" i="8"/>
  <c r="G10" i="8"/>
  <c r="E10" i="8"/>
  <c r="K9" i="8"/>
  <c r="J9" i="8"/>
  <c r="I9" i="8"/>
  <c r="H9" i="8"/>
  <c r="G9" i="8"/>
  <c r="F9" i="8"/>
  <c r="E9" i="8"/>
  <c r="J8" i="8"/>
  <c r="I8" i="8"/>
  <c r="H8" i="8"/>
  <c r="G8" i="8"/>
  <c r="F8" i="8"/>
  <c r="K8" i="8" s="1"/>
  <c r="E8" i="8"/>
  <c r="J7" i="8"/>
  <c r="I7" i="8"/>
  <c r="H7" i="8"/>
  <c r="K7" i="8" s="1"/>
  <c r="G7" i="8"/>
  <c r="F7" i="8"/>
  <c r="E7" i="8"/>
  <c r="J6" i="8"/>
  <c r="I6" i="8"/>
  <c r="H6" i="8"/>
  <c r="G6" i="8"/>
  <c r="K6" i="8" s="1"/>
  <c r="F6" i="8"/>
  <c r="E6" i="8"/>
  <c r="J5" i="8"/>
  <c r="I5" i="8"/>
  <c r="H5" i="8"/>
  <c r="G5" i="8"/>
  <c r="F5" i="8"/>
  <c r="E5" i="8"/>
  <c r="A2" i="8"/>
  <c r="H93" i="7"/>
  <c r="G93" i="7"/>
  <c r="I93" i="7" s="1"/>
  <c r="H92" i="7"/>
  <c r="G92" i="7"/>
  <c r="I92" i="7" s="1"/>
  <c r="I91" i="7"/>
  <c r="H91" i="7"/>
  <c r="G91" i="7"/>
  <c r="H90" i="7"/>
  <c r="G90" i="7"/>
  <c r="I90" i="7" s="1"/>
  <c r="I89" i="7"/>
  <c r="H89" i="7"/>
  <c r="G89" i="7"/>
  <c r="G84" i="7"/>
  <c r="I84" i="7" s="1"/>
  <c r="I83" i="7"/>
  <c r="H83" i="7"/>
  <c r="G83" i="7"/>
  <c r="H82" i="7"/>
  <c r="G82" i="7"/>
  <c r="I82" i="7" s="1"/>
  <c r="H81" i="7"/>
  <c r="G81" i="7"/>
  <c r="I81" i="7" s="1"/>
  <c r="H80" i="7"/>
  <c r="G80" i="7"/>
  <c r="I80" i="7" s="1"/>
  <c r="I79" i="7"/>
  <c r="I85" i="7" s="1"/>
  <c r="H79" i="7"/>
  <c r="G79" i="7"/>
  <c r="G74" i="7"/>
  <c r="I74" i="7" s="1"/>
  <c r="H73" i="7"/>
  <c r="G73" i="7"/>
  <c r="I73" i="7" s="1"/>
  <c r="I72" i="7"/>
  <c r="H72" i="7"/>
  <c r="G72" i="7"/>
  <c r="I71" i="7"/>
  <c r="H71" i="7"/>
  <c r="G71" i="7"/>
  <c r="H70" i="7"/>
  <c r="G70" i="7"/>
  <c r="I70" i="7" s="1"/>
  <c r="H69" i="7"/>
  <c r="G69" i="7"/>
  <c r="I69" i="7" s="1"/>
  <c r="H68" i="7"/>
  <c r="G68" i="7"/>
  <c r="I68" i="7" s="1"/>
  <c r="H67" i="7"/>
  <c r="G67" i="7"/>
  <c r="I67" i="7" s="1"/>
  <c r="H66" i="7"/>
  <c r="G66" i="7"/>
  <c r="I66" i="7" s="1"/>
  <c r="I75" i="7" s="1"/>
  <c r="I61" i="7"/>
  <c r="G61" i="7"/>
  <c r="H60" i="7"/>
  <c r="G60" i="7"/>
  <c r="I60" i="7" s="1"/>
  <c r="I59" i="7"/>
  <c r="H59" i="7"/>
  <c r="G59" i="7"/>
  <c r="I58" i="7"/>
  <c r="H58" i="7"/>
  <c r="G58" i="7"/>
  <c r="I57" i="7"/>
  <c r="H57" i="7"/>
  <c r="G57" i="7"/>
  <c r="H56" i="7"/>
  <c r="G56" i="7"/>
  <c r="I56" i="7" s="1"/>
  <c r="I55" i="7"/>
  <c r="H55" i="7"/>
  <c r="G55" i="7"/>
  <c r="H54" i="7"/>
  <c r="G54" i="7"/>
  <c r="I54" i="7" s="1"/>
  <c r="I49" i="7"/>
  <c r="H49" i="7"/>
  <c r="G49" i="7"/>
  <c r="I48" i="7"/>
  <c r="H48" i="7"/>
  <c r="G48" i="7"/>
  <c r="I47" i="7"/>
  <c r="G47" i="7"/>
  <c r="H46" i="7"/>
  <c r="G46" i="7"/>
  <c r="I46" i="7" s="1"/>
  <c r="H45" i="7"/>
  <c r="G45" i="7"/>
  <c r="I45" i="7" s="1"/>
  <c r="H44" i="7"/>
  <c r="G44" i="7"/>
  <c r="I44" i="7" s="1"/>
  <c r="I43" i="7"/>
  <c r="H43" i="7"/>
  <c r="G43" i="7"/>
  <c r="I42" i="7"/>
  <c r="H42" i="7"/>
  <c r="G42" i="7"/>
  <c r="H41" i="7"/>
  <c r="G41" i="7"/>
  <c r="I41" i="7" s="1"/>
  <c r="H40" i="7"/>
  <c r="G40" i="7"/>
  <c r="I40" i="7" s="1"/>
  <c r="H39" i="7"/>
  <c r="G39" i="7"/>
  <c r="I39" i="7" s="1"/>
  <c r="H38" i="7"/>
  <c r="G38" i="7"/>
  <c r="I38" i="7" s="1"/>
  <c r="H37" i="7"/>
  <c r="G37" i="7"/>
  <c r="I37" i="7" s="1"/>
  <c r="H36" i="7"/>
  <c r="G36" i="7"/>
  <c r="I36" i="7" s="1"/>
  <c r="I35" i="7"/>
  <c r="H35" i="7"/>
  <c r="G35" i="7"/>
  <c r="I34" i="7"/>
  <c r="H34" i="7"/>
  <c r="G34" i="7"/>
  <c r="H33" i="7"/>
  <c r="G33" i="7"/>
  <c r="I33" i="7" s="1"/>
  <c r="I32" i="7"/>
  <c r="H32" i="7"/>
  <c r="G32" i="7"/>
  <c r="I31" i="7"/>
  <c r="H31" i="7"/>
  <c r="G31" i="7"/>
  <c r="I30" i="7"/>
  <c r="H30" i="7"/>
  <c r="G30" i="7"/>
  <c r="I29" i="7"/>
  <c r="H29" i="7"/>
  <c r="G29" i="7"/>
  <c r="H28" i="7"/>
  <c r="G28" i="7"/>
  <c r="I28" i="7" s="1"/>
  <c r="H27" i="7"/>
  <c r="G27" i="7"/>
  <c r="I27" i="7" s="1"/>
  <c r="I26" i="7"/>
  <c r="H26" i="7"/>
  <c r="G26" i="7"/>
  <c r="H25" i="7"/>
  <c r="G25" i="7"/>
  <c r="I25" i="7" s="1"/>
  <c r="I24" i="7"/>
  <c r="G24" i="7"/>
  <c r="H23" i="7"/>
  <c r="G23" i="7"/>
  <c r="I23" i="7" s="1"/>
  <c r="H22" i="7"/>
  <c r="G22" i="7"/>
  <c r="I22" i="7" s="1"/>
  <c r="I21" i="7"/>
  <c r="H21" i="7"/>
  <c r="G21" i="7"/>
  <c r="H20" i="7"/>
  <c r="G20" i="7"/>
  <c r="I20" i="7" s="1"/>
  <c r="I19" i="7"/>
  <c r="H19" i="7"/>
  <c r="G19" i="7"/>
  <c r="I14" i="7"/>
  <c r="G14" i="7"/>
  <c r="I13" i="7"/>
  <c r="G13" i="7"/>
  <c r="H12" i="7"/>
  <c r="G12" i="7"/>
  <c r="I12" i="7" s="1"/>
  <c r="H11" i="7"/>
  <c r="G11" i="7"/>
  <c r="I11" i="7" s="1"/>
  <c r="H10" i="7"/>
  <c r="G10" i="7"/>
  <c r="I10" i="7" s="1"/>
  <c r="H9" i="7"/>
  <c r="G9" i="7"/>
  <c r="I9" i="7" s="1"/>
  <c r="I8" i="7"/>
  <c r="H8" i="7"/>
  <c r="G8" i="7"/>
  <c r="H7" i="7"/>
  <c r="G7" i="7"/>
  <c r="I7" i="7" s="1"/>
  <c r="H6" i="7"/>
  <c r="G6" i="7"/>
  <c r="I6" i="7" s="1"/>
  <c r="A2" i="7"/>
  <c r="C102" i="6"/>
  <c r="H24" i="7" s="1"/>
  <c r="I41" i="4"/>
  <c r="I37" i="4"/>
  <c r="BU30" i="4"/>
  <c r="J30" i="4"/>
  <c r="I30" i="4"/>
  <c r="I25" i="4"/>
  <c r="I20" i="4"/>
  <c r="I15" i="4"/>
  <c r="I10" i="4"/>
  <c r="I6" i="4"/>
  <c r="BT5" i="4"/>
  <c r="BS5" i="4"/>
  <c r="BR5" i="4"/>
  <c r="BQ5" i="4"/>
  <c r="BP5" i="4"/>
  <c r="BO5" i="4"/>
  <c r="BN5" i="4"/>
  <c r="BM5" i="4"/>
  <c r="BK5" i="4"/>
  <c r="BJ5" i="4"/>
  <c r="BI5" i="4"/>
  <c r="BH5" i="4"/>
  <c r="BF5" i="4"/>
  <c r="BD5" i="4"/>
  <c r="BC5" i="4"/>
  <c r="BB5" i="4"/>
  <c r="BA5" i="4"/>
  <c r="AZ5" i="4"/>
  <c r="AY5" i="4"/>
  <c r="AX5" i="4"/>
  <c r="AW5" i="4"/>
  <c r="AV5" i="4"/>
  <c r="AU5" i="4"/>
  <c r="AS5" i="4"/>
  <c r="AR5" i="4"/>
  <c r="AP5" i="4"/>
  <c r="AN5" i="4"/>
  <c r="AM5" i="4"/>
  <c r="AL5" i="4"/>
  <c r="AK5" i="4"/>
  <c r="AJ5" i="4"/>
  <c r="AI5" i="4"/>
  <c r="AH5" i="4"/>
  <c r="AG5" i="4"/>
  <c r="AF5" i="4"/>
  <c r="AE5" i="4"/>
  <c r="AD5" i="4"/>
  <c r="AC5" i="4"/>
  <c r="Z5" i="4"/>
  <c r="X5" i="4"/>
  <c r="W5" i="4"/>
  <c r="V5" i="4"/>
  <c r="U5" i="4"/>
  <c r="T5" i="4"/>
  <c r="S5" i="4"/>
  <c r="R5" i="4"/>
  <c r="Q5" i="4"/>
  <c r="P5" i="4"/>
  <c r="O5" i="4"/>
  <c r="N5" i="4"/>
  <c r="M5" i="4"/>
  <c r="L5" i="4"/>
  <c r="BZ4" i="4"/>
  <c r="BY4" i="4"/>
  <c r="BX4" i="4"/>
  <c r="BE5" i="4" s="1"/>
  <c r="BT348" i="3"/>
  <c r="BC348" i="3"/>
  <c r="J348" i="3"/>
  <c r="I348" i="3"/>
  <c r="I342" i="3"/>
  <c r="BT341" i="3"/>
  <c r="BJ341" i="3"/>
  <c r="BD341" i="3"/>
  <c r="AZ341" i="3"/>
  <c r="AY341" i="3"/>
  <c r="AM341" i="3"/>
  <c r="AI341" i="3"/>
  <c r="AF341" i="3"/>
  <c r="AE341" i="3"/>
  <c r="R341" i="3"/>
  <c r="O341" i="3"/>
  <c r="K341" i="3"/>
  <c r="J341" i="3"/>
  <c r="I341" i="3"/>
  <c r="BT334" i="3"/>
  <c r="BS334" i="3"/>
  <c r="BR334" i="3"/>
  <c r="BH334" i="3"/>
  <c r="BE334" i="3"/>
  <c r="BB334" i="3"/>
  <c r="BA334" i="3"/>
  <c r="AQ334" i="3"/>
  <c r="J334" i="3"/>
  <c r="I334" i="3"/>
  <c r="I332" i="3"/>
  <c r="BT327" i="3"/>
  <c r="BQ327" i="3"/>
  <c r="BO327" i="3"/>
  <c r="BN327" i="3"/>
  <c r="BM327" i="3"/>
  <c r="BL327" i="3"/>
  <c r="BK327" i="3"/>
  <c r="BJ327" i="3"/>
  <c r="BG327" i="3"/>
  <c r="BA327" i="3"/>
  <c r="AY327" i="3"/>
  <c r="AX327" i="3"/>
  <c r="AW327" i="3"/>
  <c r="AV327" i="3"/>
  <c r="AU327" i="3"/>
  <c r="AT327" i="3"/>
  <c r="AQ327" i="3"/>
  <c r="AK327" i="3"/>
  <c r="AI327" i="3"/>
  <c r="AH327" i="3"/>
  <c r="AG327" i="3"/>
  <c r="AF327" i="3"/>
  <c r="AE327" i="3"/>
  <c r="AD327" i="3"/>
  <c r="AA327" i="3"/>
  <c r="U327" i="3"/>
  <c r="S327" i="3"/>
  <c r="R327" i="3"/>
  <c r="Q327" i="3"/>
  <c r="P327" i="3"/>
  <c r="O327" i="3"/>
  <c r="N327" i="3"/>
  <c r="K327" i="3"/>
  <c r="J327" i="3"/>
  <c r="I327" i="3"/>
  <c r="BI327" i="3" s="1"/>
  <c r="I325" i="3"/>
  <c r="I324" i="3"/>
  <c r="I321" i="3"/>
  <c r="BR320" i="3"/>
  <c r="BQ320" i="3"/>
  <c r="BP320" i="3"/>
  <c r="BJ320" i="3"/>
  <c r="BI320" i="3"/>
  <c r="BH320" i="3"/>
  <c r="BG320" i="3"/>
  <c r="BF320" i="3"/>
  <c r="BE320" i="3"/>
  <c r="BB320" i="3"/>
  <c r="BA320" i="3"/>
  <c r="AZ320" i="3"/>
  <c r="AY320" i="3"/>
  <c r="AX320" i="3"/>
  <c r="AR320" i="3"/>
  <c r="AQ320" i="3"/>
  <c r="AP320" i="3"/>
  <c r="AO320" i="3"/>
  <c r="AL320" i="3"/>
  <c r="AK320" i="3"/>
  <c r="AJ320" i="3"/>
  <c r="AI320" i="3"/>
  <c r="AH320" i="3"/>
  <c r="AG320" i="3"/>
  <c r="AF320" i="3"/>
  <c r="Z320" i="3"/>
  <c r="Y320" i="3"/>
  <c r="V320" i="3"/>
  <c r="U320" i="3"/>
  <c r="T320" i="3"/>
  <c r="S320" i="3"/>
  <c r="R320" i="3"/>
  <c r="Q320" i="3"/>
  <c r="P320" i="3"/>
  <c r="O320" i="3"/>
  <c r="N320" i="3"/>
  <c r="J320" i="3"/>
  <c r="AT320" i="3" s="1"/>
  <c r="I320" i="3"/>
  <c r="I318" i="3"/>
  <c r="BT313" i="3"/>
  <c r="BR313" i="3"/>
  <c r="BD313" i="3"/>
  <c r="BC313" i="3"/>
  <c r="BB313" i="3"/>
  <c r="BA313" i="3"/>
  <c r="AS313" i="3"/>
  <c r="AE313" i="3"/>
  <c r="AD313" i="3"/>
  <c r="AC313" i="3"/>
  <c r="AB313" i="3"/>
  <c r="P313" i="3"/>
  <c r="J313" i="3"/>
  <c r="I313" i="3"/>
  <c r="BT306" i="3"/>
  <c r="I306" i="3"/>
  <c r="I301" i="3"/>
  <c r="BT296" i="3"/>
  <c r="I296" i="3"/>
  <c r="I294" i="3"/>
  <c r="I293" i="3"/>
  <c r="BT291" i="3"/>
  <c r="BS291" i="3"/>
  <c r="BR291" i="3"/>
  <c r="BQ291" i="3"/>
  <c r="BO291" i="3"/>
  <c r="BN291" i="3"/>
  <c r="BM291" i="3"/>
  <c r="BL291" i="3"/>
  <c r="BK291" i="3"/>
  <c r="BJ291" i="3"/>
  <c r="BI291" i="3"/>
  <c r="BH291" i="3"/>
  <c r="BG291" i="3"/>
  <c r="BD291" i="3"/>
  <c r="BC291" i="3"/>
  <c r="BB291" i="3"/>
  <c r="BA291" i="3"/>
  <c r="AY291" i="3"/>
  <c r="AX291" i="3"/>
  <c r="AW291" i="3"/>
  <c r="AV291" i="3"/>
  <c r="AU291" i="3"/>
  <c r="AT291" i="3"/>
  <c r="AS291" i="3"/>
  <c r="AR291" i="3"/>
  <c r="AQ291" i="3"/>
  <c r="AN291" i="3"/>
  <c r="AM291" i="3"/>
  <c r="AL291" i="3"/>
  <c r="AK291" i="3"/>
  <c r="AJ291" i="3"/>
  <c r="AI291" i="3"/>
  <c r="AH291" i="3"/>
  <c r="AG291" i="3"/>
  <c r="AF291" i="3"/>
  <c r="AE291" i="3"/>
  <c r="AD291" i="3"/>
  <c r="AC291" i="3"/>
  <c r="AB291" i="3"/>
  <c r="AA291" i="3"/>
  <c r="X291" i="3"/>
  <c r="W291" i="3"/>
  <c r="V291" i="3"/>
  <c r="U291" i="3"/>
  <c r="T291" i="3"/>
  <c r="S291" i="3"/>
  <c r="R291" i="3"/>
  <c r="Q291" i="3"/>
  <c r="P291" i="3"/>
  <c r="O291" i="3"/>
  <c r="N291" i="3"/>
  <c r="M291" i="3"/>
  <c r="L291" i="3"/>
  <c r="K291" i="3"/>
  <c r="J291" i="3"/>
  <c r="AP291" i="3" s="1"/>
  <c r="I291" i="3"/>
  <c r="BT286" i="3"/>
  <c r="I286" i="3"/>
  <c r="BG281" i="3"/>
  <c r="BF281" i="3"/>
  <c r="BE281" i="3"/>
  <c r="BD281" i="3"/>
  <c r="BC281" i="3"/>
  <c r="AN281" i="3"/>
  <c r="AM281" i="3"/>
  <c r="AL281" i="3"/>
  <c r="AK281" i="3"/>
  <c r="AH281" i="3"/>
  <c r="W281" i="3"/>
  <c r="V281" i="3"/>
  <c r="U281" i="3"/>
  <c r="R281" i="3"/>
  <c r="Q281" i="3"/>
  <c r="P281" i="3"/>
  <c r="J281" i="3"/>
  <c r="BH281" i="3" s="1"/>
  <c r="I281" i="3"/>
  <c r="BM281" i="3" s="1"/>
  <c r="I277" i="3"/>
  <c r="I273" i="3"/>
  <c r="I269" i="3"/>
  <c r="I267" i="3"/>
  <c r="BT265" i="3"/>
  <c r="BS265" i="3"/>
  <c r="BR265" i="3"/>
  <c r="BQ265" i="3"/>
  <c r="BP265" i="3"/>
  <c r="BJ265" i="3"/>
  <c r="BD265" i="3"/>
  <c r="BC265" i="3"/>
  <c r="BB265" i="3"/>
  <c r="BA265" i="3"/>
  <c r="AZ265" i="3"/>
  <c r="AT265" i="3"/>
  <c r="AN265" i="3"/>
  <c r="AM265" i="3"/>
  <c r="AL265" i="3"/>
  <c r="AK265" i="3"/>
  <c r="AJ265" i="3"/>
  <c r="AD265" i="3"/>
  <c r="X265" i="3"/>
  <c r="W265" i="3"/>
  <c r="V265" i="3"/>
  <c r="U265" i="3"/>
  <c r="T265" i="3"/>
  <c r="N265" i="3"/>
  <c r="J265" i="3"/>
  <c r="AC265" i="3" s="1"/>
  <c r="I265" i="3"/>
  <c r="BO265" i="3" s="1"/>
  <c r="BQ260" i="3"/>
  <c r="BP260" i="3"/>
  <c r="BO260" i="3"/>
  <c r="BN260" i="3"/>
  <c r="BM260" i="3"/>
  <c r="BG260" i="3"/>
  <c r="BA260" i="3"/>
  <c r="AZ260" i="3"/>
  <c r="AY260" i="3"/>
  <c r="AX260" i="3"/>
  <c r="AW260" i="3"/>
  <c r="AQ260" i="3"/>
  <c r="AK260" i="3"/>
  <c r="AJ260" i="3"/>
  <c r="AI260" i="3"/>
  <c r="AH260" i="3"/>
  <c r="AG260" i="3"/>
  <c r="AA260" i="3"/>
  <c r="W260" i="3"/>
  <c r="U260" i="3"/>
  <c r="T260" i="3"/>
  <c r="S260" i="3"/>
  <c r="R260" i="3"/>
  <c r="Q260" i="3"/>
  <c r="K260" i="3"/>
  <c r="J260" i="3"/>
  <c r="I260" i="3"/>
  <c r="BL260" i="3" s="1"/>
  <c r="I258" i="3"/>
  <c r="I257" i="3"/>
  <c r="I256" i="3"/>
  <c r="I254" i="3"/>
  <c r="BT252" i="3"/>
  <c r="BS252" i="3"/>
  <c r="BR252" i="3"/>
  <c r="BQ252" i="3"/>
  <c r="BP252" i="3"/>
  <c r="BO252" i="3"/>
  <c r="BN252" i="3"/>
  <c r="BM252" i="3"/>
  <c r="BL252" i="3"/>
  <c r="BK252" i="3"/>
  <c r="BJ252" i="3"/>
  <c r="BI252" i="3"/>
  <c r="BH252" i="3"/>
  <c r="BG252" i="3"/>
  <c r="BD252" i="3"/>
  <c r="BC252" i="3"/>
  <c r="BB252" i="3"/>
  <c r="BA252" i="3"/>
  <c r="AZ252" i="3"/>
  <c r="AY252" i="3"/>
  <c r="AX252" i="3"/>
  <c r="AW252" i="3"/>
  <c r="AV252" i="3"/>
  <c r="AU252" i="3"/>
  <c r="AT252" i="3"/>
  <c r="AS252" i="3"/>
  <c r="AR252" i="3"/>
  <c r="AQ252" i="3"/>
  <c r="AN252" i="3"/>
  <c r="AM252" i="3"/>
  <c r="AL252" i="3"/>
  <c r="AK252" i="3"/>
  <c r="AJ252" i="3"/>
  <c r="AI252" i="3"/>
  <c r="AH252" i="3"/>
  <c r="AG252" i="3"/>
  <c r="AF252" i="3"/>
  <c r="AE252" i="3"/>
  <c r="AD252" i="3"/>
  <c r="AC252" i="3"/>
  <c r="AB252" i="3"/>
  <c r="AA252" i="3"/>
  <c r="X252" i="3"/>
  <c r="W252" i="3"/>
  <c r="V252" i="3"/>
  <c r="U252" i="3"/>
  <c r="T252" i="3"/>
  <c r="S252" i="3"/>
  <c r="R252" i="3"/>
  <c r="Q252" i="3"/>
  <c r="P252" i="3"/>
  <c r="O252" i="3"/>
  <c r="N252" i="3"/>
  <c r="M252" i="3"/>
  <c r="L252" i="3"/>
  <c r="K252" i="3"/>
  <c r="J252" i="3"/>
  <c r="I252" i="3"/>
  <c r="BT247" i="3"/>
  <c r="BN247" i="3"/>
  <c r="BM247" i="3"/>
  <c r="BL247" i="3"/>
  <c r="BK247" i="3"/>
  <c r="AV247" i="3"/>
  <c r="AB247" i="3"/>
  <c r="J247" i="3"/>
  <c r="L247" i="3" s="1"/>
  <c r="I247" i="3"/>
  <c r="BT242" i="3"/>
  <c r="I242" i="3"/>
  <c r="BT235" i="3"/>
  <c r="BE235" i="3"/>
  <c r="AY235" i="3"/>
  <c r="J235" i="3"/>
  <c r="I235" i="3"/>
  <c r="I233" i="3"/>
  <c r="I232" i="3"/>
  <c r="BT230" i="3"/>
  <c r="BS230" i="3"/>
  <c r="BR230" i="3"/>
  <c r="BQ230" i="3"/>
  <c r="BP230" i="3"/>
  <c r="BO230" i="3"/>
  <c r="BN230" i="3"/>
  <c r="BM230" i="3"/>
  <c r="BL230" i="3"/>
  <c r="BK230" i="3"/>
  <c r="BJ230" i="3"/>
  <c r="BI230" i="3"/>
  <c r="BD230" i="3"/>
  <c r="BC230" i="3"/>
  <c r="BB230" i="3"/>
  <c r="BA230" i="3"/>
  <c r="AZ230" i="3"/>
  <c r="AY230" i="3"/>
  <c r="AX230" i="3"/>
  <c r="AW230" i="3"/>
  <c r="AV230" i="3"/>
  <c r="AU230" i="3"/>
  <c r="AT230" i="3"/>
  <c r="AS230" i="3"/>
  <c r="AN230" i="3"/>
  <c r="AM230" i="3"/>
  <c r="AL230" i="3"/>
  <c r="AK230" i="3"/>
  <c r="AJ230" i="3"/>
  <c r="AI230" i="3"/>
  <c r="AH230" i="3"/>
  <c r="AG230" i="3"/>
  <c r="AF230" i="3"/>
  <c r="AE230" i="3"/>
  <c r="AD230" i="3"/>
  <c r="AC230" i="3"/>
  <c r="X230" i="3"/>
  <c r="W230" i="3"/>
  <c r="V230" i="3"/>
  <c r="U230" i="3"/>
  <c r="T230" i="3"/>
  <c r="S230" i="3"/>
  <c r="R230" i="3"/>
  <c r="Q230" i="3"/>
  <c r="P230" i="3"/>
  <c r="O230" i="3"/>
  <c r="N230" i="3"/>
  <c r="M230" i="3"/>
  <c r="J230" i="3"/>
  <c r="I230" i="3"/>
  <c r="BH230" i="3" s="1"/>
  <c r="BT225" i="3"/>
  <c r="BP225" i="3"/>
  <c r="BO225" i="3"/>
  <c r="BN225" i="3"/>
  <c r="BM225" i="3"/>
  <c r="BL225" i="3"/>
  <c r="BK225" i="3"/>
  <c r="BJ225" i="3"/>
  <c r="BI225" i="3"/>
  <c r="BH225" i="3"/>
  <c r="BG225" i="3"/>
  <c r="BF225" i="3"/>
  <c r="BA225" i="3"/>
  <c r="AV225" i="3"/>
  <c r="AU225" i="3"/>
  <c r="AT225" i="3"/>
  <c r="AS225" i="3"/>
  <c r="AR225" i="3"/>
  <c r="AQ225" i="3"/>
  <c r="AP225" i="3"/>
  <c r="AK225" i="3"/>
  <c r="AJ225" i="3"/>
  <c r="AI225" i="3"/>
  <c r="AH225" i="3"/>
  <c r="AG225" i="3"/>
  <c r="AB225" i="3"/>
  <c r="AA225" i="3"/>
  <c r="Z225" i="3"/>
  <c r="U225" i="3"/>
  <c r="T225" i="3"/>
  <c r="S225" i="3"/>
  <c r="R225" i="3"/>
  <c r="Q225" i="3"/>
  <c r="P225" i="3"/>
  <c r="O225" i="3"/>
  <c r="N225" i="3"/>
  <c r="M225" i="3"/>
  <c r="K225" i="3"/>
  <c r="J225" i="3"/>
  <c r="BQ225" i="3" s="1"/>
  <c r="I225" i="3"/>
  <c r="I223" i="3"/>
  <c r="I222" i="3"/>
  <c r="I221" i="3"/>
  <c r="BT220" i="3"/>
  <c r="BS220" i="3"/>
  <c r="BR220" i="3"/>
  <c r="BP220" i="3"/>
  <c r="BO220" i="3"/>
  <c r="BN220" i="3"/>
  <c r="BM220" i="3"/>
  <c r="BG220" i="3"/>
  <c r="BF220" i="3"/>
  <c r="BE220" i="3"/>
  <c r="BD220" i="3"/>
  <c r="BC220" i="3"/>
  <c r="BB220" i="3"/>
  <c r="AZ220" i="3"/>
  <c r="AY220" i="3"/>
  <c r="AX220" i="3"/>
  <c r="AW220" i="3"/>
  <c r="AV220" i="3"/>
  <c r="AP220" i="3"/>
  <c r="AO220" i="3"/>
  <c r="AN220" i="3"/>
  <c r="AM220" i="3"/>
  <c r="AL220" i="3"/>
  <c r="AJ220" i="3"/>
  <c r="AI220" i="3"/>
  <c r="AH220" i="3"/>
  <c r="AG220" i="3"/>
  <c r="AF220" i="3"/>
  <c r="AE220" i="3"/>
  <c r="AD220" i="3"/>
  <c r="Y220" i="3"/>
  <c r="X220" i="3"/>
  <c r="W220" i="3"/>
  <c r="V220" i="3"/>
  <c r="T220" i="3"/>
  <c r="S220" i="3"/>
  <c r="R220" i="3"/>
  <c r="Q220" i="3"/>
  <c r="P220" i="3"/>
  <c r="O220" i="3"/>
  <c r="N220" i="3"/>
  <c r="M220" i="3"/>
  <c r="J220" i="3"/>
  <c r="BL220" i="3" s="1"/>
  <c r="I220" i="3"/>
  <c r="I215" i="3"/>
  <c r="BR210" i="3"/>
  <c r="BQ210" i="3"/>
  <c r="BP210" i="3"/>
  <c r="BO210" i="3"/>
  <c r="BB210" i="3"/>
  <c r="BA210" i="3"/>
  <c r="AZ210" i="3"/>
  <c r="AY210" i="3"/>
  <c r="AL210" i="3"/>
  <c r="AK210" i="3"/>
  <c r="AJ210" i="3"/>
  <c r="AI210" i="3"/>
  <c r="V210" i="3"/>
  <c r="U210" i="3"/>
  <c r="T210" i="3"/>
  <c r="S210" i="3"/>
  <c r="J210" i="3"/>
  <c r="I210" i="3"/>
  <c r="BN210" i="3" s="1"/>
  <c r="I204" i="3"/>
  <c r="BP197" i="3"/>
  <c r="BO197" i="3"/>
  <c r="BM197" i="3"/>
  <c r="BL197" i="3"/>
  <c r="BK197" i="3"/>
  <c r="BI197" i="3"/>
  <c r="BH197" i="3"/>
  <c r="BF197" i="3"/>
  <c r="AZ197" i="3"/>
  <c r="AY197" i="3"/>
  <c r="AX197" i="3"/>
  <c r="AW197" i="3"/>
  <c r="AV197" i="3"/>
  <c r="AU197" i="3"/>
  <c r="AS197" i="3"/>
  <c r="AR197" i="3"/>
  <c r="AQ197" i="3"/>
  <c r="AP197" i="3"/>
  <c r="AJ197" i="3"/>
  <c r="AI197" i="3"/>
  <c r="AH197" i="3"/>
  <c r="AG197" i="3"/>
  <c r="AE197" i="3"/>
  <c r="AC197" i="3"/>
  <c r="AB197" i="3"/>
  <c r="AA197" i="3"/>
  <c r="Z197" i="3"/>
  <c r="T197" i="3"/>
  <c r="S197" i="3"/>
  <c r="R197" i="3"/>
  <c r="Q197" i="3"/>
  <c r="P197" i="3"/>
  <c r="O197" i="3"/>
  <c r="N197" i="3"/>
  <c r="M197" i="3"/>
  <c r="L197" i="3"/>
  <c r="K197" i="3"/>
  <c r="J197" i="3"/>
  <c r="I197" i="3"/>
  <c r="I192" i="3"/>
  <c r="I187" i="3"/>
  <c r="I181" i="3"/>
  <c r="BP176" i="3"/>
  <c r="BO176" i="3"/>
  <c r="BN176" i="3"/>
  <c r="BM176" i="3"/>
  <c r="BL176" i="3"/>
  <c r="AZ176" i="3"/>
  <c r="AY176" i="3"/>
  <c r="AX176" i="3"/>
  <c r="AW176" i="3"/>
  <c r="AV176" i="3"/>
  <c r="AJ176" i="3"/>
  <c r="AI176" i="3"/>
  <c r="AH176" i="3"/>
  <c r="AG176" i="3"/>
  <c r="AF176" i="3"/>
  <c r="T176" i="3"/>
  <c r="S176" i="3"/>
  <c r="R176" i="3"/>
  <c r="Q176" i="3"/>
  <c r="P176" i="3"/>
  <c r="J176" i="3"/>
  <c r="I176" i="3"/>
  <c r="BK176" i="3" s="1"/>
  <c r="I174" i="3"/>
  <c r="BT171" i="3"/>
  <c r="BS171" i="3"/>
  <c r="BR171" i="3"/>
  <c r="BQ171" i="3"/>
  <c r="BP171" i="3"/>
  <c r="BO171" i="3"/>
  <c r="BN171" i="3"/>
  <c r="BM171" i="3"/>
  <c r="BL171" i="3"/>
  <c r="BK171" i="3"/>
  <c r="BJ171" i="3"/>
  <c r="BI171" i="3"/>
  <c r="BC171" i="3"/>
  <c r="BB171" i="3"/>
  <c r="BA171" i="3"/>
  <c r="AZ171" i="3"/>
  <c r="AY171" i="3"/>
  <c r="AX171" i="3"/>
  <c r="AW171" i="3"/>
  <c r="AV171" i="3"/>
  <c r="AU171" i="3"/>
  <c r="AT171" i="3"/>
  <c r="AS171" i="3"/>
  <c r="AM171" i="3"/>
  <c r="AL171" i="3"/>
  <c r="AK171" i="3"/>
  <c r="AJ171" i="3"/>
  <c r="AI171" i="3"/>
  <c r="AH171" i="3"/>
  <c r="AG171" i="3"/>
  <c r="AF171" i="3"/>
  <c r="AE171" i="3"/>
  <c r="AD171" i="3"/>
  <c r="AC171" i="3"/>
  <c r="X171" i="3"/>
  <c r="W171" i="3"/>
  <c r="V171" i="3"/>
  <c r="U171" i="3"/>
  <c r="T171" i="3"/>
  <c r="S171" i="3"/>
  <c r="R171" i="3"/>
  <c r="Q171" i="3"/>
  <c r="P171" i="3"/>
  <c r="O171" i="3"/>
  <c r="N171" i="3"/>
  <c r="M171" i="3"/>
  <c r="J171" i="3"/>
  <c r="L171" i="3" s="1"/>
  <c r="I171" i="3"/>
  <c r="BH171" i="3" s="1"/>
  <c r="BF166" i="3"/>
  <c r="AZ166" i="3"/>
  <c r="AY166" i="3"/>
  <c r="AX166" i="3"/>
  <c r="AW166" i="3"/>
  <c r="AV166" i="3"/>
  <c r="AT166" i="3"/>
  <c r="AD166" i="3"/>
  <c r="AC166" i="3"/>
  <c r="AB166" i="3"/>
  <c r="AA166" i="3"/>
  <c r="Z166" i="3"/>
  <c r="T166" i="3"/>
  <c r="S166" i="3"/>
  <c r="J166" i="3"/>
  <c r="BG166" i="3" s="1"/>
  <c r="I166" i="3"/>
  <c r="I160" i="3"/>
  <c r="BT154" i="3"/>
  <c r="I154" i="3"/>
  <c r="I147" i="3"/>
  <c r="I140" i="3"/>
  <c r="BT133" i="3"/>
  <c r="I133" i="3"/>
  <c r="I128" i="3"/>
  <c r="BT126" i="3"/>
  <c r="BQ126" i="3"/>
  <c r="BP126" i="3"/>
  <c r="BO126" i="3"/>
  <c r="BE126" i="3"/>
  <c r="AV126" i="3"/>
  <c r="AU126" i="3"/>
  <c r="J126" i="3"/>
  <c r="I126" i="3"/>
  <c r="I119" i="3"/>
  <c r="BT112" i="3"/>
  <c r="I112" i="3"/>
  <c r="BT107" i="3"/>
  <c r="I107" i="3"/>
  <c r="J105" i="3"/>
  <c r="W105" i="3" s="1"/>
  <c r="I105" i="3"/>
  <c r="I104" i="3"/>
  <c r="I103" i="3"/>
  <c r="BT101" i="3"/>
  <c r="BS101" i="3"/>
  <c r="BR101" i="3"/>
  <c r="BQ101" i="3"/>
  <c r="BP101" i="3"/>
  <c r="BD101" i="3"/>
  <c r="BC101" i="3"/>
  <c r="BB101" i="3"/>
  <c r="BA101" i="3"/>
  <c r="AZ101" i="3"/>
  <c r="AN101" i="3"/>
  <c r="AM101" i="3"/>
  <c r="AL101" i="3"/>
  <c r="AK101" i="3"/>
  <c r="AJ101" i="3"/>
  <c r="X101" i="3"/>
  <c r="W101" i="3"/>
  <c r="V101" i="3"/>
  <c r="U101" i="3"/>
  <c r="T101" i="3"/>
  <c r="N101" i="3"/>
  <c r="J101" i="3"/>
  <c r="AD101" i="3" s="1"/>
  <c r="I101" i="3"/>
  <c r="BO101" i="3" s="1"/>
  <c r="BP95" i="3"/>
  <c r="BO95" i="3"/>
  <c r="BN95" i="3"/>
  <c r="BM95" i="3"/>
  <c r="BL95" i="3"/>
  <c r="AZ95" i="3"/>
  <c r="AY95" i="3"/>
  <c r="AX95" i="3"/>
  <c r="AW95" i="3"/>
  <c r="AV95" i="3"/>
  <c r="AJ95" i="3"/>
  <c r="AI95" i="3"/>
  <c r="AH95" i="3"/>
  <c r="AG95" i="3"/>
  <c r="AF95" i="3"/>
  <c r="T95" i="3"/>
  <c r="S95" i="3"/>
  <c r="R95" i="3"/>
  <c r="Q95" i="3"/>
  <c r="P95" i="3"/>
  <c r="J95" i="3"/>
  <c r="I95" i="3"/>
  <c r="BK95" i="3" s="1"/>
  <c r="BT88" i="3"/>
  <c r="I88" i="3"/>
  <c r="BT81" i="3"/>
  <c r="I81" i="3"/>
  <c r="BT74" i="3"/>
  <c r="I74" i="3"/>
  <c r="J68" i="3"/>
  <c r="I68" i="3"/>
  <c r="BT62" i="3"/>
  <c r="BR62" i="3"/>
  <c r="BF62" i="3"/>
  <c r="BE62" i="3"/>
  <c r="BD62" i="3"/>
  <c r="BB62" i="3"/>
  <c r="AP62" i="3"/>
  <c r="J62" i="3"/>
  <c r="I62" i="3"/>
  <c r="BT52" i="3"/>
  <c r="I52" i="3"/>
  <c r="BG46" i="3"/>
  <c r="BF46" i="3"/>
  <c r="AZ46" i="3"/>
  <c r="AY46" i="3"/>
  <c r="AG46" i="3"/>
  <c r="AF46" i="3"/>
  <c r="J46" i="3"/>
  <c r="I46" i="3"/>
  <c r="I40" i="3"/>
  <c r="BT34" i="3"/>
  <c r="I34" i="3"/>
  <c r="I30" i="3"/>
  <c r="BT28" i="3"/>
  <c r="BS28" i="3"/>
  <c r="BR28" i="3"/>
  <c r="BQ28" i="3"/>
  <c r="BP28" i="3"/>
  <c r="BO28" i="3"/>
  <c r="BN28" i="3"/>
  <c r="BC28" i="3"/>
  <c r="BB28" i="3"/>
  <c r="BA28" i="3"/>
  <c r="AZ28" i="3"/>
  <c r="AY28" i="3"/>
  <c r="AX28" i="3"/>
  <c r="AM28" i="3"/>
  <c r="AL28" i="3"/>
  <c r="AK28" i="3"/>
  <c r="AJ28" i="3"/>
  <c r="AI28" i="3"/>
  <c r="AH28" i="3"/>
  <c r="W28" i="3"/>
  <c r="V28" i="3"/>
  <c r="U28" i="3"/>
  <c r="T28" i="3"/>
  <c r="S28" i="3"/>
  <c r="R28" i="3"/>
  <c r="J28" i="3"/>
  <c r="I31" i="3" s="1"/>
  <c r="I28" i="3"/>
  <c r="BL28" i="3" s="1"/>
  <c r="BT20" i="3"/>
  <c r="I20" i="3"/>
  <c r="AS14" i="3"/>
  <c r="AQ14" i="3"/>
  <c r="AP14" i="3"/>
  <c r="N14" i="3"/>
  <c r="M14" i="3"/>
  <c r="L14" i="3"/>
  <c r="J14" i="3"/>
  <c r="BG14" i="3" s="1"/>
  <c r="I14" i="3"/>
  <c r="BL14" i="3" s="1"/>
  <c r="I6" i="3"/>
  <c r="BS5" i="3"/>
  <c r="BR5" i="3"/>
  <c r="BQ5" i="3"/>
  <c r="BM5" i="3"/>
  <c r="BL5" i="3"/>
  <c r="BI5" i="3"/>
  <c r="BH5" i="3"/>
  <c r="BG5" i="3"/>
  <c r="BF5" i="3"/>
  <c r="BE5" i="3"/>
  <c r="BD5" i="3"/>
  <c r="BC5" i="3"/>
  <c r="BB5" i="3"/>
  <c r="BA5" i="3"/>
  <c r="AZ5" i="3"/>
  <c r="AY5" i="3"/>
  <c r="AX5" i="3"/>
  <c r="AS5" i="3"/>
  <c r="AR5" i="3"/>
  <c r="AQ5" i="3"/>
  <c r="AP5" i="3"/>
  <c r="AO5" i="3"/>
  <c r="AN5" i="3"/>
  <c r="AM5" i="3"/>
  <c r="AL5" i="3"/>
  <c r="AK5" i="3"/>
  <c r="AJ5" i="3"/>
  <c r="AI5" i="3"/>
  <c r="AH5" i="3"/>
  <c r="AG5" i="3"/>
  <c r="AF5" i="3"/>
  <c r="AA5" i="3"/>
  <c r="Z5" i="3"/>
  <c r="Y5" i="3"/>
  <c r="X5" i="3"/>
  <c r="W5" i="3"/>
  <c r="V5" i="3"/>
  <c r="U5" i="3"/>
  <c r="T5" i="3"/>
  <c r="S5" i="3"/>
  <c r="R5" i="3"/>
  <c r="Q5" i="3"/>
  <c r="P5" i="3"/>
  <c r="M5" i="3"/>
  <c r="L5" i="3"/>
  <c r="BW4" i="3"/>
  <c r="B76" i="1"/>
  <c r="B73" i="1"/>
  <c r="E70" i="1"/>
  <c r="D70" i="1"/>
  <c r="C70" i="1"/>
  <c r="B70" i="1"/>
  <c r="E69" i="1"/>
  <c r="D69" i="1"/>
  <c r="C69" i="1"/>
  <c r="B69" i="1"/>
  <c r="E68" i="1"/>
  <c r="D68" i="1"/>
  <c r="C68" i="1"/>
  <c r="B68" i="1"/>
  <c r="E67" i="1"/>
  <c r="D67" i="1"/>
  <c r="C67" i="1"/>
  <c r="B67" i="1"/>
  <c r="E66" i="1"/>
  <c r="D66" i="1"/>
  <c r="C66" i="1"/>
  <c r="B66" i="1"/>
  <c r="E65" i="1"/>
  <c r="D65" i="1"/>
  <c r="C65" i="1"/>
  <c r="B65" i="1"/>
  <c r="D43" i="1"/>
  <c r="D42" i="1"/>
  <c r="D41" i="1"/>
  <c r="D37" i="1"/>
  <c r="B37" i="1"/>
  <c r="D36" i="1"/>
  <c r="B36" i="1"/>
  <c r="D31" i="1"/>
  <c r="C31" i="1"/>
  <c r="B31" i="1"/>
  <c r="D30" i="1"/>
  <c r="C30" i="1"/>
  <c r="B30" i="1"/>
  <c r="B25" i="1"/>
  <c r="C61" i="1" s="1"/>
  <c r="D17" i="1"/>
  <c r="C17" i="1" s="1"/>
  <c r="D16" i="1"/>
  <c r="C16" i="1"/>
  <c r="A2" i="1"/>
  <c r="AM6" i="4" l="1"/>
  <c r="J6" i="4"/>
  <c r="BH6" i="4" s="1"/>
  <c r="AL6" i="4"/>
  <c r="J25" i="4"/>
  <c r="BA25" i="4" s="1"/>
  <c r="BU6" i="4"/>
  <c r="BU10" i="4"/>
  <c r="J10" i="4"/>
  <c r="BT10" i="4" s="1"/>
  <c r="K17" i="1"/>
  <c r="I16" i="1"/>
  <c r="I15" i="1"/>
  <c r="C62" i="1"/>
  <c r="AN14" i="3"/>
  <c r="I15" i="3"/>
  <c r="AQ6" i="3"/>
  <c r="C54" i="1"/>
  <c r="Y6" i="3"/>
  <c r="K14" i="3"/>
  <c r="AO14" i="3"/>
  <c r="J15" i="3"/>
  <c r="BK6" i="3"/>
  <c r="AU6" i="3"/>
  <c r="AE6" i="3"/>
  <c r="AZ40" i="3"/>
  <c r="AJ40" i="3"/>
  <c r="T40" i="3"/>
  <c r="BO40" i="3"/>
  <c r="AY40" i="3"/>
  <c r="AH40" i="3"/>
  <c r="BM40" i="3"/>
  <c r="AS40" i="3"/>
  <c r="Y40" i="3"/>
  <c r="BL40" i="3"/>
  <c r="AR40" i="3"/>
  <c r="BJ40" i="3"/>
  <c r="I43" i="3"/>
  <c r="BH40" i="3"/>
  <c r="AN40" i="3"/>
  <c r="P40" i="3"/>
  <c r="BG40" i="3"/>
  <c r="N40" i="3"/>
  <c r="AF40" i="3"/>
  <c r="L40" i="3"/>
  <c r="I44" i="3"/>
  <c r="BC40" i="3"/>
  <c r="AE40" i="3"/>
  <c r="K40" i="3"/>
  <c r="C48" i="1"/>
  <c r="P14" i="3"/>
  <c r="AT14" i="3"/>
  <c r="J40" i="3"/>
  <c r="AI40" i="3" s="1"/>
  <c r="AY6" i="3"/>
  <c r="BR6" i="3"/>
  <c r="I10" i="3"/>
  <c r="R14" i="3"/>
  <c r="AV14" i="3"/>
  <c r="X31" i="3"/>
  <c r="BA31" i="3"/>
  <c r="AW31" i="3"/>
  <c r="AA40" i="3"/>
  <c r="BQ104" i="3"/>
  <c r="BA104" i="3"/>
  <c r="S104" i="3"/>
  <c r="BN104" i="3"/>
  <c r="AX104" i="3"/>
  <c r="AH104" i="3"/>
  <c r="R104" i="3"/>
  <c r="BM104" i="3"/>
  <c r="AW104" i="3"/>
  <c r="O104" i="3"/>
  <c r="BJ104" i="3"/>
  <c r="AT104" i="3"/>
  <c r="AD104" i="3"/>
  <c r="N104" i="3"/>
  <c r="BI104" i="3"/>
  <c r="AS104" i="3"/>
  <c r="K104" i="3"/>
  <c r="BS104" i="3"/>
  <c r="BC104" i="3"/>
  <c r="AM104" i="3"/>
  <c r="W104" i="3"/>
  <c r="BF104" i="3"/>
  <c r="BE104" i="3"/>
  <c r="C49" i="1"/>
  <c r="M6" i="3"/>
  <c r="X14" i="3"/>
  <c r="AX14" i="3"/>
  <c r="I16" i="3"/>
  <c r="AB40" i="3"/>
  <c r="BN68" i="3"/>
  <c r="I70" i="3"/>
  <c r="BL68" i="3"/>
  <c r="AX68" i="3"/>
  <c r="AW68" i="3"/>
  <c r="AV68" i="3"/>
  <c r="AT68" i="3"/>
  <c r="AF68" i="3"/>
  <c r="AE68" i="3"/>
  <c r="AD68" i="3"/>
  <c r="Z68" i="3"/>
  <c r="N68" i="3"/>
  <c r="M68" i="3"/>
  <c r="J104" i="3"/>
  <c r="AK104" i="3" s="1"/>
  <c r="BT6" i="3"/>
  <c r="Y14" i="3"/>
  <c r="BD14" i="3"/>
  <c r="J16" i="3"/>
  <c r="AV31" i="3"/>
  <c r="AC40" i="3"/>
  <c r="BO68" i="3"/>
  <c r="V104" i="3"/>
  <c r="Z14" i="3"/>
  <c r="BE14" i="3"/>
  <c r="AD40" i="3"/>
  <c r="BP68" i="3"/>
  <c r="BR104" i="3"/>
  <c r="AW6" i="3"/>
  <c r="C58" i="1"/>
  <c r="C59" i="1"/>
  <c r="AA14" i="3"/>
  <c r="BF14" i="3"/>
  <c r="AU40" i="3"/>
  <c r="C51" i="1"/>
  <c r="BD6" i="3"/>
  <c r="I9" i="3"/>
  <c r="AB14" i="3"/>
  <c r="BL31" i="3"/>
  <c r="AV40" i="3"/>
  <c r="I49" i="3"/>
  <c r="BS46" i="3"/>
  <c r="BC46" i="3"/>
  <c r="AM46" i="3"/>
  <c r="W46" i="3"/>
  <c r="BR46" i="3"/>
  <c r="BB46" i="3"/>
  <c r="AL46" i="3"/>
  <c r="V46" i="3"/>
  <c r="BQ46" i="3"/>
  <c r="BA46" i="3"/>
  <c r="AK46" i="3"/>
  <c r="U46" i="3"/>
  <c r="AX46" i="3"/>
  <c r="AC46" i="3"/>
  <c r="AW46" i="3"/>
  <c r="AB46" i="3"/>
  <c r="AV46" i="3"/>
  <c r="AA46" i="3"/>
  <c r="BP46" i="3"/>
  <c r="AU46" i="3"/>
  <c r="Z46" i="3"/>
  <c r="BO46" i="3"/>
  <c r="AT46" i="3"/>
  <c r="T46" i="3"/>
  <c r="BN46" i="3"/>
  <c r="AS46" i="3"/>
  <c r="S46" i="3"/>
  <c r="BM46" i="3"/>
  <c r="AR46" i="3"/>
  <c r="R46" i="3"/>
  <c r="BL46" i="3"/>
  <c r="AQ46" i="3"/>
  <c r="Q46" i="3"/>
  <c r="BK46" i="3"/>
  <c r="AP46" i="3"/>
  <c r="P46" i="3"/>
  <c r="BJ46" i="3"/>
  <c r="AJ46" i="3"/>
  <c r="O46" i="3"/>
  <c r="BI46" i="3"/>
  <c r="AI46" i="3"/>
  <c r="N46" i="3"/>
  <c r="BH46" i="3"/>
  <c r="AH46" i="3"/>
  <c r="M46" i="3"/>
  <c r="T6" i="3"/>
  <c r="AL6" i="3"/>
  <c r="BF6" i="3"/>
  <c r="AC14" i="3"/>
  <c r="BI14" i="3"/>
  <c r="AW40" i="3"/>
  <c r="K46" i="3"/>
  <c r="C60" i="1"/>
  <c r="BK5" i="3"/>
  <c r="AU5" i="3"/>
  <c r="AE5" i="3"/>
  <c r="O5" i="3"/>
  <c r="BJ5" i="3"/>
  <c r="AT5" i="3"/>
  <c r="AD5" i="3"/>
  <c r="N5" i="3"/>
  <c r="AB5" i="3"/>
  <c r="AV5" i="3"/>
  <c r="BN5" i="3"/>
  <c r="BG6" i="3"/>
  <c r="AD14" i="3"/>
  <c r="BJ14" i="3"/>
  <c r="J31" i="3"/>
  <c r="AN31" i="3" s="1"/>
  <c r="I37" i="3"/>
  <c r="BB40" i="3"/>
  <c r="L46" i="3"/>
  <c r="C56" i="1"/>
  <c r="C50" i="1"/>
  <c r="C52" i="1"/>
  <c r="K5" i="3"/>
  <c r="AC5" i="3"/>
  <c r="AW5" i="3"/>
  <c r="BO5" i="3"/>
  <c r="V6" i="3"/>
  <c r="AN6" i="3"/>
  <c r="BH6" i="3"/>
  <c r="AF14" i="3"/>
  <c r="BS40" i="3"/>
  <c r="AD46" i="3"/>
  <c r="C55" i="1"/>
  <c r="C47" i="1"/>
  <c r="B26" i="1"/>
  <c r="J6" i="3"/>
  <c r="BO6" i="3" s="1"/>
  <c r="C57" i="1"/>
  <c r="AK6" i="3"/>
  <c r="BP5" i="3"/>
  <c r="W6" i="3"/>
  <c r="AP6" i="3"/>
  <c r="BI6" i="3"/>
  <c r="J18" i="3"/>
  <c r="I17" i="3"/>
  <c r="J17" i="3" s="1"/>
  <c r="BS14" i="3"/>
  <c r="BC14" i="3"/>
  <c r="AM14" i="3"/>
  <c r="W14" i="3"/>
  <c r="I18" i="3"/>
  <c r="BR14" i="3"/>
  <c r="BB14" i="3"/>
  <c r="AL14" i="3"/>
  <c r="V14" i="3"/>
  <c r="BQ14" i="3"/>
  <c r="BA14" i="3"/>
  <c r="U14" i="3"/>
  <c r="AK14" i="3"/>
  <c r="BP14" i="3"/>
  <c r="AZ14" i="3"/>
  <c r="AJ14" i="3"/>
  <c r="T14" i="3"/>
  <c r="BO14" i="3"/>
  <c r="AY14" i="3"/>
  <c r="AI14" i="3"/>
  <c r="S14" i="3"/>
  <c r="BN14" i="3"/>
  <c r="BM14" i="3"/>
  <c r="AW14" i="3"/>
  <c r="AG14" i="3"/>
  <c r="Q14" i="3"/>
  <c r="BK14" i="3"/>
  <c r="AU14" i="3"/>
  <c r="AE14" i="3"/>
  <c r="O14" i="3"/>
  <c r="BH14" i="3"/>
  <c r="AR14" i="3"/>
  <c r="AH14" i="3"/>
  <c r="BT14" i="3"/>
  <c r="L31" i="3"/>
  <c r="BT40" i="3"/>
  <c r="AE46" i="3"/>
  <c r="AC30" i="3"/>
  <c r="M30" i="3"/>
  <c r="Z30" i="3"/>
  <c r="AQ30" i="3"/>
  <c r="BH30" i="3"/>
  <c r="J30" i="3"/>
  <c r="AR30" i="3" s="1"/>
  <c r="AA30" i="3"/>
  <c r="BJ30" i="3"/>
  <c r="X28" i="3"/>
  <c r="AN28" i="3"/>
  <c r="BD28" i="3"/>
  <c r="AB30" i="3"/>
  <c r="AT30" i="3"/>
  <c r="J34" i="3"/>
  <c r="I64" i="3"/>
  <c r="K105" i="3"/>
  <c r="Y28" i="3"/>
  <c r="AO28" i="3"/>
  <c r="BE28" i="3"/>
  <c r="I29" i="3"/>
  <c r="J29" i="3" s="1"/>
  <c r="L30" i="3"/>
  <c r="AU30" i="3"/>
  <c r="BL30" i="3"/>
  <c r="AB34" i="3"/>
  <c r="I65" i="3"/>
  <c r="BQ62" i="3"/>
  <c r="BA62" i="3"/>
  <c r="AK62" i="3"/>
  <c r="U62" i="3"/>
  <c r="J65" i="3"/>
  <c r="BP62" i="3"/>
  <c r="AZ62" i="3"/>
  <c r="AJ62" i="3"/>
  <c r="T62" i="3"/>
  <c r="BO62" i="3"/>
  <c r="AY62" i="3"/>
  <c r="AI62" i="3"/>
  <c r="S62" i="3"/>
  <c r="BN62" i="3"/>
  <c r="AX62" i="3"/>
  <c r="AH62" i="3"/>
  <c r="R62" i="3"/>
  <c r="BM62" i="3"/>
  <c r="AW62" i="3"/>
  <c r="AG62" i="3"/>
  <c r="Q62" i="3"/>
  <c r="BL62" i="3"/>
  <c r="AV62" i="3"/>
  <c r="AF62" i="3"/>
  <c r="P62" i="3"/>
  <c r="I66" i="3"/>
  <c r="J66" i="3" s="1"/>
  <c r="BK62" i="3"/>
  <c r="AU62" i="3"/>
  <c r="AE62" i="3"/>
  <c r="O62" i="3"/>
  <c r="BJ62" i="3"/>
  <c r="AT62" i="3"/>
  <c r="AD62" i="3"/>
  <c r="N62" i="3"/>
  <c r="BI62" i="3"/>
  <c r="AS62" i="3"/>
  <c r="AC62" i="3"/>
  <c r="M62" i="3"/>
  <c r="BH62" i="3"/>
  <c r="AR62" i="3"/>
  <c r="AB62" i="3"/>
  <c r="L62" i="3"/>
  <c r="BG62" i="3"/>
  <c r="AQ62" i="3"/>
  <c r="AA62" i="3"/>
  <c r="K62" i="3"/>
  <c r="BS62" i="3"/>
  <c r="BC62" i="3"/>
  <c r="AM62" i="3"/>
  <c r="W62" i="3"/>
  <c r="I63" i="3"/>
  <c r="J64" i="3"/>
  <c r="Z28" i="3"/>
  <c r="AP28" i="3"/>
  <c r="BF28" i="3"/>
  <c r="N30" i="3"/>
  <c r="AE30" i="3"/>
  <c r="BM30" i="3"/>
  <c r="BF107" i="3"/>
  <c r="K28" i="3"/>
  <c r="AA28" i="3"/>
  <c r="AQ28" i="3"/>
  <c r="BG28" i="3"/>
  <c r="O30" i="3"/>
  <c r="AF30" i="3"/>
  <c r="BN30" i="3"/>
  <c r="V62" i="3"/>
  <c r="L28" i="3"/>
  <c r="AB28" i="3"/>
  <c r="AR28" i="3"/>
  <c r="BH28" i="3"/>
  <c r="P30" i="3"/>
  <c r="AG30" i="3"/>
  <c r="AX30" i="3"/>
  <c r="BO30" i="3"/>
  <c r="I32" i="3"/>
  <c r="X62" i="3"/>
  <c r="M28" i="3"/>
  <c r="AC28" i="3"/>
  <c r="AS28" i="3"/>
  <c r="BI28" i="3"/>
  <c r="Q30" i="3"/>
  <c r="AH30" i="3"/>
  <c r="AY30" i="3"/>
  <c r="BP30" i="3"/>
  <c r="J32" i="3"/>
  <c r="Y62" i="3"/>
  <c r="N28" i="3"/>
  <c r="AD28" i="3"/>
  <c r="AT28" i="3"/>
  <c r="BJ28" i="3"/>
  <c r="R30" i="3"/>
  <c r="AI30" i="3"/>
  <c r="AZ30" i="3"/>
  <c r="BQ30" i="3"/>
  <c r="Z62" i="3"/>
  <c r="I21" i="3"/>
  <c r="AE28" i="3"/>
  <c r="BR30" i="3"/>
  <c r="R34" i="3"/>
  <c r="BQ34" i="3"/>
  <c r="AL62" i="3"/>
  <c r="T103" i="3"/>
  <c r="AY103" i="3"/>
  <c r="AH103" i="3"/>
  <c r="BM103" i="3"/>
  <c r="AW103" i="3"/>
  <c r="P103" i="3"/>
  <c r="AU103" i="3"/>
  <c r="AD103" i="3"/>
  <c r="BI103" i="3"/>
  <c r="AS103" i="3"/>
  <c r="L103" i="3"/>
  <c r="AQ103" i="3"/>
  <c r="Z103" i="3"/>
  <c r="BB103" i="3"/>
  <c r="AL103" i="3"/>
  <c r="AO103" i="3"/>
  <c r="AM103" i="3"/>
  <c r="BS103" i="3"/>
  <c r="AO20" i="3"/>
  <c r="BE20" i="3"/>
  <c r="O28" i="3"/>
  <c r="AU28" i="3"/>
  <c r="BK28" i="3"/>
  <c r="AJ30" i="3"/>
  <c r="J20" i="3"/>
  <c r="Y20" i="3" s="1"/>
  <c r="Z20" i="3"/>
  <c r="BF20" i="3"/>
  <c r="P28" i="3"/>
  <c r="AF28" i="3"/>
  <c r="AV28" i="3"/>
  <c r="T30" i="3"/>
  <c r="AK30" i="3"/>
  <c r="BB30" i="3"/>
  <c r="BS30" i="3"/>
  <c r="AN62" i="3"/>
  <c r="BH119" i="3"/>
  <c r="BT119" i="3"/>
  <c r="BB119" i="3"/>
  <c r="AK119" i="3"/>
  <c r="U119" i="3"/>
  <c r="BR119" i="3"/>
  <c r="BA119" i="3"/>
  <c r="AJ119" i="3"/>
  <c r="T119" i="3"/>
  <c r="AZ119" i="3"/>
  <c r="S119" i="3"/>
  <c r="R119" i="3"/>
  <c r="BO119" i="3"/>
  <c r="AX119" i="3"/>
  <c r="AG119" i="3"/>
  <c r="Q119" i="3"/>
  <c r="I124" i="3"/>
  <c r="BM119" i="3"/>
  <c r="O119" i="3"/>
  <c r="BL119" i="3"/>
  <c r="BK119" i="3"/>
  <c r="AT119" i="3"/>
  <c r="AC119" i="3"/>
  <c r="M119" i="3"/>
  <c r="BJ119" i="3"/>
  <c r="AS119" i="3"/>
  <c r="AB119" i="3"/>
  <c r="AQ119" i="3"/>
  <c r="K119" i="3"/>
  <c r="J119" i="3"/>
  <c r="J120" i="3"/>
  <c r="I120" i="3"/>
  <c r="BN119" i="3"/>
  <c r="J123" i="3"/>
  <c r="BF119" i="3"/>
  <c r="I123" i="3"/>
  <c r="BE119" i="3"/>
  <c r="AW119" i="3"/>
  <c r="AN119" i="3"/>
  <c r="Y119" i="3"/>
  <c r="X119" i="3"/>
  <c r="W119" i="3"/>
  <c r="Q28" i="3"/>
  <c r="AG28" i="3"/>
  <c r="AW28" i="3"/>
  <c r="BM28" i="3"/>
  <c r="U30" i="3"/>
  <c r="BC30" i="3"/>
  <c r="AO62" i="3"/>
  <c r="BH68" i="3"/>
  <c r="AR68" i="3"/>
  <c r="AB68" i="3"/>
  <c r="L68" i="3"/>
  <c r="BG68" i="3"/>
  <c r="AQ68" i="3"/>
  <c r="AA68" i="3"/>
  <c r="K68" i="3"/>
  <c r="AC68" i="3"/>
  <c r="AU68" i="3"/>
  <c r="BM68" i="3"/>
  <c r="J70" i="3"/>
  <c r="BH105" i="3"/>
  <c r="AR105" i="3"/>
  <c r="AB105" i="3"/>
  <c r="BD105" i="3"/>
  <c r="AM105" i="3"/>
  <c r="V105" i="3"/>
  <c r="BC105" i="3"/>
  <c r="AL105" i="3"/>
  <c r="U105" i="3"/>
  <c r="BS105" i="3"/>
  <c r="BB105" i="3"/>
  <c r="AK105" i="3"/>
  <c r="T105" i="3"/>
  <c r="BR105" i="3"/>
  <c r="BA105" i="3"/>
  <c r="AJ105" i="3"/>
  <c r="S105" i="3"/>
  <c r="BQ105" i="3"/>
  <c r="AZ105" i="3"/>
  <c r="AI105" i="3"/>
  <c r="R105" i="3"/>
  <c r="BP105" i="3"/>
  <c r="AY105" i="3"/>
  <c r="AH105" i="3"/>
  <c r="Q105" i="3"/>
  <c r="BO105" i="3"/>
  <c r="AX105" i="3"/>
  <c r="AG105" i="3"/>
  <c r="P105" i="3"/>
  <c r="BN105" i="3"/>
  <c r="AW105" i="3"/>
  <c r="AF105" i="3"/>
  <c r="O105" i="3"/>
  <c r="BM105" i="3"/>
  <c r="AV105" i="3"/>
  <c r="AE105" i="3"/>
  <c r="N105" i="3"/>
  <c r="BL105" i="3"/>
  <c r="AU105" i="3"/>
  <c r="AD105" i="3"/>
  <c r="M105" i="3"/>
  <c r="BK105" i="3"/>
  <c r="AT105" i="3"/>
  <c r="AC105" i="3"/>
  <c r="L105" i="3"/>
  <c r="BF105" i="3"/>
  <c r="AO105" i="3"/>
  <c r="X105" i="3"/>
  <c r="O68" i="3"/>
  <c r="AG68" i="3"/>
  <c r="AY68" i="3"/>
  <c r="BQ68" i="3"/>
  <c r="Y105" i="3"/>
  <c r="P68" i="3"/>
  <c r="AH68" i="3"/>
  <c r="AZ68" i="3"/>
  <c r="BR68" i="3"/>
  <c r="Z105" i="3"/>
  <c r="Q68" i="3"/>
  <c r="AI68" i="3"/>
  <c r="BA68" i="3"/>
  <c r="BS68" i="3"/>
  <c r="I71" i="3"/>
  <c r="AA105" i="3"/>
  <c r="AY128" i="3"/>
  <c r="S128" i="3"/>
  <c r="BN128" i="3"/>
  <c r="AX128" i="3"/>
  <c r="AH128" i="3"/>
  <c r="R128" i="3"/>
  <c r="BM128" i="3"/>
  <c r="AW128" i="3"/>
  <c r="AG128" i="3"/>
  <c r="BD128" i="3"/>
  <c r="AK128" i="3"/>
  <c r="BC128" i="3"/>
  <c r="N128" i="3"/>
  <c r="AF128" i="3"/>
  <c r="M128" i="3"/>
  <c r="BA128" i="3"/>
  <c r="AE128" i="3"/>
  <c r="L128" i="3"/>
  <c r="BS128" i="3"/>
  <c r="AZ128" i="3"/>
  <c r="AD128" i="3"/>
  <c r="BR128" i="3"/>
  <c r="AV128" i="3"/>
  <c r="BP128" i="3"/>
  <c r="AA128" i="3"/>
  <c r="AS128" i="3"/>
  <c r="Z128" i="3"/>
  <c r="BK128" i="3"/>
  <c r="AR128" i="3"/>
  <c r="Y128" i="3"/>
  <c r="BJ128" i="3"/>
  <c r="AQ128" i="3"/>
  <c r="X128" i="3"/>
  <c r="AP128" i="3"/>
  <c r="W128" i="3"/>
  <c r="AO128" i="3"/>
  <c r="BQ128" i="3"/>
  <c r="BF128" i="3"/>
  <c r="BE128" i="3"/>
  <c r="AU128" i="3"/>
  <c r="AN128" i="3"/>
  <c r="AM128" i="3"/>
  <c r="AL128" i="3"/>
  <c r="AB128" i="3"/>
  <c r="U128" i="3"/>
  <c r="R68" i="3"/>
  <c r="AJ68" i="3"/>
  <c r="BB68" i="3"/>
  <c r="BT68" i="3"/>
  <c r="J71" i="3"/>
  <c r="AN105" i="3"/>
  <c r="P128" i="3"/>
  <c r="S68" i="3"/>
  <c r="AK68" i="3"/>
  <c r="BC68" i="3"/>
  <c r="I69" i="3"/>
  <c r="BP81" i="3"/>
  <c r="AJ81" i="3"/>
  <c r="S81" i="3"/>
  <c r="AX81" i="3"/>
  <c r="AH81" i="3"/>
  <c r="AD81" i="3"/>
  <c r="AP105" i="3"/>
  <c r="T68" i="3"/>
  <c r="AL68" i="3"/>
  <c r="BD68" i="3"/>
  <c r="I72" i="3"/>
  <c r="J81" i="3"/>
  <c r="I86" i="3" s="1"/>
  <c r="AE81" i="3"/>
  <c r="BE81" i="3"/>
  <c r="AQ105" i="3"/>
  <c r="I53" i="3"/>
  <c r="U68" i="3"/>
  <c r="AM68" i="3"/>
  <c r="BE68" i="3"/>
  <c r="AF81" i="3"/>
  <c r="BF81" i="3"/>
  <c r="I84" i="3"/>
  <c r="AS105" i="3"/>
  <c r="I50" i="3"/>
  <c r="J52" i="3"/>
  <c r="AO52" i="3" s="1"/>
  <c r="BF52" i="3"/>
  <c r="V68" i="3"/>
  <c r="AN68" i="3"/>
  <c r="BF68" i="3"/>
  <c r="BG81" i="3"/>
  <c r="BE105" i="3"/>
  <c r="J50" i="3"/>
  <c r="K52" i="3"/>
  <c r="AA52" i="3"/>
  <c r="AQ52" i="3"/>
  <c r="W68" i="3"/>
  <c r="AO68" i="3"/>
  <c r="BI68" i="3"/>
  <c r="BL74" i="3"/>
  <c r="AM81" i="3"/>
  <c r="BG105" i="3"/>
  <c r="X46" i="3"/>
  <c r="AN46" i="3"/>
  <c r="BD46" i="3"/>
  <c r="BT46" i="3"/>
  <c r="I48" i="3"/>
  <c r="J49" i="3"/>
  <c r="L52" i="3"/>
  <c r="AB52" i="3"/>
  <c r="AR52" i="3"/>
  <c r="X68" i="3"/>
  <c r="AP68" i="3"/>
  <c r="BJ68" i="3"/>
  <c r="J74" i="3"/>
  <c r="BI74" i="3" s="1"/>
  <c r="N81" i="3"/>
  <c r="AN81" i="3"/>
  <c r="BI81" i="3"/>
  <c r="BI105" i="3"/>
  <c r="Y46" i="3"/>
  <c r="AO46" i="3"/>
  <c r="BE46" i="3"/>
  <c r="I47" i="3"/>
  <c r="AC52" i="3"/>
  <c r="Y68" i="3"/>
  <c r="AS68" i="3"/>
  <c r="BK68" i="3"/>
  <c r="O81" i="3"/>
  <c r="AO81" i="3"/>
  <c r="BJ81" i="3"/>
  <c r="BJ105" i="3"/>
  <c r="U95" i="3"/>
  <c r="AK95" i="3"/>
  <c r="BA95" i="3"/>
  <c r="BQ95" i="3"/>
  <c r="Y101" i="3"/>
  <c r="AO101" i="3"/>
  <c r="BE101" i="3"/>
  <c r="I102" i="3"/>
  <c r="J103" i="3"/>
  <c r="Q103" i="3" s="1"/>
  <c r="V95" i="3"/>
  <c r="AL95" i="3"/>
  <c r="BB95" i="3"/>
  <c r="BR95" i="3"/>
  <c r="I99" i="3"/>
  <c r="Z101" i="3"/>
  <c r="AP101" i="3"/>
  <c r="BF101" i="3"/>
  <c r="J102" i="3"/>
  <c r="I131" i="3"/>
  <c r="W95" i="3"/>
  <c r="AM95" i="3"/>
  <c r="BC95" i="3"/>
  <c r="BS95" i="3"/>
  <c r="I98" i="3"/>
  <c r="K101" i="3"/>
  <c r="AA101" i="3"/>
  <c r="AQ101" i="3"/>
  <c r="BG101" i="3"/>
  <c r="BD126" i="3"/>
  <c r="AL126" i="3"/>
  <c r="T126" i="3"/>
  <c r="BC126" i="3"/>
  <c r="AK126" i="3"/>
  <c r="S126" i="3"/>
  <c r="I127" i="3"/>
  <c r="BB126" i="3"/>
  <c r="AJ126" i="3"/>
  <c r="P126" i="3"/>
  <c r="BA126" i="3"/>
  <c r="AI126" i="3"/>
  <c r="O126" i="3"/>
  <c r="BS126" i="3"/>
  <c r="AZ126" i="3"/>
  <c r="AF126" i="3"/>
  <c r="N126" i="3"/>
  <c r="BR126" i="3"/>
  <c r="AY126" i="3"/>
  <c r="AE126" i="3"/>
  <c r="M126" i="3"/>
  <c r="X95" i="3"/>
  <c r="AN95" i="3"/>
  <c r="BD95" i="3"/>
  <c r="BT95" i="3"/>
  <c r="I97" i="3"/>
  <c r="J98" i="3"/>
  <c r="L101" i="3"/>
  <c r="AB101" i="3"/>
  <c r="AR101" i="3"/>
  <c r="BH101" i="3"/>
  <c r="K126" i="3"/>
  <c r="Y95" i="3"/>
  <c r="AO95" i="3"/>
  <c r="BE95" i="3"/>
  <c r="I96" i="3"/>
  <c r="J97" i="3"/>
  <c r="M101" i="3"/>
  <c r="AC101" i="3"/>
  <c r="AS101" i="3"/>
  <c r="BI101" i="3"/>
  <c r="L126" i="3"/>
  <c r="Z95" i="3"/>
  <c r="AP95" i="3"/>
  <c r="BF95" i="3"/>
  <c r="J96" i="3"/>
  <c r="AT101" i="3"/>
  <c r="BJ101" i="3"/>
  <c r="U126" i="3"/>
  <c r="K95" i="3"/>
  <c r="AA95" i="3"/>
  <c r="AQ95" i="3"/>
  <c r="BG95" i="3"/>
  <c r="O101" i="3"/>
  <c r="AE101" i="3"/>
  <c r="AU101" i="3"/>
  <c r="BK101" i="3"/>
  <c r="AF112" i="3"/>
  <c r="P112" i="3"/>
  <c r="Z112" i="3"/>
  <c r="AQ112" i="3"/>
  <c r="BH112" i="3"/>
  <c r="AB126" i="3"/>
  <c r="L95" i="3"/>
  <c r="AB95" i="3"/>
  <c r="AR95" i="3"/>
  <c r="BH95" i="3"/>
  <c r="P101" i="3"/>
  <c r="AF101" i="3"/>
  <c r="AV101" i="3"/>
  <c r="BL101" i="3"/>
  <c r="J112" i="3"/>
  <c r="AA112" i="3"/>
  <c r="AR112" i="3"/>
  <c r="BI112" i="3"/>
  <c r="AC126" i="3"/>
  <c r="J130" i="3"/>
  <c r="M95" i="3"/>
  <c r="AC95" i="3"/>
  <c r="AS95" i="3"/>
  <c r="BI95" i="3"/>
  <c r="Q101" i="3"/>
  <c r="AG101" i="3"/>
  <c r="AW101" i="3"/>
  <c r="BM101" i="3"/>
  <c r="AS112" i="3"/>
  <c r="BJ112" i="3"/>
  <c r="AD126" i="3"/>
  <c r="Y88" i="3"/>
  <c r="AO88" i="3"/>
  <c r="BE88" i="3"/>
  <c r="I89" i="3"/>
  <c r="J89" i="3" s="1"/>
  <c r="N95" i="3"/>
  <c r="AD95" i="3"/>
  <c r="AT95" i="3"/>
  <c r="BJ95" i="3"/>
  <c r="R101" i="3"/>
  <c r="AH101" i="3"/>
  <c r="AX101" i="3"/>
  <c r="BN101" i="3"/>
  <c r="AS107" i="3"/>
  <c r="M107" i="3"/>
  <c r="Z107" i="3"/>
  <c r="L112" i="3"/>
  <c r="BK112" i="3"/>
  <c r="AM126" i="3"/>
  <c r="J88" i="3"/>
  <c r="Z88" i="3"/>
  <c r="AP88" i="3"/>
  <c r="BF88" i="3"/>
  <c r="O95" i="3"/>
  <c r="AE95" i="3"/>
  <c r="AU95" i="3"/>
  <c r="S101" i="3"/>
  <c r="AI101" i="3"/>
  <c r="AY101" i="3"/>
  <c r="J107" i="3"/>
  <c r="AA107" i="3" s="1"/>
  <c r="BJ107" i="3"/>
  <c r="AD112" i="3"/>
  <c r="AT126" i="3"/>
  <c r="BH140" i="3"/>
  <c r="V126" i="3"/>
  <c r="AN126" i="3"/>
  <c r="BF126" i="3"/>
  <c r="J128" i="3"/>
  <c r="Q128" i="3" s="1"/>
  <c r="W126" i="3"/>
  <c r="AO126" i="3"/>
  <c r="BG126" i="3"/>
  <c r="X126" i="3"/>
  <c r="AP126" i="3"/>
  <c r="BH126" i="3"/>
  <c r="I129" i="3"/>
  <c r="J133" i="3"/>
  <c r="Y126" i="3"/>
  <c r="AQ126" i="3"/>
  <c r="BI126" i="3"/>
  <c r="J129" i="3"/>
  <c r="Z126" i="3"/>
  <c r="AR126" i="3"/>
  <c r="BJ126" i="3"/>
  <c r="BN126" i="3"/>
  <c r="AX126" i="3"/>
  <c r="AH126" i="3"/>
  <c r="R126" i="3"/>
  <c r="BM126" i="3"/>
  <c r="AW126" i="3"/>
  <c r="AG126" i="3"/>
  <c r="Q126" i="3"/>
  <c r="BL126" i="3"/>
  <c r="AA126" i="3"/>
  <c r="AS126" i="3"/>
  <c r="BK126" i="3"/>
  <c r="I130" i="3"/>
  <c r="BN192" i="3"/>
  <c r="AX192" i="3"/>
  <c r="AH192" i="3"/>
  <c r="R192" i="3"/>
  <c r="BJ192" i="3"/>
  <c r="AR192" i="3"/>
  <c r="Z192" i="3"/>
  <c r="Y192" i="3"/>
  <c r="AP192" i="3"/>
  <c r="BF192" i="3"/>
  <c r="AN192" i="3"/>
  <c r="V192" i="3"/>
  <c r="BE192" i="3"/>
  <c r="AM192" i="3"/>
  <c r="T192" i="3"/>
  <c r="S192" i="3"/>
  <c r="I193" i="3"/>
  <c r="BT192" i="3"/>
  <c r="BB192" i="3"/>
  <c r="AI192" i="3"/>
  <c r="P192" i="3"/>
  <c r="BS192" i="3"/>
  <c r="AZ192" i="3"/>
  <c r="AG192" i="3"/>
  <c r="AY192" i="3"/>
  <c r="N192" i="3"/>
  <c r="J192" i="3"/>
  <c r="BS147" i="3"/>
  <c r="BQ160" i="3"/>
  <c r="AK160" i="3"/>
  <c r="U160" i="3"/>
  <c r="AZ160" i="3"/>
  <c r="T160" i="3"/>
  <c r="BN160" i="3"/>
  <c r="AX160" i="3"/>
  <c r="AH160" i="3"/>
  <c r="R160" i="3"/>
  <c r="AB160" i="3"/>
  <c r="AU160" i="3"/>
  <c r="BO160" i="3"/>
  <c r="AA192" i="3"/>
  <c r="BT147" i="3"/>
  <c r="J160" i="3"/>
  <c r="AC160" i="3"/>
  <c r="AV160" i="3"/>
  <c r="BR160" i="3"/>
  <c r="AC192" i="3"/>
  <c r="I195" i="3"/>
  <c r="BA215" i="3"/>
  <c r="T215" i="3"/>
  <c r="AY215" i="3"/>
  <c r="AH215" i="3"/>
  <c r="AW215" i="3"/>
  <c r="P215" i="3"/>
  <c r="AU215" i="3"/>
  <c r="AD215" i="3"/>
  <c r="AS215" i="3"/>
  <c r="L215" i="3"/>
  <c r="AQ215" i="3"/>
  <c r="AP215" i="3"/>
  <c r="J215" i="3"/>
  <c r="U215" i="3" s="1"/>
  <c r="I217" i="3"/>
  <c r="BT215" i="3"/>
  <c r="BE215" i="3"/>
  <c r="BC215" i="3"/>
  <c r="AL215" i="3"/>
  <c r="AD160" i="3"/>
  <c r="AW160" i="3"/>
  <c r="AF166" i="3"/>
  <c r="J147" i="3"/>
  <c r="W147" i="3" s="1"/>
  <c r="BF147" i="3"/>
  <c r="L160" i="3"/>
  <c r="AE160" i="3"/>
  <c r="BT160" i="3"/>
  <c r="BS166" i="3"/>
  <c r="BC166" i="3"/>
  <c r="AM166" i="3"/>
  <c r="W166" i="3"/>
  <c r="BQ166" i="3"/>
  <c r="BA166" i="3"/>
  <c r="AK166" i="3"/>
  <c r="U166" i="3"/>
  <c r="BK166" i="3"/>
  <c r="AU166" i="3"/>
  <c r="AE166" i="3"/>
  <c r="O166" i="3"/>
  <c r="AG166" i="3"/>
  <c r="BH166" i="3"/>
  <c r="X215" i="3"/>
  <c r="AT233" i="3"/>
  <c r="BE233" i="3"/>
  <c r="AQ147" i="3"/>
  <c r="M160" i="3"/>
  <c r="AF160" i="3"/>
  <c r="BB160" i="3"/>
  <c r="I161" i="3"/>
  <c r="K166" i="3"/>
  <c r="AH166" i="3"/>
  <c r="BI166" i="3"/>
  <c r="AS192" i="3"/>
  <c r="AG160" i="3"/>
  <c r="BC160" i="3"/>
  <c r="L166" i="3"/>
  <c r="AI166" i="3"/>
  <c r="BJ166" i="3"/>
  <c r="AU192" i="3"/>
  <c r="I216" i="3"/>
  <c r="BD140" i="3"/>
  <c r="BT140" i="3"/>
  <c r="AC147" i="3"/>
  <c r="BL154" i="3"/>
  <c r="AV154" i="3"/>
  <c r="AF154" i="3"/>
  <c r="P154" i="3"/>
  <c r="Z154" i="3"/>
  <c r="AQ154" i="3"/>
  <c r="BH154" i="3"/>
  <c r="O160" i="3"/>
  <c r="AI160" i="3"/>
  <c r="I164" i="3"/>
  <c r="M166" i="3"/>
  <c r="AJ166" i="3"/>
  <c r="BL166" i="3"/>
  <c r="BE140" i="3"/>
  <c r="N147" i="3"/>
  <c r="J154" i="3"/>
  <c r="AA154" i="3"/>
  <c r="AR154" i="3"/>
  <c r="BI154" i="3"/>
  <c r="P160" i="3"/>
  <c r="AL160" i="3"/>
  <c r="BE160" i="3"/>
  <c r="I162" i="3"/>
  <c r="J164" i="3"/>
  <c r="N166" i="3"/>
  <c r="AP166" i="3"/>
  <c r="BM166" i="3"/>
  <c r="AW192" i="3"/>
  <c r="J140" i="3"/>
  <c r="AP140" i="3"/>
  <c r="AU147" i="3"/>
  <c r="K154" i="3"/>
  <c r="AB154" i="3"/>
  <c r="AS154" i="3"/>
  <c r="BJ154" i="3"/>
  <c r="I157" i="3"/>
  <c r="Q160" i="3"/>
  <c r="AM160" i="3"/>
  <c r="BF160" i="3"/>
  <c r="J162" i="3"/>
  <c r="P166" i="3"/>
  <c r="AQ166" i="3"/>
  <c r="BN166" i="3"/>
  <c r="BK192" i="3"/>
  <c r="AA140" i="3"/>
  <c r="AV147" i="3"/>
  <c r="L154" i="3"/>
  <c r="AC154" i="3"/>
  <c r="AT154" i="3"/>
  <c r="BK154" i="3"/>
  <c r="J157" i="3"/>
  <c r="AN160" i="3"/>
  <c r="BG160" i="3"/>
  <c r="Q166" i="3"/>
  <c r="AR166" i="3"/>
  <c r="BO166" i="3"/>
  <c r="AB140" i="3"/>
  <c r="AR140" i="3"/>
  <c r="M154" i="3"/>
  <c r="AD154" i="3"/>
  <c r="AU154" i="3"/>
  <c r="BM154" i="3"/>
  <c r="V160" i="3"/>
  <c r="AO160" i="3"/>
  <c r="BH160" i="3"/>
  <c r="I163" i="3"/>
  <c r="R166" i="3"/>
  <c r="AS166" i="3"/>
  <c r="BP166" i="3"/>
  <c r="BO192" i="3"/>
  <c r="U176" i="3"/>
  <c r="AK176" i="3"/>
  <c r="BA176" i="3"/>
  <c r="BQ176" i="3"/>
  <c r="X181" i="3"/>
  <c r="BD181" i="3"/>
  <c r="BT181" i="3"/>
  <c r="I183" i="3"/>
  <c r="U187" i="3"/>
  <c r="AL187" i="3"/>
  <c r="BC187" i="3"/>
  <c r="BT187" i="3"/>
  <c r="U174" i="3"/>
  <c r="V176" i="3"/>
  <c r="AL176" i="3"/>
  <c r="BB176" i="3"/>
  <c r="BR176" i="3"/>
  <c r="Y181" i="3"/>
  <c r="BE181" i="3"/>
  <c r="J183" i="3"/>
  <c r="V187" i="3"/>
  <c r="AM187" i="3"/>
  <c r="BD187" i="3"/>
  <c r="I188" i="3"/>
  <c r="W176" i="3"/>
  <c r="AM176" i="3"/>
  <c r="BC176" i="3"/>
  <c r="BS176" i="3"/>
  <c r="I179" i="3"/>
  <c r="J181" i="3"/>
  <c r="Z181" i="3"/>
  <c r="AP181" i="3"/>
  <c r="BF181" i="3"/>
  <c r="W187" i="3"/>
  <c r="AN187" i="3"/>
  <c r="BE187" i="3"/>
  <c r="BC174" i="3"/>
  <c r="X176" i="3"/>
  <c r="AN176" i="3"/>
  <c r="BD176" i="3"/>
  <c r="BT176" i="3"/>
  <c r="I178" i="3"/>
  <c r="J179" i="3"/>
  <c r="K181" i="3"/>
  <c r="AA181" i="3"/>
  <c r="AQ181" i="3"/>
  <c r="BG181" i="3"/>
  <c r="AO187" i="3"/>
  <c r="BF187" i="3"/>
  <c r="BS222" i="3"/>
  <c r="BB222" i="3"/>
  <c r="AL222" i="3"/>
  <c r="V222" i="3"/>
  <c r="BQ222" i="3"/>
  <c r="BA222" i="3"/>
  <c r="BF222" i="3"/>
  <c r="AN222" i="3"/>
  <c r="W222" i="3"/>
  <c r="BE222" i="3"/>
  <c r="AM222" i="3"/>
  <c r="BD222" i="3"/>
  <c r="AK222" i="3"/>
  <c r="BC222" i="3"/>
  <c r="S222" i="3"/>
  <c r="AZ222" i="3"/>
  <c r="AI222" i="3"/>
  <c r="R222" i="3"/>
  <c r="AY222" i="3"/>
  <c r="AH222" i="3"/>
  <c r="Q222" i="3"/>
  <c r="BP222" i="3"/>
  <c r="AX222" i="3"/>
  <c r="AG222" i="3"/>
  <c r="BO222" i="3"/>
  <c r="AW222" i="3"/>
  <c r="O222" i="3"/>
  <c r="AV222" i="3"/>
  <c r="AE222" i="3"/>
  <c r="N222" i="3"/>
  <c r="BM222" i="3"/>
  <c r="AU222" i="3"/>
  <c r="AD222" i="3"/>
  <c r="M222" i="3"/>
  <c r="BL222" i="3"/>
  <c r="AT222" i="3"/>
  <c r="AC222" i="3"/>
  <c r="BK222" i="3"/>
  <c r="AS222" i="3"/>
  <c r="AB222" i="3"/>
  <c r="K222" i="3"/>
  <c r="Y176" i="3"/>
  <c r="AO176" i="3"/>
  <c r="BE176" i="3"/>
  <c r="I177" i="3"/>
  <c r="J178" i="3"/>
  <c r="L181" i="3"/>
  <c r="AB181" i="3"/>
  <c r="AR181" i="3"/>
  <c r="Y187" i="3"/>
  <c r="AP187" i="3"/>
  <c r="BG187" i="3"/>
  <c r="BG221" i="3"/>
  <c r="J222" i="3"/>
  <c r="BE174" i="3"/>
  <c r="Z176" i="3"/>
  <c r="AP176" i="3"/>
  <c r="BF176" i="3"/>
  <c r="BN187" i="3"/>
  <c r="AX187" i="3"/>
  <c r="AH187" i="3"/>
  <c r="Z187" i="3"/>
  <c r="AQ187" i="3"/>
  <c r="BH187" i="3"/>
  <c r="J204" i="3"/>
  <c r="I206" i="3" s="1"/>
  <c r="BT204" i="3"/>
  <c r="AN171" i="3"/>
  <c r="BD171" i="3"/>
  <c r="I173" i="3"/>
  <c r="J174" i="3"/>
  <c r="K176" i="3"/>
  <c r="AA176" i="3"/>
  <c r="AQ176" i="3"/>
  <c r="BG176" i="3"/>
  <c r="N181" i="3"/>
  <c r="AD181" i="3"/>
  <c r="AT181" i="3"/>
  <c r="BJ181" i="3"/>
  <c r="J187" i="3"/>
  <c r="AA187" i="3"/>
  <c r="AR187" i="3"/>
  <c r="BI187" i="3"/>
  <c r="Y222" i="3"/>
  <c r="BK235" i="3"/>
  <c r="AU235" i="3"/>
  <c r="AE235" i="3"/>
  <c r="O235" i="3"/>
  <c r="BJ235" i="3"/>
  <c r="AT235" i="3"/>
  <c r="AD235" i="3"/>
  <c r="N235" i="3"/>
  <c r="BI235" i="3"/>
  <c r="AS235" i="3"/>
  <c r="AC235" i="3"/>
  <c r="M235" i="3"/>
  <c r="BH235" i="3"/>
  <c r="AR235" i="3"/>
  <c r="AB235" i="3"/>
  <c r="L235" i="3"/>
  <c r="BG235" i="3"/>
  <c r="AQ235" i="3"/>
  <c r="AA235" i="3"/>
  <c r="K235" i="3"/>
  <c r="J236" i="3"/>
  <c r="BF235" i="3"/>
  <c r="J238" i="3"/>
  <c r="I237" i="3"/>
  <c r="BD235" i="3"/>
  <c r="AN235" i="3"/>
  <c r="X235" i="3"/>
  <c r="I238" i="3"/>
  <c r="BS235" i="3"/>
  <c r="BC235" i="3"/>
  <c r="AM235" i="3"/>
  <c r="W235" i="3"/>
  <c r="I239" i="3"/>
  <c r="BR235" i="3"/>
  <c r="BB235" i="3"/>
  <c r="AL235" i="3"/>
  <c r="V235" i="3"/>
  <c r="I240" i="3"/>
  <c r="J240" i="3" s="1"/>
  <c r="BQ235" i="3"/>
  <c r="BA235" i="3"/>
  <c r="AK235" i="3"/>
  <c r="U235" i="3"/>
  <c r="BP235" i="3"/>
  <c r="AZ235" i="3"/>
  <c r="AJ235" i="3"/>
  <c r="T235" i="3"/>
  <c r="AV235" i="3"/>
  <c r="AP235" i="3"/>
  <c r="J237" i="3"/>
  <c r="AO235" i="3"/>
  <c r="AI235" i="3"/>
  <c r="AH235" i="3"/>
  <c r="AG235" i="3"/>
  <c r="I236" i="3"/>
  <c r="AF235" i="3"/>
  <c r="Z235" i="3"/>
  <c r="BO235" i="3"/>
  <c r="Y235" i="3"/>
  <c r="BN235" i="3"/>
  <c r="S235" i="3"/>
  <c r="BM235" i="3"/>
  <c r="R235" i="3"/>
  <c r="BL235" i="3"/>
  <c r="Q235" i="3"/>
  <c r="V166" i="3"/>
  <c r="AL166" i="3"/>
  <c r="BB166" i="3"/>
  <c r="BR166" i="3"/>
  <c r="Y171" i="3"/>
  <c r="AO171" i="3"/>
  <c r="BE171" i="3"/>
  <c r="I172" i="3"/>
  <c r="J173" i="3"/>
  <c r="K174" i="3"/>
  <c r="L176" i="3"/>
  <c r="AB176" i="3"/>
  <c r="AR176" i="3"/>
  <c r="BH176" i="3"/>
  <c r="O181" i="3"/>
  <c r="AE181" i="3"/>
  <c r="AU181" i="3"/>
  <c r="BK181" i="3"/>
  <c r="K187" i="3"/>
  <c r="AB187" i="3"/>
  <c r="AS187" i="3"/>
  <c r="BJ187" i="3"/>
  <c r="Z222" i="3"/>
  <c r="I169" i="3"/>
  <c r="Z171" i="3"/>
  <c r="AP171" i="3"/>
  <c r="BF171" i="3"/>
  <c r="J172" i="3"/>
  <c r="AR174" i="3"/>
  <c r="M176" i="3"/>
  <c r="AC176" i="3"/>
  <c r="AS176" i="3"/>
  <c r="BI176" i="3"/>
  <c r="P181" i="3"/>
  <c r="AF181" i="3"/>
  <c r="AV181" i="3"/>
  <c r="BL181" i="3"/>
  <c r="L187" i="3"/>
  <c r="AC187" i="3"/>
  <c r="AT187" i="3"/>
  <c r="BK187" i="3"/>
  <c r="AA222" i="3"/>
  <c r="P235" i="3"/>
  <c r="X166" i="3"/>
  <c r="AN166" i="3"/>
  <c r="BD166" i="3"/>
  <c r="BT166" i="3"/>
  <c r="I168" i="3"/>
  <c r="J168" i="3" s="1"/>
  <c r="J169" i="3"/>
  <c r="K171" i="3"/>
  <c r="AA171" i="3"/>
  <c r="AQ171" i="3"/>
  <c r="BG171" i="3"/>
  <c r="AC174" i="3"/>
  <c r="N176" i="3"/>
  <c r="AD176" i="3"/>
  <c r="AT176" i="3"/>
  <c r="BJ176" i="3"/>
  <c r="AG181" i="3"/>
  <c r="AW181" i="3"/>
  <c r="BM181" i="3"/>
  <c r="M187" i="3"/>
  <c r="AD187" i="3"/>
  <c r="AU187" i="3"/>
  <c r="BL187" i="3"/>
  <c r="AO222" i="3"/>
  <c r="AW235" i="3"/>
  <c r="Y166" i="3"/>
  <c r="AO166" i="3"/>
  <c r="BE166" i="3"/>
  <c r="I167" i="3"/>
  <c r="AB171" i="3"/>
  <c r="AR171" i="3"/>
  <c r="AD174" i="3"/>
  <c r="O176" i="3"/>
  <c r="AE176" i="3"/>
  <c r="AU176" i="3"/>
  <c r="R181" i="3"/>
  <c r="AH181" i="3"/>
  <c r="AX181" i="3"/>
  <c r="BN181" i="3"/>
  <c r="N187" i="3"/>
  <c r="AE187" i="3"/>
  <c r="AV187" i="3"/>
  <c r="BM187" i="3"/>
  <c r="BS197" i="3"/>
  <c r="BC197" i="3"/>
  <c r="AM197" i="3"/>
  <c r="W197" i="3"/>
  <c r="BR197" i="3"/>
  <c r="BB197" i="3"/>
  <c r="AL197" i="3"/>
  <c r="V197" i="3"/>
  <c r="BN197" i="3"/>
  <c r="BJ197" i="3"/>
  <c r="AT197" i="3"/>
  <c r="AD197" i="3"/>
  <c r="AF197" i="3"/>
  <c r="BG197" i="3"/>
  <c r="AP222" i="3"/>
  <c r="AX235" i="3"/>
  <c r="W210" i="3"/>
  <c r="AM210" i="3"/>
  <c r="BC210" i="3"/>
  <c r="BS210" i="3"/>
  <c r="I213" i="3"/>
  <c r="W221" i="3"/>
  <c r="AN221" i="3"/>
  <c r="BE221" i="3"/>
  <c r="X210" i="3"/>
  <c r="AN210" i="3"/>
  <c r="BD210" i="3"/>
  <c r="BT210" i="3"/>
  <c r="I212" i="3"/>
  <c r="X221" i="3"/>
  <c r="BF221" i="3"/>
  <c r="BK223" i="3"/>
  <c r="I250" i="3"/>
  <c r="J250" i="3" s="1"/>
  <c r="BS247" i="3"/>
  <c r="BC247" i="3"/>
  <c r="AM247" i="3"/>
  <c r="W247" i="3"/>
  <c r="BR247" i="3"/>
  <c r="BB247" i="3"/>
  <c r="AL247" i="3"/>
  <c r="V247" i="3"/>
  <c r="BJ247" i="3"/>
  <c r="AR247" i="3"/>
  <c r="Z247" i="3"/>
  <c r="BI247" i="3"/>
  <c r="AQ247" i="3"/>
  <c r="Y247" i="3"/>
  <c r="J249" i="3"/>
  <c r="BH247" i="3"/>
  <c r="AP247" i="3"/>
  <c r="X247" i="3"/>
  <c r="I249" i="3"/>
  <c r="BG247" i="3"/>
  <c r="AO247" i="3"/>
  <c r="U247" i="3"/>
  <c r="BF247" i="3"/>
  <c r="AN247" i="3"/>
  <c r="T247" i="3"/>
  <c r="BE247" i="3"/>
  <c r="AK247" i="3"/>
  <c r="S247" i="3"/>
  <c r="BD247" i="3"/>
  <c r="AJ247" i="3"/>
  <c r="R247" i="3"/>
  <c r="I248" i="3"/>
  <c r="BA247" i="3"/>
  <c r="AI247" i="3"/>
  <c r="Q247" i="3"/>
  <c r="AZ247" i="3"/>
  <c r="AH247" i="3"/>
  <c r="P247" i="3"/>
  <c r="BQ247" i="3"/>
  <c r="AY247" i="3"/>
  <c r="AG247" i="3"/>
  <c r="O247" i="3"/>
  <c r="BP247" i="3"/>
  <c r="AX247" i="3"/>
  <c r="AF247" i="3"/>
  <c r="N247" i="3"/>
  <c r="BO247" i="3"/>
  <c r="AW247" i="3"/>
  <c r="AE247" i="3"/>
  <c r="M247" i="3"/>
  <c r="Y210" i="3"/>
  <c r="AO210" i="3"/>
  <c r="BE210" i="3"/>
  <c r="I211" i="3"/>
  <c r="Y221" i="3"/>
  <c r="Z210" i="3"/>
  <c r="AP210" i="3"/>
  <c r="BF210" i="3"/>
  <c r="J211" i="3"/>
  <c r="BQ221" i="3"/>
  <c r="BA221" i="3"/>
  <c r="AK221" i="3"/>
  <c r="Z221" i="3"/>
  <c r="AQ221" i="3"/>
  <c r="K247" i="3"/>
  <c r="AU258" i="3"/>
  <c r="O258" i="3"/>
  <c r="BJ258" i="3"/>
  <c r="N258" i="3"/>
  <c r="AC258" i="3"/>
  <c r="BH258" i="3"/>
  <c r="AQ258" i="3"/>
  <c r="K258" i="3"/>
  <c r="BD258" i="3"/>
  <c r="BS258" i="3"/>
  <c r="W258" i="3"/>
  <c r="BA258" i="3"/>
  <c r="BO258" i="3"/>
  <c r="BN258" i="3"/>
  <c r="AH258" i="3"/>
  <c r="BL258" i="3"/>
  <c r="Z258" i="3"/>
  <c r="Y258" i="3"/>
  <c r="AY258" i="3"/>
  <c r="AX258" i="3"/>
  <c r="R258" i="3"/>
  <c r="K210" i="3"/>
  <c r="AA210" i="3"/>
  <c r="AQ210" i="3"/>
  <c r="BG210" i="3"/>
  <c r="J221" i="3"/>
  <c r="AO221" i="3" s="1"/>
  <c r="AA221" i="3"/>
  <c r="BI221" i="3"/>
  <c r="BN223" i="3"/>
  <c r="J258" i="3"/>
  <c r="AL258" i="3" s="1"/>
  <c r="L210" i="3"/>
  <c r="AB210" i="3"/>
  <c r="AR210" i="3"/>
  <c r="BH210" i="3"/>
  <c r="AB221" i="3"/>
  <c r="AS221" i="3"/>
  <c r="BJ221" i="3"/>
  <c r="AA223" i="3"/>
  <c r="AA247" i="3"/>
  <c r="M210" i="3"/>
  <c r="AC210" i="3"/>
  <c r="AS210" i="3"/>
  <c r="BI210" i="3"/>
  <c r="BD223" i="3"/>
  <c r="W223" i="3"/>
  <c r="BB223" i="3"/>
  <c r="BP223" i="3"/>
  <c r="U197" i="3"/>
  <c r="AK197" i="3"/>
  <c r="BA197" i="3"/>
  <c r="BQ197" i="3"/>
  <c r="I202" i="3"/>
  <c r="N210" i="3"/>
  <c r="AD210" i="3"/>
  <c r="AT210" i="3"/>
  <c r="BJ210" i="3"/>
  <c r="BQ220" i="3"/>
  <c r="BA220" i="3"/>
  <c r="AK220" i="3"/>
  <c r="U220" i="3"/>
  <c r="Z220" i="3"/>
  <c r="AQ220" i="3"/>
  <c r="BH220" i="3"/>
  <c r="M221" i="3"/>
  <c r="AD221" i="3"/>
  <c r="BL221" i="3"/>
  <c r="J223" i="3"/>
  <c r="AP223" i="3" s="1"/>
  <c r="AW223" i="3"/>
  <c r="AC225" i="3"/>
  <c r="AW225" i="3"/>
  <c r="AC247" i="3"/>
  <c r="AO258" i="3"/>
  <c r="I201" i="3"/>
  <c r="O210" i="3"/>
  <c r="AE210" i="3"/>
  <c r="AU210" i="3"/>
  <c r="BK210" i="3"/>
  <c r="AA220" i="3"/>
  <c r="AR220" i="3"/>
  <c r="BI220" i="3"/>
  <c r="N221" i="3"/>
  <c r="AE221" i="3"/>
  <c r="BM221" i="3"/>
  <c r="AX223" i="3"/>
  <c r="AL225" i="3"/>
  <c r="V225" i="3"/>
  <c r="AD225" i="3"/>
  <c r="AX225" i="3"/>
  <c r="AD247" i="3"/>
  <c r="I200" i="3"/>
  <c r="J201" i="3"/>
  <c r="P210" i="3"/>
  <c r="AF210" i="3"/>
  <c r="AV210" i="3"/>
  <c r="BL210" i="3"/>
  <c r="K220" i="3"/>
  <c r="AB220" i="3"/>
  <c r="AS220" i="3"/>
  <c r="BJ220" i="3"/>
  <c r="O221" i="3"/>
  <c r="AF221" i="3"/>
  <c r="AW221" i="3"/>
  <c r="BN221" i="3"/>
  <c r="AE225" i="3"/>
  <c r="AY225" i="3"/>
  <c r="J226" i="3"/>
  <c r="AS247" i="3"/>
  <c r="BR269" i="3"/>
  <c r="X197" i="3"/>
  <c r="AN197" i="3"/>
  <c r="BD197" i="3"/>
  <c r="BT197" i="3"/>
  <c r="I199" i="3"/>
  <c r="J200" i="3"/>
  <c r="Q210" i="3"/>
  <c r="AG210" i="3"/>
  <c r="AW210" i="3"/>
  <c r="BM210" i="3"/>
  <c r="L220" i="3"/>
  <c r="AC220" i="3"/>
  <c r="AT220" i="3"/>
  <c r="BK220" i="3"/>
  <c r="P221" i="3"/>
  <c r="AG221" i="3"/>
  <c r="AX221" i="3"/>
  <c r="BO221" i="3"/>
  <c r="AF223" i="3"/>
  <c r="L225" i="3"/>
  <c r="AF225" i="3"/>
  <c r="AZ225" i="3"/>
  <c r="AT247" i="3"/>
  <c r="Y197" i="3"/>
  <c r="AO197" i="3"/>
  <c r="BE197" i="3"/>
  <c r="I198" i="3"/>
  <c r="R210" i="3"/>
  <c r="AH210" i="3"/>
  <c r="AX210" i="3"/>
  <c r="AU220" i="3"/>
  <c r="Q221" i="3"/>
  <c r="AH221" i="3"/>
  <c r="AY221" i="3"/>
  <c r="BP221" i="3"/>
  <c r="BE223" i="3"/>
  <c r="AU247" i="3"/>
  <c r="Y242" i="3"/>
  <c r="BF273" i="3"/>
  <c r="J242" i="3"/>
  <c r="BF242" i="3" s="1"/>
  <c r="Z242" i="3"/>
  <c r="AP242" i="3"/>
  <c r="AQ242" i="3"/>
  <c r="L242" i="3"/>
  <c r="BF269" i="3"/>
  <c r="M242" i="3"/>
  <c r="AC242" i="3"/>
  <c r="AS242" i="3"/>
  <c r="BI242" i="3"/>
  <c r="AY267" i="3"/>
  <c r="S267" i="3"/>
  <c r="BM267" i="3"/>
  <c r="Q267" i="3"/>
  <c r="AU267" i="3"/>
  <c r="O267" i="3"/>
  <c r="BI267" i="3"/>
  <c r="M267" i="3"/>
  <c r="AQ267" i="3"/>
  <c r="K267" i="3"/>
  <c r="BQ267" i="3"/>
  <c r="AU273" i="3"/>
  <c r="AE273" i="3"/>
  <c r="BD273" i="3"/>
  <c r="V273" i="3"/>
  <c r="BT273" i="3"/>
  <c r="BS273" i="3"/>
  <c r="AK273" i="3"/>
  <c r="T273" i="3"/>
  <c r="BQ273" i="3"/>
  <c r="AI273" i="3"/>
  <c r="AH273" i="3"/>
  <c r="BO273" i="3"/>
  <c r="AX273" i="3"/>
  <c r="O273" i="3"/>
  <c r="AV273" i="3"/>
  <c r="AC273" i="3"/>
  <c r="BJ273" i="3"/>
  <c r="BH273" i="3"/>
  <c r="J273" i="3"/>
  <c r="W273" i="3" s="1"/>
  <c r="BK242" i="3"/>
  <c r="V267" i="3"/>
  <c r="BA269" i="3"/>
  <c r="U269" i="3"/>
  <c r="BP269" i="3"/>
  <c r="AZ269" i="3"/>
  <c r="AJ269" i="3"/>
  <c r="T269" i="3"/>
  <c r="BO269" i="3"/>
  <c r="AY269" i="3"/>
  <c r="AI269" i="3"/>
  <c r="BN269" i="3"/>
  <c r="AX269" i="3"/>
  <c r="R269" i="3"/>
  <c r="AW269" i="3"/>
  <c r="Q269" i="3"/>
  <c r="BL269" i="3"/>
  <c r="AV269" i="3"/>
  <c r="AF269" i="3"/>
  <c r="P269" i="3"/>
  <c r="BK269" i="3"/>
  <c r="AU269" i="3"/>
  <c r="AE269" i="3"/>
  <c r="BJ269" i="3"/>
  <c r="AT269" i="3"/>
  <c r="N269" i="3"/>
  <c r="AS269" i="3"/>
  <c r="M269" i="3"/>
  <c r="BH269" i="3"/>
  <c r="AR269" i="3"/>
  <c r="AB269" i="3"/>
  <c r="L269" i="3"/>
  <c r="BG269" i="3"/>
  <c r="AQ269" i="3"/>
  <c r="AA269" i="3"/>
  <c r="I271" i="3"/>
  <c r="BT269" i="3"/>
  <c r="AN269" i="3"/>
  <c r="I270" i="3"/>
  <c r="J233" i="3"/>
  <c r="AX233" i="3" s="1"/>
  <c r="AF242" i="3"/>
  <c r="AV242" i="3"/>
  <c r="W267" i="3"/>
  <c r="J269" i="3"/>
  <c r="BQ269" i="3" s="1"/>
  <c r="J270" i="3"/>
  <c r="BB225" i="3"/>
  <c r="BR225" i="3"/>
  <c r="Y230" i="3"/>
  <c r="AO230" i="3"/>
  <c r="BE230" i="3"/>
  <c r="I231" i="3"/>
  <c r="J232" i="3"/>
  <c r="Y232" i="3" s="1"/>
  <c r="AW242" i="3"/>
  <c r="BJ257" i="3"/>
  <c r="BI257" i="3"/>
  <c r="AS257" i="3"/>
  <c r="AC257" i="3"/>
  <c r="M257" i="3"/>
  <c r="BH257" i="3"/>
  <c r="AR257" i="3"/>
  <c r="AB257" i="3"/>
  <c r="L257" i="3"/>
  <c r="AQ257" i="3"/>
  <c r="AA257" i="3"/>
  <c r="BF257" i="3"/>
  <c r="BR257" i="3"/>
  <c r="BB257" i="3"/>
  <c r="AL257" i="3"/>
  <c r="V257" i="3"/>
  <c r="BP257" i="3"/>
  <c r="AJ257" i="3"/>
  <c r="BL257" i="3"/>
  <c r="W225" i="3"/>
  <c r="AM225" i="3"/>
  <c r="BC225" i="3"/>
  <c r="BS225" i="3"/>
  <c r="I228" i="3"/>
  <c r="Z230" i="3"/>
  <c r="AP230" i="3"/>
  <c r="BF230" i="3"/>
  <c r="AA232" i="3"/>
  <c r="R242" i="3"/>
  <c r="BN242" i="3"/>
  <c r="AK257" i="3"/>
  <c r="W269" i="3"/>
  <c r="X225" i="3"/>
  <c r="AN225" i="3"/>
  <c r="BD225" i="3"/>
  <c r="I227" i="3"/>
  <c r="J228" i="3"/>
  <c r="K230" i="3"/>
  <c r="AA230" i="3"/>
  <c r="AQ230" i="3"/>
  <c r="BG230" i="3"/>
  <c r="L232" i="3"/>
  <c r="AR232" i="3"/>
  <c r="AY242" i="3"/>
  <c r="BO242" i="3"/>
  <c r="P257" i="3"/>
  <c r="AM257" i="3"/>
  <c r="BN257" i="3"/>
  <c r="Y269" i="3"/>
  <c r="AA273" i="3"/>
  <c r="AH277" i="3"/>
  <c r="BM277" i="3"/>
  <c r="AO277" i="3"/>
  <c r="AN277" i="3"/>
  <c r="BD277" i="3"/>
  <c r="T277" i="3"/>
  <c r="BT277" i="3"/>
  <c r="P277" i="3"/>
  <c r="AZ277" i="3"/>
  <c r="N277" i="3"/>
  <c r="L277" i="3"/>
  <c r="AT277" i="3"/>
  <c r="J277" i="3"/>
  <c r="Y225" i="3"/>
  <c r="AO225" i="3"/>
  <c r="BE225" i="3"/>
  <c r="I226" i="3"/>
  <c r="L230" i="3"/>
  <c r="AB230" i="3"/>
  <c r="AR230" i="3"/>
  <c r="AS232" i="3"/>
  <c r="AJ242" i="3"/>
  <c r="BO257" i="3"/>
  <c r="AL267" i="3"/>
  <c r="Z269" i="3"/>
  <c r="AB273" i="3"/>
  <c r="X277" i="3"/>
  <c r="BT301" i="3"/>
  <c r="BB301" i="3"/>
  <c r="AX301" i="3"/>
  <c r="AV301" i="3"/>
  <c r="M301" i="3"/>
  <c r="V260" i="3"/>
  <c r="AL260" i="3"/>
  <c r="BB260" i="3"/>
  <c r="BR260" i="3"/>
  <c r="Y265" i="3"/>
  <c r="AO265" i="3"/>
  <c r="BE265" i="3"/>
  <c r="I266" i="3"/>
  <c r="J267" i="3"/>
  <c r="T267" i="3" s="1"/>
  <c r="AO281" i="3"/>
  <c r="J301" i="3"/>
  <c r="AF301" i="3" s="1"/>
  <c r="AM260" i="3"/>
  <c r="BC260" i="3"/>
  <c r="BS260" i="3"/>
  <c r="I263" i="3"/>
  <c r="Z265" i="3"/>
  <c r="AP265" i="3"/>
  <c r="BF265" i="3"/>
  <c r="J266" i="3"/>
  <c r="X281" i="3"/>
  <c r="AP281" i="3"/>
  <c r="BK281" i="3"/>
  <c r="X260" i="3"/>
  <c r="AN260" i="3"/>
  <c r="BD260" i="3"/>
  <c r="BT260" i="3"/>
  <c r="I262" i="3"/>
  <c r="K265" i="3"/>
  <c r="AA265" i="3"/>
  <c r="AQ265" i="3"/>
  <c r="BG265" i="3"/>
  <c r="Y281" i="3"/>
  <c r="AQ281" i="3"/>
  <c r="BL281" i="3"/>
  <c r="Y260" i="3"/>
  <c r="AO260" i="3"/>
  <c r="BE260" i="3"/>
  <c r="I261" i="3"/>
  <c r="L265" i="3"/>
  <c r="AB265" i="3"/>
  <c r="AR265" i="3"/>
  <c r="BH265" i="3"/>
  <c r="Z281" i="3"/>
  <c r="AR281" i="3"/>
  <c r="Z260" i="3"/>
  <c r="AP260" i="3"/>
  <c r="BF260" i="3"/>
  <c r="M265" i="3"/>
  <c r="AS265" i="3"/>
  <c r="BI265" i="3"/>
  <c r="BP281" i="3"/>
  <c r="AZ281" i="3"/>
  <c r="AJ281" i="3"/>
  <c r="T281" i="3"/>
  <c r="BO281" i="3"/>
  <c r="AY281" i="3"/>
  <c r="AI281" i="3"/>
  <c r="S281" i="3"/>
  <c r="BJ281" i="3"/>
  <c r="AT281" i="3"/>
  <c r="BI281" i="3"/>
  <c r="AA281" i="3"/>
  <c r="AS281" i="3"/>
  <c r="BN281" i="3"/>
  <c r="AB281" i="3"/>
  <c r="AU281" i="3"/>
  <c r="BQ281" i="3"/>
  <c r="Y256" i="3"/>
  <c r="J257" i="3"/>
  <c r="L260" i="3"/>
  <c r="AB260" i="3"/>
  <c r="AR260" i="3"/>
  <c r="BH260" i="3"/>
  <c r="O265" i="3"/>
  <c r="AE265" i="3"/>
  <c r="AU265" i="3"/>
  <c r="BK265" i="3"/>
  <c r="K281" i="3"/>
  <c r="AC281" i="3"/>
  <c r="AV281" i="3"/>
  <c r="BR281" i="3"/>
  <c r="I289" i="3"/>
  <c r="BS286" i="3"/>
  <c r="BC286" i="3"/>
  <c r="AM286" i="3"/>
  <c r="W286" i="3"/>
  <c r="BR286" i="3"/>
  <c r="BB286" i="3"/>
  <c r="AL286" i="3"/>
  <c r="V286" i="3"/>
  <c r="BP286" i="3"/>
  <c r="AZ286" i="3"/>
  <c r="AJ286" i="3"/>
  <c r="AW286" i="3"/>
  <c r="AG286" i="3"/>
  <c r="Q286" i="3"/>
  <c r="BL286" i="3"/>
  <c r="AV286" i="3"/>
  <c r="AF286" i="3"/>
  <c r="P286" i="3"/>
  <c r="AC286" i="3"/>
  <c r="BA286" i="3"/>
  <c r="X254" i="3"/>
  <c r="AN254" i="3"/>
  <c r="BD254" i="3"/>
  <c r="I255" i="3"/>
  <c r="J255" i="3" s="1"/>
  <c r="J256" i="3"/>
  <c r="Z256" i="3" s="1"/>
  <c r="BF256" i="3"/>
  <c r="M260" i="3"/>
  <c r="AC260" i="3"/>
  <c r="AS260" i="3"/>
  <c r="BI260" i="3"/>
  <c r="P265" i="3"/>
  <c r="AF265" i="3"/>
  <c r="AV265" i="3"/>
  <c r="BL265" i="3"/>
  <c r="L281" i="3"/>
  <c r="AD281" i="3"/>
  <c r="AW281" i="3"/>
  <c r="BS281" i="3"/>
  <c r="I284" i="3"/>
  <c r="J286" i="3"/>
  <c r="AD286" i="3"/>
  <c r="BD286" i="3"/>
  <c r="Y254" i="3"/>
  <c r="BE254" i="3"/>
  <c r="AA256" i="3"/>
  <c r="BG256" i="3"/>
  <c r="N260" i="3"/>
  <c r="AD260" i="3"/>
  <c r="AT260" i="3"/>
  <c r="BJ260" i="3"/>
  <c r="Q265" i="3"/>
  <c r="AG265" i="3"/>
  <c r="AW265" i="3"/>
  <c r="BM265" i="3"/>
  <c r="M281" i="3"/>
  <c r="AE281" i="3"/>
  <c r="AX281" i="3"/>
  <c r="BT281" i="3"/>
  <c r="I283" i="3"/>
  <c r="J284" i="3"/>
  <c r="K286" i="3"/>
  <c r="AE286" i="3"/>
  <c r="BE286" i="3"/>
  <c r="I288" i="3"/>
  <c r="J292" i="3"/>
  <c r="Y252" i="3"/>
  <c r="AO252" i="3"/>
  <c r="BE252" i="3"/>
  <c r="I253" i="3"/>
  <c r="J254" i="3"/>
  <c r="BG254" i="3" s="1"/>
  <c r="Z254" i="3"/>
  <c r="AP254" i="3"/>
  <c r="BF254" i="3"/>
  <c r="L256" i="3"/>
  <c r="AR256" i="3"/>
  <c r="BH256" i="3"/>
  <c r="O260" i="3"/>
  <c r="AE260" i="3"/>
  <c r="AU260" i="3"/>
  <c r="BK260" i="3"/>
  <c r="R265" i="3"/>
  <c r="AH265" i="3"/>
  <c r="AX265" i="3"/>
  <c r="BN265" i="3"/>
  <c r="N281" i="3"/>
  <c r="AF281" i="3"/>
  <c r="BA281" i="3"/>
  <c r="I282" i="3"/>
  <c r="J282" i="3" s="1"/>
  <c r="J283" i="3"/>
  <c r="L286" i="3"/>
  <c r="AH286" i="3"/>
  <c r="BF286" i="3"/>
  <c r="J288" i="3"/>
  <c r="BC318" i="3"/>
  <c r="AM318" i="3"/>
  <c r="BR318" i="3"/>
  <c r="AL318" i="3"/>
  <c r="V318" i="3"/>
  <c r="BF318" i="3"/>
  <c r="AN318" i="3"/>
  <c r="T318" i="3"/>
  <c r="BE318" i="3"/>
  <c r="AK318" i="3"/>
  <c r="S318" i="3"/>
  <c r="BD318" i="3"/>
  <c r="AJ318" i="3"/>
  <c r="BA318" i="3"/>
  <c r="AI318" i="3"/>
  <c r="AZ318" i="3"/>
  <c r="P318" i="3"/>
  <c r="BQ318" i="3"/>
  <c r="AY318" i="3"/>
  <c r="AG318" i="3"/>
  <c r="O318" i="3"/>
  <c r="BP318" i="3"/>
  <c r="AX318" i="3"/>
  <c r="AF318" i="3"/>
  <c r="N318" i="3"/>
  <c r="BO318" i="3"/>
  <c r="AE318" i="3"/>
  <c r="M318" i="3"/>
  <c r="AV318" i="3"/>
  <c r="L318" i="3"/>
  <c r="BM318" i="3"/>
  <c r="AU318" i="3"/>
  <c r="AC318" i="3"/>
  <c r="K318" i="3"/>
  <c r="BL318" i="3"/>
  <c r="AT318" i="3"/>
  <c r="AB318" i="3"/>
  <c r="BI318" i="3"/>
  <c r="BH318" i="3"/>
  <c r="AS318" i="3"/>
  <c r="AR318" i="3"/>
  <c r="AP318" i="3"/>
  <c r="AA318" i="3"/>
  <c r="Z318" i="3"/>
  <c r="Y318" i="3"/>
  <c r="X318" i="3"/>
  <c r="U318" i="3"/>
  <c r="Z252" i="3"/>
  <c r="AP252" i="3"/>
  <c r="BF252" i="3"/>
  <c r="K254" i="3"/>
  <c r="AA254" i="3"/>
  <c r="AC256" i="3"/>
  <c r="P260" i="3"/>
  <c r="AF260" i="3"/>
  <c r="AV260" i="3"/>
  <c r="S265" i="3"/>
  <c r="AI265" i="3"/>
  <c r="AY265" i="3"/>
  <c r="O281" i="3"/>
  <c r="AG281" i="3"/>
  <c r="BB281" i="3"/>
  <c r="M286" i="3"/>
  <c r="AI286" i="3"/>
  <c r="BG286" i="3"/>
  <c r="BJ318" i="3"/>
  <c r="AV293" i="3"/>
  <c r="R296" i="3"/>
  <c r="AH296" i="3"/>
  <c r="AX296" i="3"/>
  <c r="BG313" i="3"/>
  <c r="AO313" i="3"/>
  <c r="W313" i="3"/>
  <c r="I316" i="3"/>
  <c r="J318" i="3"/>
  <c r="BK318" i="3" s="1"/>
  <c r="AF313" i="3"/>
  <c r="BE313" i="3"/>
  <c r="AW293" i="3"/>
  <c r="BM293" i="3"/>
  <c r="AI296" i="3"/>
  <c r="I299" i="3"/>
  <c r="K313" i="3"/>
  <c r="AG313" i="3"/>
  <c r="BK313" i="3"/>
  <c r="BN293" i="3"/>
  <c r="S294" i="3"/>
  <c r="AI294" i="3"/>
  <c r="AY294" i="3"/>
  <c r="BO294" i="3"/>
  <c r="AZ296" i="3"/>
  <c r="L313" i="3"/>
  <c r="AJ313" i="3"/>
  <c r="BL313" i="3"/>
  <c r="U296" i="3"/>
  <c r="BQ296" i="3"/>
  <c r="M313" i="3"/>
  <c r="AK313" i="3"/>
  <c r="BM313" i="3"/>
  <c r="AJ293" i="3"/>
  <c r="BA294" i="3"/>
  <c r="BQ294" i="3"/>
  <c r="V296" i="3"/>
  <c r="AL296" i="3"/>
  <c r="N313" i="3"/>
  <c r="AL313" i="3"/>
  <c r="BP313" i="3"/>
  <c r="BD321" i="3"/>
  <c r="AN321" i="3"/>
  <c r="X321" i="3"/>
  <c r="BC321" i="3"/>
  <c r="AM321" i="3"/>
  <c r="W321" i="3"/>
  <c r="BG321" i="3"/>
  <c r="AO321" i="3"/>
  <c r="U321" i="3"/>
  <c r="BF321" i="3"/>
  <c r="AL321" i="3"/>
  <c r="T321" i="3"/>
  <c r="BE321" i="3"/>
  <c r="S321" i="3"/>
  <c r="BB321" i="3"/>
  <c r="AJ321" i="3"/>
  <c r="R321" i="3"/>
  <c r="AI321" i="3"/>
  <c r="Q321" i="3"/>
  <c r="BR321" i="3"/>
  <c r="AZ321" i="3"/>
  <c r="AH321" i="3"/>
  <c r="P321" i="3"/>
  <c r="BQ321" i="3"/>
  <c r="AY321" i="3"/>
  <c r="AG321" i="3"/>
  <c r="O321" i="3"/>
  <c r="AX321" i="3"/>
  <c r="AF321" i="3"/>
  <c r="N321" i="3"/>
  <c r="BO321" i="3"/>
  <c r="AE321" i="3"/>
  <c r="M321" i="3"/>
  <c r="BN321" i="3"/>
  <c r="AV321" i="3"/>
  <c r="AD321" i="3"/>
  <c r="L321" i="3"/>
  <c r="BM321" i="3"/>
  <c r="AU321" i="3"/>
  <c r="AC321" i="3"/>
  <c r="K321" i="3"/>
  <c r="AR321" i="3"/>
  <c r="Z321" i="3"/>
  <c r="AZ291" i="3"/>
  <c r="BP291" i="3"/>
  <c r="BA293" i="3"/>
  <c r="BQ293" i="3"/>
  <c r="AM296" i="3"/>
  <c r="BC296" i="3"/>
  <c r="O313" i="3"/>
  <c r="AM313" i="3"/>
  <c r="BQ313" i="3"/>
  <c r="J315" i="3"/>
  <c r="J321" i="3"/>
  <c r="BC293" i="3"/>
  <c r="BS293" i="3"/>
  <c r="X294" i="3"/>
  <c r="AN294" i="3"/>
  <c r="Y296" i="3"/>
  <c r="BE296" i="3"/>
  <c r="I297" i="3"/>
  <c r="Q313" i="3"/>
  <c r="AT313" i="3"/>
  <c r="BS313" i="3"/>
  <c r="Y321" i="3"/>
  <c r="AR325" i="3"/>
  <c r="AB325" i="3"/>
  <c r="L325" i="3"/>
  <c r="BG325" i="3"/>
  <c r="AQ325" i="3"/>
  <c r="AA325" i="3"/>
  <c r="K325" i="3"/>
  <c r="BE325" i="3"/>
  <c r="BD325" i="3"/>
  <c r="AN325" i="3"/>
  <c r="BS325" i="3"/>
  <c r="BR325" i="3"/>
  <c r="BB325" i="3"/>
  <c r="AL325" i="3"/>
  <c r="BQ325" i="3"/>
  <c r="BA325" i="3"/>
  <c r="AK325" i="3"/>
  <c r="U325" i="3"/>
  <c r="BO325" i="3"/>
  <c r="AY325" i="3"/>
  <c r="AI325" i="3"/>
  <c r="BF325" i="3"/>
  <c r="AE325" i="3"/>
  <c r="BC325" i="3"/>
  <c r="AZ325" i="3"/>
  <c r="AC325" i="3"/>
  <c r="AX325" i="3"/>
  <c r="Z325" i="3"/>
  <c r="Y325" i="3"/>
  <c r="AV325" i="3"/>
  <c r="W325" i="3"/>
  <c r="AU325" i="3"/>
  <c r="T325" i="3"/>
  <c r="AT325" i="3"/>
  <c r="S325" i="3"/>
  <c r="AS325" i="3"/>
  <c r="R325" i="3"/>
  <c r="BP325" i="3"/>
  <c r="Q325" i="3"/>
  <c r="BN325" i="3"/>
  <c r="AO325" i="3"/>
  <c r="P325" i="3"/>
  <c r="AH325" i="3"/>
  <c r="M325" i="3"/>
  <c r="AN293" i="3"/>
  <c r="BD293" i="3"/>
  <c r="Y294" i="3"/>
  <c r="AO294" i="3"/>
  <c r="BE294" i="3"/>
  <c r="J296" i="3"/>
  <c r="Z296" i="3"/>
  <c r="AP296" i="3"/>
  <c r="S313" i="3"/>
  <c r="AU313" i="3"/>
  <c r="AA321" i="3"/>
  <c r="J325" i="3"/>
  <c r="AO293" i="3"/>
  <c r="BE293" i="3"/>
  <c r="J294" i="3"/>
  <c r="AX294" i="3" s="1"/>
  <c r="BF294" i="3"/>
  <c r="K296" i="3"/>
  <c r="AA296" i="3"/>
  <c r="AQ296" i="3"/>
  <c r="T313" i="3"/>
  <c r="AV313" i="3"/>
  <c r="I314" i="3"/>
  <c r="AB321" i="3"/>
  <c r="N325" i="3"/>
  <c r="Y291" i="3"/>
  <c r="AO291" i="3"/>
  <c r="BE291" i="3"/>
  <c r="I292" i="3"/>
  <c r="J293" i="3"/>
  <c r="AG293" i="3" s="1"/>
  <c r="Z293" i="3"/>
  <c r="AP293" i="3"/>
  <c r="BF293" i="3"/>
  <c r="K294" i="3"/>
  <c r="AA294" i="3"/>
  <c r="L296" i="3"/>
  <c r="AB296" i="3"/>
  <c r="AR296" i="3"/>
  <c r="U313" i="3"/>
  <c r="AW313" i="3"/>
  <c r="J314" i="3"/>
  <c r="AP321" i="3"/>
  <c r="O325" i="3"/>
  <c r="Z291" i="3"/>
  <c r="BF291" i="3"/>
  <c r="K293" i="3"/>
  <c r="AA293" i="3"/>
  <c r="AQ293" i="3"/>
  <c r="L294" i="3"/>
  <c r="M296" i="3"/>
  <c r="AC296" i="3"/>
  <c r="AS296" i="3"/>
  <c r="AA313" i="3"/>
  <c r="AZ313" i="3"/>
  <c r="AQ321" i="3"/>
  <c r="AF325" i="3"/>
  <c r="AA324" i="3"/>
  <c r="K324" i="3"/>
  <c r="BF324" i="3"/>
  <c r="Z324" i="3"/>
  <c r="AM324" i="3"/>
  <c r="BA324" i="3"/>
  <c r="T324" i="3"/>
  <c r="AG324" i="3"/>
  <c r="BM332" i="3"/>
  <c r="AW332" i="3"/>
  <c r="AG332" i="3"/>
  <c r="Q332" i="3"/>
  <c r="BL332" i="3"/>
  <c r="AV332" i="3"/>
  <c r="AF332" i="3"/>
  <c r="AU332" i="3"/>
  <c r="AE332" i="3"/>
  <c r="O332" i="3"/>
  <c r="BJ332" i="3"/>
  <c r="AT332" i="3"/>
  <c r="AD332" i="3"/>
  <c r="N332" i="3"/>
  <c r="BI332" i="3"/>
  <c r="AS332" i="3"/>
  <c r="AC332" i="3"/>
  <c r="M332" i="3"/>
  <c r="BH332" i="3"/>
  <c r="AR332" i="3"/>
  <c r="AB332" i="3"/>
  <c r="AQ332" i="3"/>
  <c r="AA332" i="3"/>
  <c r="K332" i="3"/>
  <c r="BF332" i="3"/>
  <c r="AP332" i="3"/>
  <c r="Z332" i="3"/>
  <c r="BD332" i="3"/>
  <c r="AN332" i="3"/>
  <c r="X332" i="3"/>
  <c r="BS332" i="3"/>
  <c r="BC332" i="3"/>
  <c r="AM332" i="3"/>
  <c r="W332" i="3"/>
  <c r="BQ332" i="3"/>
  <c r="U332" i="3"/>
  <c r="BP332" i="3"/>
  <c r="AZ332" i="3"/>
  <c r="AJ332" i="3"/>
  <c r="BR332" i="3"/>
  <c r="R332" i="3"/>
  <c r="BI324" i="3"/>
  <c r="S332" i="3"/>
  <c r="BN334" i="3"/>
  <c r="AW334" i="3"/>
  <c r="AF334" i="3"/>
  <c r="P334" i="3"/>
  <c r="AT334" i="3"/>
  <c r="AC334" i="3"/>
  <c r="M334" i="3"/>
  <c r="BF334" i="3"/>
  <c r="AO334" i="3"/>
  <c r="X334" i="3"/>
  <c r="I338" i="3"/>
  <c r="I335" i="3"/>
  <c r="BD334" i="3"/>
  <c r="AM334" i="3"/>
  <c r="V334" i="3"/>
  <c r="BC334" i="3"/>
  <c r="AL334" i="3"/>
  <c r="U334" i="3"/>
  <c r="O324" i="3"/>
  <c r="T332" i="3"/>
  <c r="S334" i="3"/>
  <c r="BK324" i="3"/>
  <c r="V332" i="3"/>
  <c r="T334" i="3"/>
  <c r="V313" i="3"/>
  <c r="AN313" i="3"/>
  <c r="BF313" i="3"/>
  <c r="I322" i="3"/>
  <c r="BT320" i="3"/>
  <c r="BD320" i="3"/>
  <c r="AN320" i="3"/>
  <c r="X320" i="3"/>
  <c r="J324" i="3"/>
  <c r="BJ324" i="3" s="1"/>
  <c r="I323" i="3"/>
  <c r="BS320" i="3"/>
  <c r="BC320" i="3"/>
  <c r="AM320" i="3"/>
  <c r="W320" i="3"/>
  <c r="AA320" i="3"/>
  <c r="AS320" i="3"/>
  <c r="BK320" i="3"/>
  <c r="BL324" i="3"/>
  <c r="Y332" i="3"/>
  <c r="W334" i="3"/>
  <c r="AI348" i="3"/>
  <c r="R348" i="3"/>
  <c r="BO348" i="3"/>
  <c r="AX348" i="3"/>
  <c r="AF348" i="3"/>
  <c r="O348" i="3"/>
  <c r="I350" i="3"/>
  <c r="BN348" i="3"/>
  <c r="AV348" i="3"/>
  <c r="AE348" i="3"/>
  <c r="N348" i="3"/>
  <c r="AJ348" i="3"/>
  <c r="AD348" i="3"/>
  <c r="BR348" i="3"/>
  <c r="AC348" i="3"/>
  <c r="BL348" i="3"/>
  <c r="AB348" i="3"/>
  <c r="BK348" i="3"/>
  <c r="AA348" i="3"/>
  <c r="BJ348" i="3"/>
  <c r="X348" i="3"/>
  <c r="BI348" i="3"/>
  <c r="U348" i="3"/>
  <c r="I352" i="3"/>
  <c r="BF348" i="3"/>
  <c r="S348" i="3"/>
  <c r="BA348" i="3"/>
  <c r="L348" i="3"/>
  <c r="AU348" i="3"/>
  <c r="K348" i="3"/>
  <c r="AS348" i="3"/>
  <c r="AR348" i="3"/>
  <c r="AB320" i="3"/>
  <c r="BL320" i="3"/>
  <c r="BM324" i="3"/>
  <c r="AH332" i="3"/>
  <c r="Z334" i="3"/>
  <c r="BH342" i="3"/>
  <c r="AR342" i="3"/>
  <c r="AB342" i="3"/>
  <c r="L342" i="3"/>
  <c r="BO342" i="3"/>
  <c r="AX342" i="3"/>
  <c r="AG342" i="3"/>
  <c r="P342" i="3"/>
  <c r="AU342" i="3"/>
  <c r="AS342" i="3"/>
  <c r="AA342" i="3"/>
  <c r="BF342" i="3"/>
  <c r="AO342" i="3"/>
  <c r="X342" i="3"/>
  <c r="BB342" i="3"/>
  <c r="AF342" i="3"/>
  <c r="BA342" i="3"/>
  <c r="AE342" i="3"/>
  <c r="AZ342" i="3"/>
  <c r="AC342" i="3"/>
  <c r="Z342" i="3"/>
  <c r="BR342" i="3"/>
  <c r="AV342" i="3"/>
  <c r="W342" i="3"/>
  <c r="BQ342" i="3"/>
  <c r="AT342" i="3"/>
  <c r="V342" i="3"/>
  <c r="BP342" i="3"/>
  <c r="AQ342" i="3"/>
  <c r="U342" i="3"/>
  <c r="BM342" i="3"/>
  <c r="AN342" i="3"/>
  <c r="BK342" i="3"/>
  <c r="AK342" i="3"/>
  <c r="O342" i="3"/>
  <c r="BE342" i="3"/>
  <c r="AJ342" i="3"/>
  <c r="N342" i="3"/>
  <c r="M348" i="3"/>
  <c r="J306" i="3"/>
  <c r="AC306" i="3" s="1"/>
  <c r="X313" i="3"/>
  <c r="AP313" i="3"/>
  <c r="BH313" i="3"/>
  <c r="I317" i="3"/>
  <c r="K320" i="3"/>
  <c r="AC320" i="3"/>
  <c r="AU320" i="3"/>
  <c r="BM320" i="3"/>
  <c r="S324" i="3"/>
  <c r="AS324" i="3"/>
  <c r="AI332" i="3"/>
  <c r="AI334" i="3"/>
  <c r="K342" i="3"/>
  <c r="AL348" i="3"/>
  <c r="Y313" i="3"/>
  <c r="AQ313" i="3"/>
  <c r="BI313" i="3"/>
  <c r="L320" i="3"/>
  <c r="AD320" i="3"/>
  <c r="AV320" i="3"/>
  <c r="BN320" i="3"/>
  <c r="AT324" i="3"/>
  <c r="BO324" i="3"/>
  <c r="AL332" i="3"/>
  <c r="AK334" i="3"/>
  <c r="Q342" i="3"/>
  <c r="AO348" i="3"/>
  <c r="BO313" i="3"/>
  <c r="AY313" i="3"/>
  <c r="AI313" i="3"/>
  <c r="BN313" i="3"/>
  <c r="AX313" i="3"/>
  <c r="AH313" i="3"/>
  <c r="R313" i="3"/>
  <c r="Z313" i="3"/>
  <c r="AR313" i="3"/>
  <c r="BJ313" i="3"/>
  <c r="I315" i="3"/>
  <c r="M320" i="3"/>
  <c r="AE320" i="3"/>
  <c r="AW320" i="3"/>
  <c r="BO320" i="3"/>
  <c r="AU324" i="3"/>
  <c r="BR324" i="3"/>
  <c r="AO332" i="3"/>
  <c r="AN334" i="3"/>
  <c r="BK341" i="3"/>
  <c r="AT341" i="3"/>
  <c r="AC341" i="3"/>
  <c r="L341" i="3"/>
  <c r="I345" i="3"/>
  <c r="J342" i="3"/>
  <c r="AD342" i="3" s="1"/>
  <c r="BE341" i="3"/>
  <c r="BS341" i="3"/>
  <c r="BB341" i="3"/>
  <c r="AK341" i="3"/>
  <c r="T341" i="3"/>
  <c r="AX341" i="3"/>
  <c r="AD341" i="3"/>
  <c r="BR341" i="3"/>
  <c r="AW341" i="3"/>
  <c r="AA341" i="3"/>
  <c r="J343" i="3"/>
  <c r="BQ341" i="3"/>
  <c r="AV341" i="3"/>
  <c r="Z341" i="3"/>
  <c r="I343" i="3"/>
  <c r="BP341" i="3"/>
  <c r="AU341" i="3"/>
  <c r="X341" i="3"/>
  <c r="BO341" i="3"/>
  <c r="AS341" i="3"/>
  <c r="W341" i="3"/>
  <c r="I346" i="3"/>
  <c r="BN341" i="3"/>
  <c r="AQ341" i="3"/>
  <c r="V341" i="3"/>
  <c r="BM341" i="3"/>
  <c r="AO341" i="3"/>
  <c r="U341" i="3"/>
  <c r="BL341" i="3"/>
  <c r="AN341" i="3"/>
  <c r="S341" i="3"/>
  <c r="BI341" i="3"/>
  <c r="AL341" i="3"/>
  <c r="Q341" i="3"/>
  <c r="BF341" i="3"/>
  <c r="AJ341" i="3"/>
  <c r="P341" i="3"/>
  <c r="BC341" i="3"/>
  <c r="AH341" i="3"/>
  <c r="N341" i="3"/>
  <c r="BA341" i="3"/>
  <c r="AG341" i="3"/>
  <c r="M341" i="3"/>
  <c r="T342" i="3"/>
  <c r="AT348" i="3"/>
  <c r="BG348" i="3"/>
  <c r="T327" i="3"/>
  <c r="AJ327" i="3"/>
  <c r="AZ327" i="3"/>
  <c r="BP327" i="3"/>
  <c r="BP334" i="3"/>
  <c r="AZ334" i="3"/>
  <c r="AJ334" i="3"/>
  <c r="Y334" i="3"/>
  <c r="AP334" i="3"/>
  <c r="BG334" i="3"/>
  <c r="V327" i="3"/>
  <c r="AL327" i="3"/>
  <c r="BB327" i="3"/>
  <c r="BR327" i="3"/>
  <c r="I331" i="3"/>
  <c r="J332" i="3"/>
  <c r="BK332" i="3" s="1"/>
  <c r="K334" i="3"/>
  <c r="AA334" i="3"/>
  <c r="AR334" i="3"/>
  <c r="BI334" i="3"/>
  <c r="W327" i="3"/>
  <c r="AM327" i="3"/>
  <c r="BC327" i="3"/>
  <c r="BS327" i="3"/>
  <c r="I330" i="3"/>
  <c r="J331" i="3"/>
  <c r="L334" i="3"/>
  <c r="AB334" i="3"/>
  <c r="AS334" i="3"/>
  <c r="BJ334" i="3"/>
  <c r="I337" i="3"/>
  <c r="J337" i="3" s="1"/>
  <c r="X327" i="3"/>
  <c r="AN327" i="3"/>
  <c r="BD327" i="3"/>
  <c r="I329" i="3"/>
  <c r="BK334" i="3"/>
  <c r="I339" i="3"/>
  <c r="AZ6" i="4"/>
  <c r="AH6" i="4"/>
  <c r="P6" i="4"/>
  <c r="Y6" i="4"/>
  <c r="BP6" i="4"/>
  <c r="AU6" i="4"/>
  <c r="BK6" i="4"/>
  <c r="AN6" i="4"/>
  <c r="S6" i="4"/>
  <c r="Y327" i="3"/>
  <c r="AO327" i="3"/>
  <c r="BE327" i="3"/>
  <c r="I328" i="3"/>
  <c r="J329" i="3"/>
  <c r="N334" i="3"/>
  <c r="AD334" i="3"/>
  <c r="AU334" i="3"/>
  <c r="BL334" i="3"/>
  <c r="J33" i="4"/>
  <c r="BC30" i="4"/>
  <c r="AK30" i="4"/>
  <c r="S30" i="4"/>
  <c r="I35" i="4"/>
  <c r="BS30" i="4"/>
  <c r="BA30" i="4"/>
  <c r="AI30" i="4"/>
  <c r="Q30" i="4"/>
  <c r="BO30" i="4"/>
  <c r="AW30" i="4"/>
  <c r="AE30" i="4"/>
  <c r="M30" i="4"/>
  <c r="I33" i="4"/>
  <c r="BN30" i="4"/>
  <c r="AQ30" i="4"/>
  <c r="V30" i="4"/>
  <c r="I34" i="4"/>
  <c r="J34" i="4" s="1"/>
  <c r="BL30" i="4"/>
  <c r="AO30" i="4"/>
  <c r="T30" i="4"/>
  <c r="BK30" i="4"/>
  <c r="AN30" i="4"/>
  <c r="R30" i="4"/>
  <c r="BD30" i="4"/>
  <c r="AC30" i="4"/>
  <c r="BB30" i="4"/>
  <c r="Z30" i="4"/>
  <c r="I32" i="4"/>
  <c r="J32" i="4" s="1"/>
  <c r="AZ30" i="4"/>
  <c r="Y30" i="4"/>
  <c r="AY30" i="4"/>
  <c r="X30" i="4"/>
  <c r="I31" i="4"/>
  <c r="AV30" i="4"/>
  <c r="U30" i="4"/>
  <c r="AU30" i="4"/>
  <c r="P30" i="4"/>
  <c r="BT30" i="4"/>
  <c r="AT30" i="4"/>
  <c r="O30" i="4"/>
  <c r="BR30" i="4"/>
  <c r="AP30" i="4"/>
  <c r="N30" i="4"/>
  <c r="BP30" i="4"/>
  <c r="AL30" i="4"/>
  <c r="BM30" i="4"/>
  <c r="AJ30" i="4"/>
  <c r="BI30" i="4"/>
  <c r="AH30" i="4"/>
  <c r="J31" i="4"/>
  <c r="BQ30" i="4"/>
  <c r="BG30" i="4"/>
  <c r="BF30" i="4"/>
  <c r="BE30" i="4"/>
  <c r="AX30" i="4"/>
  <c r="AM30" i="4"/>
  <c r="AG30" i="4"/>
  <c r="AF30" i="4"/>
  <c r="Z327" i="3"/>
  <c r="AP327" i="3"/>
  <c r="BF327" i="3"/>
  <c r="O334" i="3"/>
  <c r="AE334" i="3"/>
  <c r="AV334" i="3"/>
  <c r="BM334" i="3"/>
  <c r="N6" i="4"/>
  <c r="W30" i="4"/>
  <c r="O6" i="4"/>
  <c r="AD30" i="4"/>
  <c r="L327" i="3"/>
  <c r="AB327" i="3"/>
  <c r="AR327" i="3"/>
  <c r="BH327" i="3"/>
  <c r="Q334" i="3"/>
  <c r="AG334" i="3"/>
  <c r="AX334" i="3"/>
  <c r="BO334" i="3"/>
  <c r="I336" i="3"/>
  <c r="J336" i="3" s="1"/>
  <c r="AW15" i="4"/>
  <c r="Q15" i="4"/>
  <c r="AE15" i="4"/>
  <c r="Y15" i="4"/>
  <c r="X15" i="4"/>
  <c r="AY15" i="4"/>
  <c r="T15" i="4"/>
  <c r="BU15" i="4"/>
  <c r="AN15" i="4"/>
  <c r="M15" i="4"/>
  <c r="M327" i="3"/>
  <c r="AC327" i="3"/>
  <c r="AS327" i="3"/>
  <c r="R334" i="3"/>
  <c r="AH334" i="3"/>
  <c r="AY334" i="3"/>
  <c r="BQ334" i="3"/>
  <c r="J15" i="4"/>
  <c r="AP15" i="4" s="1"/>
  <c r="J350" i="3"/>
  <c r="BU20" i="4"/>
  <c r="J20" i="4"/>
  <c r="AX20" i="4" s="1"/>
  <c r="P348" i="3"/>
  <c r="AH348" i="3"/>
  <c r="AY348" i="3"/>
  <c r="BP348" i="3"/>
  <c r="I15" i="7"/>
  <c r="AZ348" i="3"/>
  <c r="BQ348" i="3"/>
  <c r="I353" i="3"/>
  <c r="BL10" i="4"/>
  <c r="Q37" i="4"/>
  <c r="BF37" i="4"/>
  <c r="AO37" i="4"/>
  <c r="X37" i="4"/>
  <c r="W37" i="4"/>
  <c r="BN37" i="4"/>
  <c r="AR37" i="4"/>
  <c r="U37" i="4"/>
  <c r="J37" i="4"/>
  <c r="L37" i="4" s="1"/>
  <c r="AT37" i="4"/>
  <c r="AK37" i="4"/>
  <c r="BU37" i="4"/>
  <c r="AJ37" i="4"/>
  <c r="BE37" i="4"/>
  <c r="Z37" i="4"/>
  <c r="BB37" i="4"/>
  <c r="Y37" i="4"/>
  <c r="T348" i="3"/>
  <c r="AK348" i="3"/>
  <c r="BB348" i="3"/>
  <c r="BS348" i="3"/>
  <c r="AB20" i="4"/>
  <c r="BH341" i="3"/>
  <c r="AR341" i="3"/>
  <c r="AB341" i="3"/>
  <c r="Y341" i="3"/>
  <c r="AP341" i="3"/>
  <c r="BG341" i="3"/>
  <c r="V348" i="3"/>
  <c r="AM348" i="3"/>
  <c r="BD348" i="3"/>
  <c r="I349" i="3"/>
  <c r="I351" i="3"/>
  <c r="AV37" i="4"/>
  <c r="W348" i="3"/>
  <c r="AN348" i="3"/>
  <c r="BE348" i="3"/>
  <c r="J349" i="3"/>
  <c r="I344" i="3"/>
  <c r="Y348" i="3"/>
  <c r="AP348" i="3"/>
  <c r="BM348" i="3"/>
  <c r="AW348" i="3"/>
  <c r="AG348" i="3"/>
  <c r="Q348" i="3"/>
  <c r="Z348" i="3"/>
  <c r="AQ348" i="3"/>
  <c r="BH348" i="3"/>
  <c r="I62" i="7"/>
  <c r="D15" i="1" s="1"/>
  <c r="C15" i="1" s="1"/>
  <c r="BU25" i="4"/>
  <c r="I28" i="4"/>
  <c r="I99" i="7"/>
  <c r="I100" i="7" s="1"/>
  <c r="D20" i="1" s="1"/>
  <c r="C20" i="1" s="1"/>
  <c r="BG5" i="4"/>
  <c r="AQ5" i="4"/>
  <c r="AA5" i="4"/>
  <c r="AB5" i="4"/>
  <c r="AT5" i="4"/>
  <c r="BL5" i="4"/>
  <c r="I94" i="7"/>
  <c r="D18" i="1" s="1"/>
  <c r="C18" i="1" s="1"/>
  <c r="I50" i="7"/>
  <c r="D14" i="1" s="1"/>
  <c r="C14" i="1" s="1"/>
  <c r="BO41" i="4"/>
  <c r="AY41" i="4"/>
  <c r="BU41" i="4"/>
  <c r="V41" i="4"/>
  <c r="AX41" i="4"/>
  <c r="N41" i="4"/>
  <c r="AD41" i="4"/>
  <c r="L41" i="4"/>
  <c r="I101" i="7"/>
  <c r="J41" i="4"/>
  <c r="BB41" i="4" s="1"/>
  <c r="AH41" i="4"/>
  <c r="J33" i="8"/>
  <c r="I33" i="8"/>
  <c r="H33" i="8"/>
  <c r="K33" i="8" s="1"/>
  <c r="J10" i="8"/>
  <c r="I10" i="8"/>
  <c r="I63" i="8" s="1"/>
  <c r="F10" i="8"/>
  <c r="F63" i="8" s="1"/>
  <c r="K5" i="8"/>
  <c r="H10" i="8"/>
  <c r="H63" i="8" s="1"/>
  <c r="F30" i="8"/>
  <c r="G30" i="8"/>
  <c r="H30" i="8"/>
  <c r="J14" i="8"/>
  <c r="J63" i="8" s="1"/>
  <c r="I14" i="8"/>
  <c r="H14" i="8"/>
  <c r="F14" i="8"/>
  <c r="I30" i="8"/>
  <c r="F64" i="8"/>
  <c r="B38" i="1" s="1"/>
  <c r="Y5" i="4"/>
  <c r="AO5" i="4"/>
  <c r="I7" i="4"/>
  <c r="G14" i="8"/>
  <c r="G63" i="8" s="1"/>
  <c r="K62" i="8"/>
  <c r="J28" i="8"/>
  <c r="H28" i="8"/>
  <c r="J31" i="8"/>
  <c r="I31" i="8"/>
  <c r="H31" i="8"/>
  <c r="G31" i="8"/>
  <c r="F31" i="8"/>
  <c r="I15" i="8"/>
  <c r="H15" i="8"/>
  <c r="G15" i="8"/>
  <c r="F15" i="8"/>
  <c r="K15" i="8" s="1"/>
  <c r="K32" i="8"/>
  <c r="F66" i="8"/>
  <c r="K60" i="8"/>
  <c r="J15" i="8"/>
  <c r="G25" i="8"/>
  <c r="G28" i="8"/>
  <c r="K28" i="8" s="1"/>
  <c r="K12" i="8"/>
  <c r="F19" i="8"/>
  <c r="K19" i="8" s="1"/>
  <c r="H25" i="8"/>
  <c r="I28" i="8"/>
  <c r="K48" i="8"/>
  <c r="J24" i="8"/>
  <c r="I24" i="8"/>
  <c r="H24" i="8"/>
  <c r="G24" i="8"/>
  <c r="K24" i="8" s="1"/>
  <c r="J17" i="8"/>
  <c r="I17" i="8"/>
  <c r="H17" i="8"/>
  <c r="K17" i="8" s="1"/>
  <c r="BH30" i="4"/>
  <c r="AR30" i="4"/>
  <c r="AB30" i="4"/>
  <c r="L30" i="4"/>
  <c r="AA30" i="4"/>
  <c r="AS30" i="4"/>
  <c r="BJ30" i="4"/>
  <c r="G17" i="8"/>
  <c r="J26" i="8"/>
  <c r="I26" i="8"/>
  <c r="K49" i="8"/>
  <c r="K26" i="8"/>
  <c r="K42" i="8"/>
  <c r="G26" i="8"/>
  <c r="F65" i="8"/>
  <c r="F20" i="8"/>
  <c r="K20" i="8" s="1"/>
  <c r="T20" i="4" l="1"/>
  <c r="AJ20" i="4"/>
  <c r="BM20" i="4"/>
  <c r="BR6" i="4"/>
  <c r="M25" i="4"/>
  <c r="BE25" i="4"/>
  <c r="I8" i="4"/>
  <c r="AI6" i="4"/>
  <c r="BS10" i="4"/>
  <c r="S41" i="4"/>
  <c r="AV10" i="4"/>
  <c r="AV25" i="4"/>
  <c r="AX37" i="4"/>
  <c r="AU37" i="4"/>
  <c r="AJ10" i="4"/>
  <c r="AB37" i="4"/>
  <c r="BC37" i="4"/>
  <c r="AH37" i="4"/>
  <c r="BM37" i="4"/>
  <c r="AK20" i="4"/>
  <c r="BQ20" i="4"/>
  <c r="BB20" i="4"/>
  <c r="I17" i="4"/>
  <c r="M6" i="4"/>
  <c r="U6" i="4"/>
  <c r="AA6" i="4"/>
  <c r="BA6" i="4"/>
  <c r="X10" i="4"/>
  <c r="V10" i="4"/>
  <c r="O25" i="4"/>
  <c r="BL20" i="4"/>
  <c r="AS25" i="4"/>
  <c r="AY25" i="4"/>
  <c r="P25" i="4"/>
  <c r="BK10" i="4"/>
  <c r="BH20" i="4"/>
  <c r="BP20" i="4"/>
  <c r="T6" i="4"/>
  <c r="BM10" i="4"/>
  <c r="Q6" i="4"/>
  <c r="S10" i="4"/>
  <c r="AS20" i="4"/>
  <c r="AG6" i="4"/>
  <c r="BL6" i="4"/>
  <c r="AR25" i="4"/>
  <c r="AI41" i="4"/>
  <c r="AC10" i="4"/>
  <c r="BN25" i="4"/>
  <c r="I27" i="4"/>
  <c r="J27" i="4" s="1"/>
  <c r="AI20" i="4"/>
  <c r="AC20" i="4"/>
  <c r="O10" i="4"/>
  <c r="BI37" i="4"/>
  <c r="P37" i="4"/>
  <c r="AZ37" i="4"/>
  <c r="J21" i="4"/>
  <c r="BC21" i="4" s="1"/>
  <c r="BF20" i="4"/>
  <c r="Y20" i="4"/>
  <c r="BT15" i="4"/>
  <c r="AQ6" i="4"/>
  <c r="AW6" i="4"/>
  <c r="BS6" i="4"/>
  <c r="AX25" i="4"/>
  <c r="BQ10" i="4"/>
  <c r="AY10" i="4"/>
  <c r="BC25" i="4"/>
  <c r="AN10" i="4"/>
  <c r="M20" i="4"/>
  <c r="BR37" i="4"/>
  <c r="BD10" i="4"/>
  <c r="AU25" i="4"/>
  <c r="BI6" i="4"/>
  <c r="BF25" i="4"/>
  <c r="L25" i="4"/>
  <c r="AN25" i="4"/>
  <c r="AT25" i="4"/>
  <c r="AQ25" i="4"/>
  <c r="AM20" i="4"/>
  <c r="X20" i="4"/>
  <c r="AL37" i="4"/>
  <c r="BD25" i="4"/>
  <c r="I26" i="4"/>
  <c r="N25" i="4"/>
  <c r="AZ10" i="4"/>
  <c r="I23" i="4"/>
  <c r="AP37" i="4"/>
  <c r="X25" i="4"/>
  <c r="BG6" i="4"/>
  <c r="BI25" i="4"/>
  <c r="AF25" i="4"/>
  <c r="AE25" i="4"/>
  <c r="AL25" i="4"/>
  <c r="BL25" i="4"/>
  <c r="BO25" i="4"/>
  <c r="BM25" i="4"/>
  <c r="AC25" i="4"/>
  <c r="R25" i="4"/>
  <c r="AA10" i="4"/>
  <c r="AU10" i="4"/>
  <c r="AV6" i="4"/>
  <c r="AA37" i="4"/>
  <c r="W25" i="4"/>
  <c r="Z6" i="4"/>
  <c r="AD25" i="4"/>
  <c r="BH37" i="4"/>
  <c r="J28" i="4"/>
  <c r="AQ28" i="4" s="1"/>
  <c r="BM6" i="4"/>
  <c r="R6" i="4"/>
  <c r="AB10" i="4"/>
  <c r="AL10" i="4"/>
  <c r="T37" i="4"/>
  <c r="BO20" i="4"/>
  <c r="AJ6" i="4"/>
  <c r="AR10" i="4"/>
  <c r="Q10" i="4"/>
  <c r="O20" i="4"/>
  <c r="AS6" i="4"/>
  <c r="AB15" i="4"/>
  <c r="AG41" i="4"/>
  <c r="BA41" i="4"/>
  <c r="N10" i="4"/>
  <c r="BQ25" i="4"/>
  <c r="S25" i="4"/>
  <c r="J8" i="4"/>
  <c r="BB8" i="4" s="1"/>
  <c r="AM10" i="4"/>
  <c r="BF10" i="4"/>
  <c r="M37" i="4"/>
  <c r="AD37" i="4"/>
  <c r="BK37" i="4"/>
  <c r="I38" i="4"/>
  <c r="BC10" i="4"/>
  <c r="AO20" i="4"/>
  <c r="BT20" i="4"/>
  <c r="BJ20" i="4"/>
  <c r="AK6" i="4"/>
  <c r="AC15" i="4"/>
  <c r="W6" i="4"/>
  <c r="AE6" i="4"/>
  <c r="L6" i="4"/>
  <c r="V25" i="4"/>
  <c r="AM25" i="4"/>
  <c r="J11" i="4"/>
  <c r="AQ10" i="4"/>
  <c r="AI10" i="4"/>
  <c r="I12" i="4"/>
  <c r="BA10" i="4"/>
  <c r="AF10" i="4"/>
  <c r="AW10" i="4"/>
  <c r="AE10" i="4"/>
  <c r="AX10" i="4"/>
  <c r="J12" i="4"/>
  <c r="AZ12" i="4" s="1"/>
  <c r="BJ25" i="4"/>
  <c r="BP25" i="4"/>
  <c r="BG25" i="4"/>
  <c r="BS20" i="4"/>
  <c r="AF20" i="4"/>
  <c r="AG37" i="4"/>
  <c r="BJ6" i="4"/>
  <c r="BN10" i="4"/>
  <c r="AF37" i="4"/>
  <c r="L20" i="4"/>
  <c r="AI25" i="4"/>
  <c r="BO10" i="4"/>
  <c r="BG10" i="4"/>
  <c r="J13" i="4"/>
  <c r="L13" i="4" s="1"/>
  <c r="AM37" i="4"/>
  <c r="P20" i="4"/>
  <c r="Q20" i="4"/>
  <c r="AU20" i="4"/>
  <c r="I22" i="4"/>
  <c r="BP10" i="4"/>
  <c r="AN20" i="4"/>
  <c r="AZ25" i="4"/>
  <c r="T10" i="4"/>
  <c r="BI20" i="4"/>
  <c r="AD6" i="4"/>
  <c r="AE41" i="4"/>
  <c r="BR25" i="4"/>
  <c r="U10" i="4"/>
  <c r="BI10" i="4"/>
  <c r="BD37" i="4"/>
  <c r="AV20" i="4"/>
  <c r="BN6" i="4"/>
  <c r="Z41" i="4"/>
  <c r="I42" i="4"/>
  <c r="AD10" i="4"/>
  <c r="AA25" i="4"/>
  <c r="AJ25" i="4"/>
  <c r="R10" i="4"/>
  <c r="AK10" i="4"/>
  <c r="AY37" i="4"/>
  <c r="BQ37" i="4"/>
  <c r="S37" i="4"/>
  <c r="V37" i="4"/>
  <c r="AH10" i="4"/>
  <c r="BB10" i="4"/>
  <c r="BK20" i="4"/>
  <c r="AA20" i="4"/>
  <c r="R20" i="4"/>
  <c r="BF15" i="4"/>
  <c r="AT6" i="4"/>
  <c r="BC6" i="4"/>
  <c r="AB6" i="4"/>
  <c r="W10" i="4"/>
  <c r="BR10" i="4"/>
  <c r="BE6" i="4"/>
  <c r="Y25" i="4"/>
  <c r="I13" i="4"/>
  <c r="AE20" i="4"/>
  <c r="AP25" i="4"/>
  <c r="AQ20" i="4"/>
  <c r="AZ20" i="4"/>
  <c r="AK25" i="4"/>
  <c r="AP6" i="4"/>
  <c r="AO25" i="4"/>
  <c r="BO37" i="4"/>
  <c r="BQ6" i="4"/>
  <c r="Z25" i="4"/>
  <c r="AR20" i="4"/>
  <c r="BE10" i="4"/>
  <c r="AW37" i="4"/>
  <c r="AG20" i="4"/>
  <c r="L10" i="4"/>
  <c r="AC37" i="4"/>
  <c r="BR20" i="4"/>
  <c r="AX6" i="4"/>
  <c r="R37" i="4"/>
  <c r="Z20" i="4"/>
  <c r="BB6" i="4"/>
  <c r="AG25" i="4"/>
  <c r="J39" i="4"/>
  <c r="AY39" i="4" s="1"/>
  <c r="S20" i="4"/>
  <c r="AT20" i="4"/>
  <c r="BT6" i="4"/>
  <c r="AR41" i="4"/>
  <c r="AB41" i="4"/>
  <c r="AT10" i="4"/>
  <c r="AW25" i="4"/>
  <c r="BB25" i="4"/>
  <c r="BS37" i="4"/>
  <c r="P10" i="4"/>
  <c r="N37" i="4"/>
  <c r="AI37" i="4"/>
  <c r="AQ37" i="4"/>
  <c r="AN37" i="4"/>
  <c r="Z10" i="4"/>
  <c r="AG10" i="4"/>
  <c r="U20" i="4"/>
  <c r="AW20" i="4"/>
  <c r="AH20" i="4"/>
  <c r="N15" i="4"/>
  <c r="BO6" i="4"/>
  <c r="AF6" i="4"/>
  <c r="AR6" i="4"/>
  <c r="AB25" i="4"/>
  <c r="T25" i="4"/>
  <c r="M10" i="4"/>
  <c r="I11" i="4"/>
  <c r="V20" i="4"/>
  <c r="AY20" i="4"/>
  <c r="BF6" i="4"/>
  <c r="AO6" i="4"/>
  <c r="O37" i="4"/>
  <c r="Q25" i="4"/>
  <c r="I39" i="4"/>
  <c r="AC6" i="4"/>
  <c r="AH25" i="4"/>
  <c r="AO10" i="4"/>
  <c r="BJ37" i="4"/>
  <c r="N20" i="4"/>
  <c r="V6" i="4"/>
  <c r="BH25" i="4"/>
  <c r="AP10" i="4"/>
  <c r="BP37" i="4"/>
  <c r="AD20" i="4"/>
  <c r="BH10" i="4"/>
  <c r="AY6" i="4"/>
  <c r="BJ41" i="4"/>
  <c r="BJ10" i="4"/>
  <c r="BS25" i="4"/>
  <c r="BT25" i="4"/>
  <c r="AL20" i="4"/>
  <c r="AE37" i="4"/>
  <c r="BA37" i="4"/>
  <c r="BT37" i="4"/>
  <c r="BL37" i="4"/>
  <c r="BG37" i="4"/>
  <c r="AS10" i="4"/>
  <c r="AP20" i="4"/>
  <c r="I21" i="4"/>
  <c r="X6" i="4"/>
  <c r="BD6" i="4"/>
  <c r="Y10" i="4"/>
  <c r="U25" i="4"/>
  <c r="BK25" i="4"/>
  <c r="K18" i="1"/>
  <c r="I17" i="1"/>
  <c r="AP306" i="3"/>
  <c r="BS248" i="3"/>
  <c r="BC248" i="3"/>
  <c r="AM248" i="3"/>
  <c r="W248" i="3"/>
  <c r="BR248" i="3"/>
  <c r="BB248" i="3"/>
  <c r="AL248" i="3"/>
  <c r="V248" i="3"/>
  <c r="BQ248" i="3"/>
  <c r="AY248" i="3"/>
  <c r="AG248" i="3"/>
  <c r="O248" i="3"/>
  <c r="AX248" i="3"/>
  <c r="AF248" i="3"/>
  <c r="N248" i="3"/>
  <c r="AW248" i="3"/>
  <c r="AE248" i="3"/>
  <c r="M248" i="3"/>
  <c r="BO248" i="3"/>
  <c r="AV248" i="3"/>
  <c r="K248" i="3"/>
  <c r="BM248" i="3"/>
  <c r="AT248" i="3"/>
  <c r="AB248" i="3"/>
  <c r="BL248" i="3"/>
  <c r="AS248" i="3"/>
  <c r="AA248" i="3"/>
  <c r="BK248" i="3"/>
  <c r="AR248" i="3"/>
  <c r="Z248" i="3"/>
  <c r="BJ248" i="3"/>
  <c r="BH248" i="3"/>
  <c r="AO248" i="3"/>
  <c r="U248" i="3"/>
  <c r="BE248" i="3"/>
  <c r="BD248" i="3"/>
  <c r="AN248" i="3"/>
  <c r="AK248" i="3"/>
  <c r="AJ248" i="3"/>
  <c r="AI248" i="3"/>
  <c r="T248" i="3"/>
  <c r="S248" i="3"/>
  <c r="J248" i="3"/>
  <c r="BP248" i="3" s="1"/>
  <c r="BS204" i="3"/>
  <c r="BQ161" i="3"/>
  <c r="BA161" i="3"/>
  <c r="AK161" i="3"/>
  <c r="U161" i="3"/>
  <c r="BP161" i="3"/>
  <c r="AZ161" i="3"/>
  <c r="AJ161" i="3"/>
  <c r="T161" i="3"/>
  <c r="BN161" i="3"/>
  <c r="AX161" i="3"/>
  <c r="O161" i="3"/>
  <c r="BC161" i="3"/>
  <c r="AG161" i="3"/>
  <c r="N161" i="3"/>
  <c r="BB161" i="3"/>
  <c r="AF161" i="3"/>
  <c r="M161" i="3"/>
  <c r="AY161" i="3"/>
  <c r="AE161" i="3"/>
  <c r="L161" i="3"/>
  <c r="BS161" i="3"/>
  <c r="AW161" i="3"/>
  <c r="AC161" i="3"/>
  <c r="BO161" i="3"/>
  <c r="AU161" i="3"/>
  <c r="AB161" i="3"/>
  <c r="BM161" i="3"/>
  <c r="AT161" i="3"/>
  <c r="AA161" i="3"/>
  <c r="BL161" i="3"/>
  <c r="AS161" i="3"/>
  <c r="Z161" i="3"/>
  <c r="BK161" i="3"/>
  <c r="AR161" i="3"/>
  <c r="BF161" i="3"/>
  <c r="AM161" i="3"/>
  <c r="Q161" i="3"/>
  <c r="AN161" i="3"/>
  <c r="AL161" i="3"/>
  <c r="W161" i="3"/>
  <c r="V161" i="3"/>
  <c r="S161" i="3"/>
  <c r="P161" i="3"/>
  <c r="BI161" i="3"/>
  <c r="BH161" i="3"/>
  <c r="BG161" i="3"/>
  <c r="J161" i="3"/>
  <c r="AH161" i="3" s="1"/>
  <c r="BM349" i="3"/>
  <c r="AW349" i="3"/>
  <c r="AG349" i="3"/>
  <c r="Q349" i="3"/>
  <c r="BK349" i="3"/>
  <c r="AU349" i="3"/>
  <c r="BO349" i="3"/>
  <c r="AV349" i="3"/>
  <c r="AD349" i="3"/>
  <c r="M349" i="3"/>
  <c r="BN349" i="3"/>
  <c r="AT349" i="3"/>
  <c r="AC349" i="3"/>
  <c r="L349" i="3"/>
  <c r="BJ349" i="3"/>
  <c r="AR349" i="3"/>
  <c r="AA349" i="3"/>
  <c r="BI349" i="3"/>
  <c r="AQ349" i="3"/>
  <c r="Z349" i="3"/>
  <c r="BG349" i="3"/>
  <c r="AO349" i="3"/>
  <c r="X349" i="3"/>
  <c r="BE349" i="3"/>
  <c r="AM349" i="3"/>
  <c r="V349" i="3"/>
  <c r="BD349" i="3"/>
  <c r="AL349" i="3"/>
  <c r="U349" i="3"/>
  <c r="BC349" i="3"/>
  <c r="AK349" i="3"/>
  <c r="T349" i="3"/>
  <c r="BB349" i="3"/>
  <c r="AJ349" i="3"/>
  <c r="S349" i="3"/>
  <c r="AY349" i="3"/>
  <c r="K349" i="3"/>
  <c r="AX349" i="3"/>
  <c r="AS349" i="3"/>
  <c r="AP349" i="3"/>
  <c r="AN349" i="3"/>
  <c r="AI349" i="3"/>
  <c r="AH349" i="3"/>
  <c r="BS349" i="3"/>
  <c r="AF349" i="3"/>
  <c r="BQ349" i="3"/>
  <c r="AB349" i="3"/>
  <c r="BP349" i="3"/>
  <c r="Y349" i="3"/>
  <c r="BH349" i="3"/>
  <c r="R349" i="3"/>
  <c r="BF349" i="3"/>
  <c r="P349" i="3"/>
  <c r="BR349" i="3"/>
  <c r="BL349" i="3"/>
  <c r="BA349" i="3"/>
  <c r="AZ349" i="3"/>
  <c r="AE349" i="3"/>
  <c r="N349" i="3"/>
  <c r="W349" i="3"/>
  <c r="O349" i="3"/>
  <c r="BP15" i="4"/>
  <c r="BI15" i="4"/>
  <c r="AK15" i="4"/>
  <c r="AJ15" i="4"/>
  <c r="AH15" i="4"/>
  <c r="BO15" i="4"/>
  <c r="AO15" i="4"/>
  <c r="I16" i="4"/>
  <c r="Z15" i="4"/>
  <c r="AM15" i="4"/>
  <c r="BR15" i="4"/>
  <c r="AA15" i="4"/>
  <c r="BD15" i="4"/>
  <c r="AU15" i="4"/>
  <c r="BI328" i="3"/>
  <c r="AB328" i="3"/>
  <c r="BD328" i="3"/>
  <c r="AN328" i="3"/>
  <c r="X328" i="3"/>
  <c r="BB328" i="3"/>
  <c r="R328" i="3"/>
  <c r="AW328" i="3"/>
  <c r="Q328" i="3"/>
  <c r="N328" i="3"/>
  <c r="AH328" i="3"/>
  <c r="BM328" i="3"/>
  <c r="AG328" i="3"/>
  <c r="AY328" i="3"/>
  <c r="J328" i="3"/>
  <c r="L328" i="3" s="1"/>
  <c r="BD64" i="3"/>
  <c r="AN64" i="3"/>
  <c r="X64" i="3"/>
  <c r="BE64" i="3"/>
  <c r="AM64" i="3"/>
  <c r="V64" i="3"/>
  <c r="BC64" i="3"/>
  <c r="AL64" i="3"/>
  <c r="U64" i="3"/>
  <c r="BS64" i="3"/>
  <c r="BB64" i="3"/>
  <c r="AK64" i="3"/>
  <c r="T64" i="3"/>
  <c r="BR64" i="3"/>
  <c r="BA64" i="3"/>
  <c r="AJ64" i="3"/>
  <c r="S64" i="3"/>
  <c r="BQ64" i="3"/>
  <c r="AZ64" i="3"/>
  <c r="AI64" i="3"/>
  <c r="R64" i="3"/>
  <c r="BP64" i="3"/>
  <c r="AY64" i="3"/>
  <c r="AH64" i="3"/>
  <c r="Q64" i="3"/>
  <c r="BO64" i="3"/>
  <c r="AX64" i="3"/>
  <c r="AG64" i="3"/>
  <c r="P64" i="3"/>
  <c r="BN64" i="3"/>
  <c r="AW64" i="3"/>
  <c r="AF64" i="3"/>
  <c r="O64" i="3"/>
  <c r="BM64" i="3"/>
  <c r="AV64" i="3"/>
  <c r="AE64" i="3"/>
  <c r="N64" i="3"/>
  <c r="BL64" i="3"/>
  <c r="AU64" i="3"/>
  <c r="AD64" i="3"/>
  <c r="M64" i="3"/>
  <c r="BK64" i="3"/>
  <c r="AT64" i="3"/>
  <c r="AC64" i="3"/>
  <c r="L64" i="3"/>
  <c r="BG64" i="3"/>
  <c r="AP64" i="3"/>
  <c r="Y64" i="3"/>
  <c r="AR64" i="3"/>
  <c r="AQ64" i="3"/>
  <c r="AO64" i="3"/>
  <c r="AB64" i="3"/>
  <c r="AA64" i="3"/>
  <c r="Z64" i="3"/>
  <c r="W64" i="3"/>
  <c r="K64" i="3"/>
  <c r="BJ64" i="3"/>
  <c r="BI64" i="3"/>
  <c r="BH64" i="3"/>
  <c r="BF64" i="3"/>
  <c r="AS64" i="3"/>
  <c r="J351" i="3"/>
  <c r="AY351" i="3" s="1"/>
  <c r="P15" i="4"/>
  <c r="AZ15" i="4"/>
  <c r="V15" i="4"/>
  <c r="BK15" i="4"/>
  <c r="AP324" i="3"/>
  <c r="P204" i="3"/>
  <c r="BN188" i="3"/>
  <c r="AH188" i="3"/>
  <c r="AJ188" i="3"/>
  <c r="AG188" i="3"/>
  <c r="P188" i="3"/>
  <c r="BO188" i="3"/>
  <c r="AF188" i="3"/>
  <c r="AE188" i="3"/>
  <c r="AC188" i="3"/>
  <c r="L188" i="3"/>
  <c r="BJ188" i="3"/>
  <c r="AB188" i="3"/>
  <c r="AA188" i="3"/>
  <c r="AL188" i="3"/>
  <c r="U188" i="3"/>
  <c r="AN188" i="3"/>
  <c r="AK188" i="3"/>
  <c r="T188" i="3"/>
  <c r="J188" i="3"/>
  <c r="S188" i="3" s="1"/>
  <c r="J150" i="3"/>
  <c r="V34" i="3"/>
  <c r="U34" i="3"/>
  <c r="I35" i="3"/>
  <c r="BF34" i="3"/>
  <c r="BE34" i="3"/>
  <c r="BD34" i="3"/>
  <c r="BC34" i="3"/>
  <c r="AO34" i="3"/>
  <c r="AN34" i="3"/>
  <c r="AM34" i="3"/>
  <c r="AL34" i="3"/>
  <c r="X34" i="3"/>
  <c r="W34" i="3"/>
  <c r="Y34" i="3"/>
  <c r="O34" i="3"/>
  <c r="AY34" i="3"/>
  <c r="BA34" i="3"/>
  <c r="AP34" i="3"/>
  <c r="AG34" i="3"/>
  <c r="BP34" i="3"/>
  <c r="BR34" i="3"/>
  <c r="BG34" i="3"/>
  <c r="N34" i="3"/>
  <c r="AX34" i="3"/>
  <c r="I36" i="3"/>
  <c r="AE34" i="3"/>
  <c r="BO34" i="3"/>
  <c r="M34" i="3"/>
  <c r="AW34" i="3"/>
  <c r="I38" i="3"/>
  <c r="T34" i="3"/>
  <c r="K34" i="3"/>
  <c r="AD34" i="3"/>
  <c r="BN34" i="3"/>
  <c r="AK34" i="3"/>
  <c r="BL34" i="3"/>
  <c r="AA34" i="3"/>
  <c r="AS34" i="3"/>
  <c r="L34" i="3"/>
  <c r="BM34" i="3"/>
  <c r="BS34" i="3"/>
  <c r="AV34" i="3"/>
  <c r="AR34" i="3"/>
  <c r="BJ34" i="3"/>
  <c r="AC34" i="3"/>
  <c r="AF34" i="3"/>
  <c r="BI34" i="3"/>
  <c r="AT34" i="3"/>
  <c r="P34" i="3"/>
  <c r="BK34" i="3"/>
  <c r="AQ34" i="3"/>
  <c r="AI34" i="3"/>
  <c r="BH34" i="3"/>
  <c r="AZ34" i="3"/>
  <c r="AH34" i="3"/>
  <c r="J36" i="3"/>
  <c r="AJ34" i="3"/>
  <c r="BR204" i="3"/>
  <c r="AH204" i="3"/>
  <c r="BQ204" i="3"/>
  <c r="AG204" i="3"/>
  <c r="BK204" i="3"/>
  <c r="X204" i="3"/>
  <c r="BN204" i="3"/>
  <c r="BM204" i="3"/>
  <c r="BL204" i="3"/>
  <c r="BE204" i="3"/>
  <c r="V204" i="3"/>
  <c r="AF204" i="3"/>
  <c r="AE204" i="3"/>
  <c r="Y204" i="3"/>
  <c r="AR204" i="3"/>
  <c r="BD204" i="3"/>
  <c r="S204" i="3"/>
  <c r="AB204" i="3"/>
  <c r="AN204" i="3"/>
  <c r="AU204" i="3"/>
  <c r="U204" i="3"/>
  <c r="AK204" i="3"/>
  <c r="L204" i="3"/>
  <c r="BB204" i="3"/>
  <c r="I205" i="3"/>
  <c r="BG204" i="3"/>
  <c r="I207" i="3"/>
  <c r="AL204" i="3"/>
  <c r="AA204" i="3"/>
  <c r="BC204" i="3"/>
  <c r="AW204" i="3"/>
  <c r="BJ204" i="3"/>
  <c r="W204" i="3"/>
  <c r="AV204" i="3"/>
  <c r="AT204" i="3"/>
  <c r="BF204" i="3"/>
  <c r="I208" i="3"/>
  <c r="J208" i="3" s="1"/>
  <c r="AD204" i="3"/>
  <c r="AP204" i="3"/>
  <c r="BP204" i="3"/>
  <c r="N204" i="3"/>
  <c r="Z204" i="3"/>
  <c r="AZ204" i="3"/>
  <c r="AS204" i="3"/>
  <c r="J206" i="3"/>
  <c r="L206" i="3" s="1"/>
  <c r="T204" i="3"/>
  <c r="Q204" i="3"/>
  <c r="BA204" i="3"/>
  <c r="AO204" i="3"/>
  <c r="AC204" i="3"/>
  <c r="J207" i="3"/>
  <c r="BO204" i="3"/>
  <c r="AX204" i="3"/>
  <c r="BH204" i="3"/>
  <c r="AI204" i="3"/>
  <c r="BE37" i="3"/>
  <c r="U37" i="3"/>
  <c r="BR37" i="3"/>
  <c r="AF37" i="3"/>
  <c r="BL37" i="3"/>
  <c r="AB37" i="3"/>
  <c r="AR37" i="3"/>
  <c r="BG28" i="4"/>
  <c r="Z28" i="4"/>
  <c r="BF28" i="4"/>
  <c r="AN28" i="4"/>
  <c r="U28" i="4"/>
  <c r="BL28" i="4"/>
  <c r="AO28" i="4"/>
  <c r="AH28" i="4"/>
  <c r="BJ28" i="4"/>
  <c r="AG28" i="4"/>
  <c r="BE28" i="4"/>
  <c r="AF28" i="4"/>
  <c r="BB28" i="4"/>
  <c r="AV28" i="4"/>
  <c r="S28" i="4"/>
  <c r="BS28" i="4"/>
  <c r="AT28" i="4"/>
  <c r="Q28" i="4"/>
  <c r="BR28" i="4"/>
  <c r="M28" i="4"/>
  <c r="L28" i="4"/>
  <c r="BL12" i="4"/>
  <c r="Y12" i="4"/>
  <c r="BS15" i="4"/>
  <c r="BA15" i="4"/>
  <c r="BJ15" i="4"/>
  <c r="AG15" i="4"/>
  <c r="BP352" i="3"/>
  <c r="AZ352" i="3"/>
  <c r="AJ352" i="3"/>
  <c r="BN352" i="3"/>
  <c r="AP352" i="3"/>
  <c r="X352" i="3"/>
  <c r="AO352" i="3"/>
  <c r="W352" i="3"/>
  <c r="BF352" i="3"/>
  <c r="AM352" i="3"/>
  <c r="U352" i="3"/>
  <c r="BC352" i="3"/>
  <c r="N352" i="3"/>
  <c r="BS352" i="3"/>
  <c r="AE352" i="3"/>
  <c r="M352" i="3"/>
  <c r="BR352" i="3"/>
  <c r="AV352" i="3"/>
  <c r="AD352" i="3"/>
  <c r="AC352" i="3"/>
  <c r="BL352" i="3"/>
  <c r="Y352" i="3"/>
  <c r="V352" i="3"/>
  <c r="BJ352" i="3"/>
  <c r="Q352" i="3"/>
  <c r="BG352" i="3"/>
  <c r="O352" i="3"/>
  <c r="AR352" i="3"/>
  <c r="AG352" i="3"/>
  <c r="AB352" i="3"/>
  <c r="J352" i="3"/>
  <c r="AX352" i="3" s="1"/>
  <c r="BQ316" i="3"/>
  <c r="AK316" i="3"/>
  <c r="P316" i="3"/>
  <c r="AY316" i="3"/>
  <c r="L316" i="3"/>
  <c r="AU316" i="3"/>
  <c r="BG316" i="3"/>
  <c r="BE316" i="3"/>
  <c r="J316" i="3"/>
  <c r="AL316" i="3" s="1"/>
  <c r="BM262" i="3"/>
  <c r="AW262" i="3"/>
  <c r="AG262" i="3"/>
  <c r="Q262" i="3"/>
  <c r="BL262" i="3"/>
  <c r="AV262" i="3"/>
  <c r="AF262" i="3"/>
  <c r="AE262" i="3"/>
  <c r="AD262" i="3"/>
  <c r="N262" i="3"/>
  <c r="BI262" i="3"/>
  <c r="AS262" i="3"/>
  <c r="AC262" i="3"/>
  <c r="M262" i="3"/>
  <c r="BH262" i="3"/>
  <c r="AR262" i="3"/>
  <c r="AB262" i="3"/>
  <c r="AA262" i="3"/>
  <c r="Z262" i="3"/>
  <c r="BE262" i="3"/>
  <c r="AO262" i="3"/>
  <c r="Y262" i="3"/>
  <c r="BD262" i="3"/>
  <c r="AN262" i="3"/>
  <c r="X262" i="3"/>
  <c r="BS262" i="3"/>
  <c r="BC262" i="3"/>
  <c r="AY262" i="3"/>
  <c r="AJ262" i="3"/>
  <c r="AI262" i="3"/>
  <c r="AH262" i="3"/>
  <c r="V262" i="3"/>
  <c r="BR262" i="3"/>
  <c r="U262" i="3"/>
  <c r="BQ262" i="3"/>
  <c r="T262" i="3"/>
  <c r="BP262" i="3"/>
  <c r="BB262" i="3"/>
  <c r="J262" i="3"/>
  <c r="O262" i="3" s="1"/>
  <c r="I304" i="3"/>
  <c r="BD301" i="3"/>
  <c r="BP301" i="3"/>
  <c r="N301" i="3"/>
  <c r="Z301" i="3"/>
  <c r="BI301" i="3"/>
  <c r="BS301" i="3"/>
  <c r="AL301" i="3"/>
  <c r="AY301" i="3"/>
  <c r="BL301" i="3"/>
  <c r="K301" i="3"/>
  <c r="AB301" i="3"/>
  <c r="BC301" i="3"/>
  <c r="U301" i="3"/>
  <c r="AH301" i="3"/>
  <c r="AU301" i="3"/>
  <c r="BH301" i="3"/>
  <c r="AM301" i="3"/>
  <c r="Q301" i="3"/>
  <c r="AD301" i="3"/>
  <c r="BJ301" i="3"/>
  <c r="BG301" i="3"/>
  <c r="AK301" i="3"/>
  <c r="BO301" i="3"/>
  <c r="BK301" i="3"/>
  <c r="AQ301" i="3"/>
  <c r="AS301" i="3"/>
  <c r="Y301" i="3"/>
  <c r="BR301" i="3"/>
  <c r="AG301" i="3"/>
  <c r="AC301" i="3"/>
  <c r="BF301" i="3"/>
  <c r="BA301" i="3"/>
  <c r="P301" i="3"/>
  <c r="L301" i="3"/>
  <c r="AO301" i="3"/>
  <c r="AJ301" i="3"/>
  <c r="BN301" i="3"/>
  <c r="X301" i="3"/>
  <c r="S301" i="3"/>
  <c r="AW301" i="3"/>
  <c r="BE301" i="3"/>
  <c r="AZ301" i="3"/>
  <c r="O301" i="3"/>
  <c r="AA301" i="3"/>
  <c r="AR301" i="3"/>
  <c r="AN301" i="3"/>
  <c r="AI301" i="3"/>
  <c r="BM301" i="3"/>
  <c r="J304" i="3"/>
  <c r="I302" i="3"/>
  <c r="AE301" i="3"/>
  <c r="I303" i="3"/>
  <c r="BO212" i="3"/>
  <c r="AY212" i="3"/>
  <c r="AI212" i="3"/>
  <c r="AH212" i="3"/>
  <c r="Q212" i="3"/>
  <c r="BL212" i="3"/>
  <c r="AF212" i="3"/>
  <c r="P212" i="3"/>
  <c r="BK212" i="3"/>
  <c r="AU212" i="3"/>
  <c r="AE212" i="3"/>
  <c r="AD212" i="3"/>
  <c r="M212" i="3"/>
  <c r="BH212" i="3"/>
  <c r="AB212" i="3"/>
  <c r="L212" i="3"/>
  <c r="BG212" i="3"/>
  <c r="AQ212" i="3"/>
  <c r="AA212" i="3"/>
  <c r="Z212" i="3"/>
  <c r="AN212" i="3"/>
  <c r="X212" i="3"/>
  <c r="BQ212" i="3"/>
  <c r="BP212" i="3"/>
  <c r="BC212" i="3"/>
  <c r="BB212" i="3"/>
  <c r="BA212" i="3"/>
  <c r="AK212" i="3"/>
  <c r="BS212" i="3"/>
  <c r="V212" i="3"/>
  <c r="J212" i="3"/>
  <c r="R212" i="3" s="1"/>
  <c r="K204" i="3"/>
  <c r="BO147" i="3"/>
  <c r="AY147" i="3"/>
  <c r="AI147" i="3"/>
  <c r="S147" i="3"/>
  <c r="AX147" i="3"/>
  <c r="AL147" i="3"/>
  <c r="AK147" i="3"/>
  <c r="AJ147" i="3"/>
  <c r="AH147" i="3"/>
  <c r="V147" i="3"/>
  <c r="T147" i="3"/>
  <c r="R147" i="3"/>
  <c r="I151" i="3"/>
  <c r="J151" i="3" s="1"/>
  <c r="BR147" i="3"/>
  <c r="BQ147" i="3"/>
  <c r="BP147" i="3"/>
  <c r="I152" i="3"/>
  <c r="BN147" i="3"/>
  <c r="BB147" i="3"/>
  <c r="BA147" i="3"/>
  <c r="AZ147" i="3"/>
  <c r="U147" i="3"/>
  <c r="I148" i="3"/>
  <c r="AT147" i="3"/>
  <c r="X147" i="3"/>
  <c r="J149" i="3"/>
  <c r="L147" i="3"/>
  <c r="BJ147" i="3"/>
  <c r="AN147" i="3"/>
  <c r="AB147" i="3"/>
  <c r="BD147" i="3"/>
  <c r="AR147" i="3"/>
  <c r="K147" i="3"/>
  <c r="BH147" i="3"/>
  <c r="O147" i="3"/>
  <c r="I149" i="3"/>
  <c r="AA147" i="3"/>
  <c r="M147" i="3"/>
  <c r="AE147" i="3"/>
  <c r="BG147" i="3"/>
  <c r="AS147" i="3"/>
  <c r="BK147" i="3"/>
  <c r="BI147" i="3"/>
  <c r="P147" i="3"/>
  <c r="AF147" i="3"/>
  <c r="AM147" i="3"/>
  <c r="Z147" i="3"/>
  <c r="BL147" i="3"/>
  <c r="BC147" i="3"/>
  <c r="Y147" i="3"/>
  <c r="AP147" i="3"/>
  <c r="Q147" i="3"/>
  <c r="I150" i="3"/>
  <c r="BE147" i="3"/>
  <c r="J148" i="3"/>
  <c r="AD147" i="3"/>
  <c r="AW147" i="3"/>
  <c r="AV133" i="3"/>
  <c r="AA133" i="3"/>
  <c r="I134" i="3"/>
  <c r="AU133" i="3"/>
  <c r="Z133" i="3"/>
  <c r="AT133" i="3"/>
  <c r="Y133" i="3"/>
  <c r="BN133" i="3"/>
  <c r="AS133" i="3"/>
  <c r="X133" i="3"/>
  <c r="BM133" i="3"/>
  <c r="AR133" i="3"/>
  <c r="R133" i="3"/>
  <c r="BL133" i="3"/>
  <c r="AQ133" i="3"/>
  <c r="Q133" i="3"/>
  <c r="BK133" i="3"/>
  <c r="BJ133" i="3"/>
  <c r="BI133" i="3"/>
  <c r="J135" i="3"/>
  <c r="AW133" i="3"/>
  <c r="I135" i="3"/>
  <c r="AP133" i="3"/>
  <c r="AO133" i="3"/>
  <c r="AN133" i="3"/>
  <c r="AB133" i="3"/>
  <c r="P133" i="3"/>
  <c r="O133" i="3"/>
  <c r="N133" i="3"/>
  <c r="BB133" i="3"/>
  <c r="AD133" i="3"/>
  <c r="AL133" i="3"/>
  <c r="BD133" i="3"/>
  <c r="V133" i="3"/>
  <c r="AC133" i="3"/>
  <c r="I138" i="3"/>
  <c r="J138" i="3" s="1"/>
  <c r="L133" i="3"/>
  <c r="BQ133" i="3"/>
  <c r="AG133" i="3"/>
  <c r="M133" i="3"/>
  <c r="BA133" i="3"/>
  <c r="BG133" i="3"/>
  <c r="AH133" i="3"/>
  <c r="U133" i="3"/>
  <c r="AE133" i="3"/>
  <c r="I136" i="3"/>
  <c r="BP133" i="3"/>
  <c r="BE133" i="3"/>
  <c r="BS133" i="3"/>
  <c r="AZ133" i="3"/>
  <c r="BC133" i="3"/>
  <c r="AJ133" i="3"/>
  <c r="W133" i="3"/>
  <c r="BO133" i="3"/>
  <c r="AY133" i="3"/>
  <c r="K133" i="3"/>
  <c r="BR133" i="3"/>
  <c r="S133" i="3"/>
  <c r="BF133" i="3"/>
  <c r="AU34" i="3"/>
  <c r="BR21" i="4"/>
  <c r="BB21" i="4"/>
  <c r="AL21" i="4"/>
  <c r="V21" i="4"/>
  <c r="BT21" i="4"/>
  <c r="AI21" i="4"/>
  <c r="R21" i="4"/>
  <c r="BM21" i="4"/>
  <c r="AV21" i="4"/>
  <c r="N21" i="4"/>
  <c r="AX21" i="4"/>
  <c r="AC21" i="4"/>
  <c r="BP21" i="4"/>
  <c r="AU21" i="4"/>
  <c r="AA21" i="4"/>
  <c r="AD21" i="4"/>
  <c r="BA21" i="4"/>
  <c r="AB21" i="4"/>
  <c r="AW21" i="4"/>
  <c r="AT21" i="4"/>
  <c r="X21" i="4"/>
  <c r="BS21" i="4"/>
  <c r="AS21" i="4"/>
  <c r="W21" i="4"/>
  <c r="BO21" i="4"/>
  <c r="AJ21" i="4"/>
  <c r="AH21" i="4"/>
  <c r="Z21" i="4"/>
  <c r="S21" i="4"/>
  <c r="BN21" i="4"/>
  <c r="O21" i="4"/>
  <c r="BL21" i="4"/>
  <c r="M21" i="4"/>
  <c r="BJ21" i="4"/>
  <c r="L21" i="4"/>
  <c r="AP21" i="4"/>
  <c r="AN21" i="4"/>
  <c r="AM21" i="4"/>
  <c r="J344" i="3"/>
  <c r="R301" i="3"/>
  <c r="AQ204" i="3"/>
  <c r="AO233" i="3"/>
  <c r="BM147" i="3"/>
  <c r="BH69" i="3"/>
  <c r="AR69" i="3"/>
  <c r="AB69" i="3"/>
  <c r="L69" i="3"/>
  <c r="AQ69" i="3"/>
  <c r="AA69" i="3"/>
  <c r="Q69" i="3"/>
  <c r="BR69" i="3"/>
  <c r="AH69" i="3"/>
  <c r="P69" i="3"/>
  <c r="BQ69" i="3"/>
  <c r="AY69" i="3"/>
  <c r="AG69" i="3"/>
  <c r="O69" i="3"/>
  <c r="AX69" i="3"/>
  <c r="AF69" i="3"/>
  <c r="M69" i="3"/>
  <c r="BN69" i="3"/>
  <c r="AD69" i="3"/>
  <c r="BM69" i="3"/>
  <c r="AU69" i="3"/>
  <c r="AC69" i="3"/>
  <c r="BL69" i="3"/>
  <c r="AT69" i="3"/>
  <c r="BK69" i="3"/>
  <c r="AS69" i="3"/>
  <c r="BI69" i="3"/>
  <c r="AO69" i="3"/>
  <c r="BC69" i="3"/>
  <c r="AK69" i="3"/>
  <c r="S69" i="3"/>
  <c r="BF69" i="3"/>
  <c r="BE69" i="3"/>
  <c r="BD69" i="3"/>
  <c r="AN69" i="3"/>
  <c r="AM69" i="3"/>
  <c r="T69" i="3"/>
  <c r="R69" i="3"/>
  <c r="J69" i="3"/>
  <c r="K69" i="3" s="1"/>
  <c r="AV41" i="4"/>
  <c r="BL13" i="4"/>
  <c r="AV13" i="4"/>
  <c r="AF13" i="4"/>
  <c r="P13" i="4"/>
  <c r="AT13" i="4"/>
  <c r="AD13" i="4"/>
  <c r="N13" i="4"/>
  <c r="BP13" i="4"/>
  <c r="AX13" i="4"/>
  <c r="AE13" i="4"/>
  <c r="AU13" i="4"/>
  <c r="AA13" i="4"/>
  <c r="BN13" i="4"/>
  <c r="AS13" i="4"/>
  <c r="BF13" i="4"/>
  <c r="AM13" i="4"/>
  <c r="BS13" i="4"/>
  <c r="AP13" i="4"/>
  <c r="S13" i="4"/>
  <c r="BR13" i="4"/>
  <c r="BK13" i="4"/>
  <c r="AL13" i="4"/>
  <c r="O13" i="4"/>
  <c r="BI13" i="4"/>
  <c r="M13" i="4"/>
  <c r="BH13" i="4"/>
  <c r="AJ13" i="4"/>
  <c r="BG13" i="4"/>
  <c r="AI13" i="4"/>
  <c r="BE13" i="4"/>
  <c r="BB13" i="4"/>
  <c r="Y13" i="4"/>
  <c r="BA13" i="4"/>
  <c r="X13" i="4"/>
  <c r="W13" i="4"/>
  <c r="BT13" i="4"/>
  <c r="AY13" i="4"/>
  <c r="AR13" i="4"/>
  <c r="AQ13" i="4"/>
  <c r="V13" i="4"/>
  <c r="AK12" i="4"/>
  <c r="BG12" i="4"/>
  <c r="AJ12" i="4"/>
  <c r="P12" i="4"/>
  <c r="L12" i="4"/>
  <c r="AV12" i="4"/>
  <c r="R12" i="4"/>
  <c r="BM12" i="4"/>
  <c r="Z12" i="4"/>
  <c r="N12" i="4"/>
  <c r="R15" i="4"/>
  <c r="BC15" i="4"/>
  <c r="AQ15" i="4"/>
  <c r="BM15" i="4"/>
  <c r="N339" i="3"/>
  <c r="BQ301" i="3"/>
  <c r="R204" i="3"/>
  <c r="M204" i="3"/>
  <c r="P233" i="3"/>
  <c r="Q34" i="3"/>
  <c r="K31" i="8"/>
  <c r="BN41" i="4"/>
  <c r="J42" i="4"/>
  <c r="Z42" i="4" s="1"/>
  <c r="S12" i="4"/>
  <c r="AX12" i="4"/>
  <c r="AH12" i="4"/>
  <c r="AS15" i="4"/>
  <c r="AD15" i="4"/>
  <c r="BL15" i="4"/>
  <c r="BH31" i="4"/>
  <c r="AR31" i="4"/>
  <c r="AB31" i="4"/>
  <c r="L31" i="4"/>
  <c r="BN31" i="4"/>
  <c r="AW31" i="4"/>
  <c r="AF31" i="4"/>
  <c r="O31" i="4"/>
  <c r="BL31" i="4"/>
  <c r="AT31" i="4"/>
  <c r="AA31" i="4"/>
  <c r="BJ31" i="4"/>
  <c r="AQ31" i="4"/>
  <c r="Y31" i="4"/>
  <c r="BE31" i="4"/>
  <c r="AM31" i="4"/>
  <c r="U31" i="4"/>
  <c r="BQ31" i="4"/>
  <c r="AU31" i="4"/>
  <c r="W31" i="4"/>
  <c r="BO31" i="4"/>
  <c r="AP31" i="4"/>
  <c r="T31" i="4"/>
  <c r="BM31" i="4"/>
  <c r="AO31" i="4"/>
  <c r="S31" i="4"/>
  <c r="BK31" i="4"/>
  <c r="AN31" i="4"/>
  <c r="AX31" i="4"/>
  <c r="Q31" i="4"/>
  <c r="AV31" i="4"/>
  <c r="P31" i="4"/>
  <c r="AS31" i="4"/>
  <c r="N31" i="4"/>
  <c r="BT31" i="4"/>
  <c r="AL31" i="4"/>
  <c r="M31" i="4"/>
  <c r="BR31" i="4"/>
  <c r="AJ31" i="4"/>
  <c r="BP31" i="4"/>
  <c r="AI31" i="4"/>
  <c r="BI31" i="4"/>
  <c r="AH31" i="4"/>
  <c r="BG31" i="4"/>
  <c r="AG31" i="4"/>
  <c r="BF31" i="4"/>
  <c r="BD31" i="4"/>
  <c r="AD31" i="4"/>
  <c r="BC31" i="4"/>
  <c r="AC31" i="4"/>
  <c r="BB31" i="4"/>
  <c r="Z31" i="4"/>
  <c r="X31" i="4"/>
  <c r="V31" i="4"/>
  <c r="R31" i="4"/>
  <c r="BS31" i="4"/>
  <c r="BA31" i="4"/>
  <c r="AZ31" i="4"/>
  <c r="AE31" i="4"/>
  <c r="AY31" i="4"/>
  <c r="AK31" i="4"/>
  <c r="AX324" i="3"/>
  <c r="AC324" i="3"/>
  <c r="BB324" i="3"/>
  <c r="AY324" i="3"/>
  <c r="AW324" i="3"/>
  <c r="AV324" i="3"/>
  <c r="AE324" i="3"/>
  <c r="AD324" i="3"/>
  <c r="AB324" i="3"/>
  <c r="Y324" i="3"/>
  <c r="BC324" i="3"/>
  <c r="BH324" i="3"/>
  <c r="AN324" i="3"/>
  <c r="BQ324" i="3"/>
  <c r="AI324" i="3"/>
  <c r="AK324" i="3"/>
  <c r="BP324" i="3"/>
  <c r="BG324" i="3"/>
  <c r="AZ324" i="3"/>
  <c r="Q324" i="3"/>
  <c r="R324" i="3"/>
  <c r="AQ324" i="3"/>
  <c r="AJ324" i="3"/>
  <c r="AO324" i="3"/>
  <c r="AR324" i="3"/>
  <c r="BS324" i="3"/>
  <c r="BE324" i="3"/>
  <c r="AH324" i="3"/>
  <c r="P324" i="3"/>
  <c r="V324" i="3"/>
  <c r="AL324" i="3"/>
  <c r="T301" i="3"/>
  <c r="BI204" i="3"/>
  <c r="AG147" i="3"/>
  <c r="AX133" i="3"/>
  <c r="BC253" i="3"/>
  <c r="AM253" i="3"/>
  <c r="BR253" i="3"/>
  <c r="BP253" i="3"/>
  <c r="AR253" i="3"/>
  <c r="BL253" i="3"/>
  <c r="Q253" i="3"/>
  <c r="AK253" i="3"/>
  <c r="BI253" i="3"/>
  <c r="BH253" i="3"/>
  <c r="AH253" i="3"/>
  <c r="BA253" i="3"/>
  <c r="K253" i="3"/>
  <c r="AX253" i="3"/>
  <c r="AC253" i="3"/>
  <c r="J253" i="3"/>
  <c r="BE226" i="3"/>
  <c r="AO226" i="3"/>
  <c r="Y226" i="3"/>
  <c r="BD226" i="3"/>
  <c r="AN226" i="3"/>
  <c r="X226" i="3"/>
  <c r="BS226" i="3"/>
  <c r="BC226" i="3"/>
  <c r="AM226" i="3"/>
  <c r="W226" i="3"/>
  <c r="BR226" i="3"/>
  <c r="BB226" i="3"/>
  <c r="AL226" i="3"/>
  <c r="V226" i="3"/>
  <c r="AZ226" i="3"/>
  <c r="AF226" i="3"/>
  <c r="L226" i="3"/>
  <c r="AY226" i="3"/>
  <c r="AE226" i="3"/>
  <c r="K226" i="3"/>
  <c r="AX226" i="3"/>
  <c r="AD226" i="3"/>
  <c r="BQ226" i="3"/>
  <c r="AW226" i="3"/>
  <c r="AC226" i="3"/>
  <c r="BP226" i="3"/>
  <c r="AV226" i="3"/>
  <c r="AB226" i="3"/>
  <c r="BO226" i="3"/>
  <c r="AU226" i="3"/>
  <c r="AA226" i="3"/>
  <c r="BN226" i="3"/>
  <c r="AT226" i="3"/>
  <c r="Z226" i="3"/>
  <c r="BM226" i="3"/>
  <c r="AS226" i="3"/>
  <c r="U226" i="3"/>
  <c r="BL226" i="3"/>
  <c r="AR226" i="3"/>
  <c r="T226" i="3"/>
  <c r="BK226" i="3"/>
  <c r="AQ226" i="3"/>
  <c r="S226" i="3"/>
  <c r="BJ226" i="3"/>
  <c r="AP226" i="3"/>
  <c r="R226" i="3"/>
  <c r="BI226" i="3"/>
  <c r="AK226" i="3"/>
  <c r="Q226" i="3"/>
  <c r="AG226" i="3"/>
  <c r="P226" i="3"/>
  <c r="O226" i="3"/>
  <c r="N226" i="3"/>
  <c r="M226" i="3"/>
  <c r="BH226" i="3"/>
  <c r="BG226" i="3"/>
  <c r="AI226" i="3"/>
  <c r="BF226" i="3"/>
  <c r="BA226" i="3"/>
  <c r="AJ226" i="3"/>
  <c r="AH226" i="3"/>
  <c r="BF227" i="3"/>
  <c r="AP227" i="3"/>
  <c r="Z227" i="3"/>
  <c r="BE227" i="3"/>
  <c r="AO227" i="3"/>
  <c r="Y227" i="3"/>
  <c r="BD227" i="3"/>
  <c r="AM227" i="3"/>
  <c r="W227" i="3"/>
  <c r="BB227" i="3"/>
  <c r="BA227" i="3"/>
  <c r="AG227" i="3"/>
  <c r="M227" i="3"/>
  <c r="AZ227" i="3"/>
  <c r="AF227" i="3"/>
  <c r="L227" i="3"/>
  <c r="AY227" i="3"/>
  <c r="AE227" i="3"/>
  <c r="AC227" i="3"/>
  <c r="BQ227" i="3"/>
  <c r="AB227" i="3"/>
  <c r="BP227" i="3"/>
  <c r="AU227" i="3"/>
  <c r="AA227" i="3"/>
  <c r="BO227" i="3"/>
  <c r="AT227" i="3"/>
  <c r="V227" i="3"/>
  <c r="BN227" i="3"/>
  <c r="AS227" i="3"/>
  <c r="BL227" i="3"/>
  <c r="AQ227" i="3"/>
  <c r="BK227" i="3"/>
  <c r="AL227" i="3"/>
  <c r="R227" i="3"/>
  <c r="BG227" i="3"/>
  <c r="AK227" i="3"/>
  <c r="AJ227" i="3"/>
  <c r="AI227" i="3"/>
  <c r="AH227" i="3"/>
  <c r="Q227" i="3"/>
  <c r="BJ227" i="3"/>
  <c r="BH227" i="3"/>
  <c r="J227" i="3"/>
  <c r="AN227" i="3" s="1"/>
  <c r="BF168" i="3"/>
  <c r="AP168" i="3"/>
  <c r="Z168" i="3"/>
  <c r="BE168" i="3"/>
  <c r="AO168" i="3"/>
  <c r="Y168" i="3"/>
  <c r="BD168" i="3"/>
  <c r="AN168" i="3"/>
  <c r="X168" i="3"/>
  <c r="BS168" i="3"/>
  <c r="BC168" i="3"/>
  <c r="AM168" i="3"/>
  <c r="W168" i="3"/>
  <c r="BR168" i="3"/>
  <c r="BB168" i="3"/>
  <c r="AL168" i="3"/>
  <c r="V168" i="3"/>
  <c r="BP168" i="3"/>
  <c r="AZ168" i="3"/>
  <c r="BO168" i="3"/>
  <c r="BN168" i="3"/>
  <c r="BL168" i="3"/>
  <c r="AV168" i="3"/>
  <c r="AF168" i="3"/>
  <c r="P168" i="3"/>
  <c r="AT168" i="3"/>
  <c r="S168" i="3"/>
  <c r="AS168" i="3"/>
  <c r="R168" i="3"/>
  <c r="AR168" i="3"/>
  <c r="Q168" i="3"/>
  <c r="AQ168" i="3"/>
  <c r="O168" i="3"/>
  <c r="BQ168" i="3"/>
  <c r="AK168" i="3"/>
  <c r="N168" i="3"/>
  <c r="BM168" i="3"/>
  <c r="AJ168" i="3"/>
  <c r="M168" i="3"/>
  <c r="BK168" i="3"/>
  <c r="AI168" i="3"/>
  <c r="L168" i="3"/>
  <c r="BJ168" i="3"/>
  <c r="AH168" i="3"/>
  <c r="K168" i="3"/>
  <c r="BI168" i="3"/>
  <c r="AG168" i="3"/>
  <c r="BH168" i="3"/>
  <c r="AE168" i="3"/>
  <c r="BG168" i="3"/>
  <c r="AD168" i="3"/>
  <c r="AW168" i="3"/>
  <c r="U168" i="3"/>
  <c r="BA168" i="3"/>
  <c r="AY168" i="3"/>
  <c r="AX168" i="3"/>
  <c r="AU168" i="3"/>
  <c r="AB168" i="3"/>
  <c r="AA168" i="3"/>
  <c r="T168" i="3"/>
  <c r="AC168" i="3"/>
  <c r="BN127" i="3"/>
  <c r="AX127" i="3"/>
  <c r="AH127" i="3"/>
  <c r="R127" i="3"/>
  <c r="BM127" i="3"/>
  <c r="AW127" i="3"/>
  <c r="AG127" i="3"/>
  <c r="Q127" i="3"/>
  <c r="BL127" i="3"/>
  <c r="AV127" i="3"/>
  <c r="AF127" i="3"/>
  <c r="P127" i="3"/>
  <c r="BG127" i="3"/>
  <c r="U127" i="3"/>
  <c r="BF127" i="3"/>
  <c r="AM127" i="3"/>
  <c r="T127" i="3"/>
  <c r="BE127" i="3"/>
  <c r="AL127" i="3"/>
  <c r="S127" i="3"/>
  <c r="BD127" i="3"/>
  <c r="AK127" i="3"/>
  <c r="O127" i="3"/>
  <c r="BC127" i="3"/>
  <c r="AJ127" i="3"/>
  <c r="N127" i="3"/>
  <c r="BB127" i="3"/>
  <c r="AI127" i="3"/>
  <c r="BS127" i="3"/>
  <c r="AZ127" i="3"/>
  <c r="AD127" i="3"/>
  <c r="K127" i="3"/>
  <c r="BR127" i="3"/>
  <c r="AY127" i="3"/>
  <c r="AC127" i="3"/>
  <c r="BQ127" i="3"/>
  <c r="AU127" i="3"/>
  <c r="AB127" i="3"/>
  <c r="BP127" i="3"/>
  <c r="AT127" i="3"/>
  <c r="AA127" i="3"/>
  <c r="BO127" i="3"/>
  <c r="AS127" i="3"/>
  <c r="BK127" i="3"/>
  <c r="AR127" i="3"/>
  <c r="Y127" i="3"/>
  <c r="BA127" i="3"/>
  <c r="AQ127" i="3"/>
  <c r="AP127" i="3"/>
  <c r="AO127" i="3"/>
  <c r="AE127" i="3"/>
  <c r="X127" i="3"/>
  <c r="W127" i="3"/>
  <c r="V127" i="3"/>
  <c r="L127" i="3"/>
  <c r="BI127" i="3"/>
  <c r="BJ127" i="3"/>
  <c r="BH127" i="3"/>
  <c r="J127" i="3"/>
  <c r="AN127" i="3" s="1"/>
  <c r="J37" i="3"/>
  <c r="BN37" i="3" s="1"/>
  <c r="BK34" i="4"/>
  <c r="AU34" i="4"/>
  <c r="AE34" i="4"/>
  <c r="O34" i="4"/>
  <c r="BM34" i="4"/>
  <c r="AV34" i="4"/>
  <c r="AD34" i="4"/>
  <c r="M34" i="4"/>
  <c r="BE34" i="4"/>
  <c r="AM34" i="4"/>
  <c r="U34" i="4"/>
  <c r="BC34" i="4"/>
  <c r="AK34" i="4"/>
  <c r="S34" i="4"/>
  <c r="BQ34" i="4"/>
  <c r="AY34" i="4"/>
  <c r="AG34" i="4"/>
  <c r="N34" i="4"/>
  <c r="BG34" i="4"/>
  <c r="AJ34" i="4"/>
  <c r="L34" i="4"/>
  <c r="BD34" i="4"/>
  <c r="AH34" i="4"/>
  <c r="BB34" i="4"/>
  <c r="AF34" i="4"/>
  <c r="BA34" i="4"/>
  <c r="AC34" i="4"/>
  <c r="BO34" i="4"/>
  <c r="AN34" i="4"/>
  <c r="BN34" i="4"/>
  <c r="AL34" i="4"/>
  <c r="BL34" i="4"/>
  <c r="AI34" i="4"/>
  <c r="BJ34" i="4"/>
  <c r="AB34" i="4"/>
  <c r="BH34" i="4"/>
  <c r="Z34" i="4"/>
  <c r="BF34" i="4"/>
  <c r="Y34" i="4"/>
  <c r="AZ34" i="4"/>
  <c r="X34" i="4"/>
  <c r="AX34" i="4"/>
  <c r="W34" i="4"/>
  <c r="AW34" i="4"/>
  <c r="V34" i="4"/>
  <c r="AT34" i="4"/>
  <c r="T34" i="4"/>
  <c r="AS34" i="4"/>
  <c r="R34" i="4"/>
  <c r="BT34" i="4"/>
  <c r="AR34" i="4"/>
  <c r="Q34" i="4"/>
  <c r="BR34" i="4"/>
  <c r="BP34" i="4"/>
  <c r="BI34" i="4"/>
  <c r="AQ34" i="4"/>
  <c r="AP34" i="4"/>
  <c r="AO34" i="4"/>
  <c r="AA34" i="4"/>
  <c r="P34" i="4"/>
  <c r="BS34" i="4"/>
  <c r="K14" i="8"/>
  <c r="AF41" i="4"/>
  <c r="AC41" i="4"/>
  <c r="BN12" i="4"/>
  <c r="BT12" i="4"/>
  <c r="S15" i="4"/>
  <c r="AF15" i="4"/>
  <c r="AR15" i="4"/>
  <c r="J330" i="3"/>
  <c r="J338" i="3"/>
  <c r="J346" i="3"/>
  <c r="T346" i="3" s="1"/>
  <c r="BK306" i="3"/>
  <c r="AQ306" i="3"/>
  <c r="L324" i="3"/>
  <c r="BJ261" i="3"/>
  <c r="AT261" i="3"/>
  <c r="AD261" i="3"/>
  <c r="BI261" i="3"/>
  <c r="M261" i="3"/>
  <c r="BH261" i="3"/>
  <c r="BF261" i="3"/>
  <c r="BE261" i="3"/>
  <c r="AO261" i="3"/>
  <c r="Y261" i="3"/>
  <c r="BD261" i="3"/>
  <c r="BS261" i="3"/>
  <c r="BC261" i="3"/>
  <c r="AM261" i="3"/>
  <c r="BM261" i="3"/>
  <c r="Q261" i="3"/>
  <c r="AZ261" i="3"/>
  <c r="K261" i="3"/>
  <c r="AY261" i="3"/>
  <c r="AX261" i="3"/>
  <c r="AW261" i="3"/>
  <c r="AH261" i="3"/>
  <c r="U261" i="3"/>
  <c r="T261" i="3"/>
  <c r="BQ261" i="3"/>
  <c r="J261" i="3"/>
  <c r="AS261" i="3" s="1"/>
  <c r="L233" i="3"/>
  <c r="BO233" i="3"/>
  <c r="BD233" i="3"/>
  <c r="AM233" i="3"/>
  <c r="BG233" i="3"/>
  <c r="AY233" i="3"/>
  <c r="X233" i="3"/>
  <c r="O233" i="3"/>
  <c r="AQ233" i="3"/>
  <c r="AI233" i="3"/>
  <c r="BC233" i="3"/>
  <c r="AA233" i="3"/>
  <c r="S233" i="3"/>
  <c r="W233" i="3"/>
  <c r="K233" i="3"/>
  <c r="BQ233" i="3"/>
  <c r="BA233" i="3"/>
  <c r="BJ233" i="3"/>
  <c r="BF233" i="3"/>
  <c r="AK233" i="3"/>
  <c r="U233" i="3"/>
  <c r="AD233" i="3"/>
  <c r="Z233" i="3"/>
  <c r="AH233" i="3"/>
  <c r="R233" i="3"/>
  <c r="N233" i="3"/>
  <c r="BR233" i="3"/>
  <c r="BM233" i="3"/>
  <c r="AW233" i="3"/>
  <c r="BI233" i="3"/>
  <c r="BB233" i="3"/>
  <c r="AG233" i="3"/>
  <c r="Q233" i="3"/>
  <c r="AS233" i="3"/>
  <c r="AL233" i="3"/>
  <c r="BL233" i="3"/>
  <c r="AV233" i="3"/>
  <c r="M233" i="3"/>
  <c r="BP233" i="3"/>
  <c r="BK233" i="3"/>
  <c r="BS233" i="3"/>
  <c r="BH233" i="3"/>
  <c r="AZ233" i="3"/>
  <c r="AE233" i="3"/>
  <c r="AU233" i="3"/>
  <c r="AB233" i="3"/>
  <c r="T233" i="3"/>
  <c r="Y233" i="3"/>
  <c r="AN233" i="3"/>
  <c r="AB202" i="3"/>
  <c r="AQ202" i="3"/>
  <c r="AA202" i="3"/>
  <c r="K202" i="3"/>
  <c r="R202" i="3"/>
  <c r="AZ202" i="3"/>
  <c r="T202" i="3"/>
  <c r="AW202" i="3"/>
  <c r="BJ202" i="3"/>
  <c r="BD202" i="3"/>
  <c r="AE202" i="3"/>
  <c r="AD202" i="3"/>
  <c r="J202" i="3"/>
  <c r="BE202" i="3" s="1"/>
  <c r="AT239" i="3"/>
  <c r="AK239" i="3"/>
  <c r="S174" i="3"/>
  <c r="BO174" i="3"/>
  <c r="R174" i="3"/>
  <c r="BN174" i="3"/>
  <c r="Q174" i="3"/>
  <c r="BM174" i="3"/>
  <c r="P174" i="3"/>
  <c r="BL174" i="3"/>
  <c r="O174" i="3"/>
  <c r="BK174" i="3"/>
  <c r="AY174" i="3"/>
  <c r="AX174" i="3"/>
  <c r="AW174" i="3"/>
  <c r="AV174" i="3"/>
  <c r="AU174" i="3"/>
  <c r="AF174" i="3"/>
  <c r="AE174" i="3"/>
  <c r="AI174" i="3"/>
  <c r="AH174" i="3"/>
  <c r="AG174" i="3"/>
  <c r="BA174" i="3"/>
  <c r="V174" i="3"/>
  <c r="BQ174" i="3"/>
  <c r="AL174" i="3"/>
  <c r="BB174" i="3"/>
  <c r="BR174" i="3"/>
  <c r="W174" i="3"/>
  <c r="AM174" i="3"/>
  <c r="AA174" i="3"/>
  <c r="N174" i="3"/>
  <c r="BS174" i="3"/>
  <c r="X174" i="3"/>
  <c r="Z174" i="3"/>
  <c r="BG174" i="3"/>
  <c r="AT174" i="3"/>
  <c r="AN174" i="3"/>
  <c r="AP174" i="3"/>
  <c r="BD174" i="3"/>
  <c r="Y174" i="3"/>
  <c r="BF174" i="3"/>
  <c r="AO174" i="3"/>
  <c r="M174" i="3"/>
  <c r="BJ174" i="3"/>
  <c r="T174" i="3"/>
  <c r="L174" i="3"/>
  <c r="AS174" i="3"/>
  <c r="AJ174" i="3"/>
  <c r="AB174" i="3"/>
  <c r="BI174" i="3"/>
  <c r="BP174" i="3"/>
  <c r="AK174" i="3"/>
  <c r="BH174" i="3"/>
  <c r="AF233" i="3"/>
  <c r="AO147" i="3"/>
  <c r="AI133" i="3"/>
  <c r="Z34" i="3"/>
  <c r="BQ336" i="3"/>
  <c r="BA336" i="3"/>
  <c r="AK336" i="3"/>
  <c r="U336" i="3"/>
  <c r="BI336" i="3"/>
  <c r="AR336" i="3"/>
  <c r="AA336" i="3"/>
  <c r="BH336" i="3"/>
  <c r="AQ336" i="3"/>
  <c r="Z336" i="3"/>
  <c r="BG336" i="3"/>
  <c r="AP336" i="3"/>
  <c r="Y336" i="3"/>
  <c r="BF336" i="3"/>
  <c r="AO336" i="3"/>
  <c r="X336" i="3"/>
  <c r="BE336" i="3"/>
  <c r="AN336" i="3"/>
  <c r="W336" i="3"/>
  <c r="BD336" i="3"/>
  <c r="AM336" i="3"/>
  <c r="V336" i="3"/>
  <c r="BC336" i="3"/>
  <c r="AL336" i="3"/>
  <c r="T336" i="3"/>
  <c r="BS336" i="3"/>
  <c r="BB336" i="3"/>
  <c r="AJ336" i="3"/>
  <c r="S336" i="3"/>
  <c r="BP336" i="3"/>
  <c r="AY336" i="3"/>
  <c r="AH336" i="3"/>
  <c r="Q336" i="3"/>
  <c r="BO336" i="3"/>
  <c r="AX336" i="3"/>
  <c r="AG336" i="3"/>
  <c r="P336" i="3"/>
  <c r="BM336" i="3"/>
  <c r="AV336" i="3"/>
  <c r="AE336" i="3"/>
  <c r="N336" i="3"/>
  <c r="BL336" i="3"/>
  <c r="AU336" i="3"/>
  <c r="AD336" i="3"/>
  <c r="M336" i="3"/>
  <c r="AT336" i="3"/>
  <c r="AS336" i="3"/>
  <c r="AI336" i="3"/>
  <c r="AF336" i="3"/>
  <c r="AC336" i="3"/>
  <c r="AB336" i="3"/>
  <c r="R336" i="3"/>
  <c r="O336" i="3"/>
  <c r="L336" i="3"/>
  <c r="K336" i="3"/>
  <c r="BR336" i="3"/>
  <c r="BJ336" i="3"/>
  <c r="BN336" i="3"/>
  <c r="BK336" i="3"/>
  <c r="AZ336" i="3"/>
  <c r="AW336" i="3"/>
  <c r="U42" i="4"/>
  <c r="BS42" i="4"/>
  <c r="BA42" i="4"/>
  <c r="AH42" i="4"/>
  <c r="AV42" i="4"/>
  <c r="AA42" i="4"/>
  <c r="BQ42" i="4"/>
  <c r="AU42" i="4"/>
  <c r="BJ42" i="4"/>
  <c r="R42" i="4"/>
  <c r="AZ42" i="4"/>
  <c r="Q42" i="4"/>
  <c r="Z353" i="3"/>
  <c r="BD353" i="3"/>
  <c r="BC353" i="3"/>
  <c r="BB353" i="3"/>
  <c r="BG353" i="3"/>
  <c r="AH353" i="3"/>
  <c r="N353" i="3"/>
  <c r="AE353" i="3"/>
  <c r="BO353" i="3"/>
  <c r="BK353" i="3"/>
  <c r="AX353" i="3"/>
  <c r="AQ353" i="3"/>
  <c r="J353" i="3"/>
  <c r="AL353" i="3" s="1"/>
  <c r="AT15" i="4"/>
  <c r="BH15" i="4"/>
  <c r="BN15" i="4"/>
  <c r="J35" i="4"/>
  <c r="AK8" i="4"/>
  <c r="S8" i="4"/>
  <c r="BT8" i="4"/>
  <c r="BJ8" i="4"/>
  <c r="AM8" i="4"/>
  <c r="O8" i="4"/>
  <c r="AD8" i="4"/>
  <c r="AX8" i="4"/>
  <c r="AB8" i="4"/>
  <c r="AP8" i="4"/>
  <c r="X8" i="4"/>
  <c r="W8" i="4"/>
  <c r="BJ329" i="3"/>
  <c r="AT329" i="3"/>
  <c r="AD329" i="3"/>
  <c r="N329" i="3"/>
  <c r="BI329" i="3"/>
  <c r="AS329" i="3"/>
  <c r="AC329" i="3"/>
  <c r="M329" i="3"/>
  <c r="BG329" i="3"/>
  <c r="AQ329" i="3"/>
  <c r="AA329" i="3"/>
  <c r="K329" i="3"/>
  <c r="BF329" i="3"/>
  <c r="AP329" i="3"/>
  <c r="Z329" i="3"/>
  <c r="BE329" i="3"/>
  <c r="AO329" i="3"/>
  <c r="Y329" i="3"/>
  <c r="BD329" i="3"/>
  <c r="AN329" i="3"/>
  <c r="X329" i="3"/>
  <c r="BS329" i="3"/>
  <c r="BC329" i="3"/>
  <c r="AM329" i="3"/>
  <c r="W329" i="3"/>
  <c r="BQ329" i="3"/>
  <c r="BA329" i="3"/>
  <c r="AK329" i="3"/>
  <c r="U329" i="3"/>
  <c r="AY329" i="3"/>
  <c r="S329" i="3"/>
  <c r="AX329" i="3"/>
  <c r="R329" i="3"/>
  <c r="AW329" i="3"/>
  <c r="Q329" i="3"/>
  <c r="AV329" i="3"/>
  <c r="P329" i="3"/>
  <c r="AU329" i="3"/>
  <c r="O329" i="3"/>
  <c r="AR329" i="3"/>
  <c r="L329" i="3"/>
  <c r="BR329" i="3"/>
  <c r="AL329" i="3"/>
  <c r="BP329" i="3"/>
  <c r="AJ329" i="3"/>
  <c r="BO329" i="3"/>
  <c r="AI329" i="3"/>
  <c r="BN329" i="3"/>
  <c r="AH329" i="3"/>
  <c r="BM329" i="3"/>
  <c r="AG329" i="3"/>
  <c r="BH329" i="3"/>
  <c r="AB329" i="3"/>
  <c r="BL329" i="3"/>
  <c r="BK329" i="3"/>
  <c r="BB329" i="3"/>
  <c r="AZ329" i="3"/>
  <c r="AF329" i="3"/>
  <c r="AE329" i="3"/>
  <c r="V329" i="3"/>
  <c r="T329" i="3"/>
  <c r="X324" i="3"/>
  <c r="J309" i="3"/>
  <c r="AB306" i="3"/>
  <c r="AR306" i="3"/>
  <c r="M306" i="3"/>
  <c r="BD324" i="3"/>
  <c r="V301" i="3"/>
  <c r="BF223" i="3"/>
  <c r="AO223" i="3"/>
  <c r="AJ223" i="3"/>
  <c r="AI223" i="3"/>
  <c r="AH223" i="3"/>
  <c r="R223" i="3"/>
  <c r="Q223" i="3"/>
  <c r="P223" i="3"/>
  <c r="O223" i="3"/>
  <c r="BH223" i="3"/>
  <c r="BI223" i="3"/>
  <c r="BG223" i="3"/>
  <c r="X223" i="3"/>
  <c r="BS223" i="3"/>
  <c r="L223" i="3"/>
  <c r="BC223" i="3"/>
  <c r="AE223" i="3"/>
  <c r="N223" i="3"/>
  <c r="AM223" i="3"/>
  <c r="AY223" i="3"/>
  <c r="AG223" i="3"/>
  <c r="BR223" i="3"/>
  <c r="AC223" i="3"/>
  <c r="AS223" i="3"/>
  <c r="AU223" i="3"/>
  <c r="AL223" i="3"/>
  <c r="U223" i="3"/>
  <c r="BM223" i="3"/>
  <c r="V223" i="3"/>
  <c r="T223" i="3"/>
  <c r="AR223" i="3"/>
  <c r="Z223" i="3"/>
  <c r="BQ223" i="3"/>
  <c r="K223" i="3"/>
  <c r="AQ223" i="3"/>
  <c r="BL223" i="3"/>
  <c r="AT223" i="3"/>
  <c r="BA223" i="3"/>
  <c r="AD223" i="3"/>
  <c r="AB223" i="3"/>
  <c r="S223" i="3"/>
  <c r="AV223" i="3"/>
  <c r="M223" i="3"/>
  <c r="BO223" i="3"/>
  <c r="BJ223" i="3"/>
  <c r="AN223" i="3"/>
  <c r="AZ223" i="3"/>
  <c r="BN211" i="3"/>
  <c r="AX211" i="3"/>
  <c r="AH211" i="3"/>
  <c r="R211" i="3"/>
  <c r="BM211" i="3"/>
  <c r="AW211" i="3"/>
  <c r="AG211" i="3"/>
  <c r="Q211" i="3"/>
  <c r="BL211" i="3"/>
  <c r="AV211" i="3"/>
  <c r="AF211" i="3"/>
  <c r="P211" i="3"/>
  <c r="BK211" i="3"/>
  <c r="AU211" i="3"/>
  <c r="AE211" i="3"/>
  <c r="O211" i="3"/>
  <c r="BJ211" i="3"/>
  <c r="AT211" i="3"/>
  <c r="AD211" i="3"/>
  <c r="N211" i="3"/>
  <c r="BI211" i="3"/>
  <c r="AS211" i="3"/>
  <c r="AC211" i="3"/>
  <c r="M211" i="3"/>
  <c r="BH211" i="3"/>
  <c r="AR211" i="3"/>
  <c r="AB211" i="3"/>
  <c r="L211" i="3"/>
  <c r="BG211" i="3"/>
  <c r="AQ211" i="3"/>
  <c r="AA211" i="3"/>
  <c r="K211" i="3"/>
  <c r="BF211" i="3"/>
  <c r="AP211" i="3"/>
  <c r="Z211" i="3"/>
  <c r="BE211" i="3"/>
  <c r="AO211" i="3"/>
  <c r="Y211" i="3"/>
  <c r="BD211" i="3"/>
  <c r="AN211" i="3"/>
  <c r="X211" i="3"/>
  <c r="BS211" i="3"/>
  <c r="BC211" i="3"/>
  <c r="AM211" i="3"/>
  <c r="W211" i="3"/>
  <c r="BQ211" i="3"/>
  <c r="BP211" i="3"/>
  <c r="BO211" i="3"/>
  <c r="BB211" i="3"/>
  <c r="BA211" i="3"/>
  <c r="AZ211" i="3"/>
  <c r="AY211" i="3"/>
  <c r="AL211" i="3"/>
  <c r="AK211" i="3"/>
  <c r="AJ211" i="3"/>
  <c r="AI211" i="3"/>
  <c r="S211" i="3"/>
  <c r="BR211" i="3"/>
  <c r="V211" i="3"/>
  <c r="U211" i="3"/>
  <c r="T211" i="3"/>
  <c r="AZ174" i="3"/>
  <c r="BN233" i="3"/>
  <c r="T133" i="3"/>
  <c r="BK72" i="3"/>
  <c r="AU72" i="3"/>
  <c r="AE72" i="3"/>
  <c r="O72" i="3"/>
  <c r="AD72" i="3"/>
  <c r="N72" i="3"/>
  <c r="BH72" i="3"/>
  <c r="AR72" i="3"/>
  <c r="AB72" i="3"/>
  <c r="AJ72" i="3"/>
  <c r="Q72" i="3"/>
  <c r="AI72" i="3"/>
  <c r="P72" i="3"/>
  <c r="BA72" i="3"/>
  <c r="AH72" i="3"/>
  <c r="M72" i="3"/>
  <c r="BS72" i="3"/>
  <c r="K72" i="3"/>
  <c r="BR72" i="3"/>
  <c r="AY72" i="3"/>
  <c r="AX72" i="3"/>
  <c r="AC72" i="3"/>
  <c r="BP72" i="3"/>
  <c r="AW72" i="3"/>
  <c r="BO72" i="3"/>
  <c r="AV72" i="3"/>
  <c r="Z72" i="3"/>
  <c r="BN72" i="3"/>
  <c r="AS72" i="3"/>
  <c r="Y72" i="3"/>
  <c r="X72" i="3"/>
  <c r="W72" i="3"/>
  <c r="BE72" i="3"/>
  <c r="AL72" i="3"/>
  <c r="S72" i="3"/>
  <c r="AM72" i="3"/>
  <c r="AK72" i="3"/>
  <c r="U72" i="3"/>
  <c r="T72" i="3"/>
  <c r="R72" i="3"/>
  <c r="BI72" i="3"/>
  <c r="BG72" i="3"/>
  <c r="BF72" i="3"/>
  <c r="J72" i="3"/>
  <c r="BB34" i="3"/>
  <c r="BE41" i="4"/>
  <c r="BQ41" i="4"/>
  <c r="AZ41" i="4"/>
  <c r="BF27" i="4"/>
  <c r="AP27" i="4"/>
  <c r="Z27" i="4"/>
  <c r="BP27" i="4"/>
  <c r="AY27" i="4"/>
  <c r="AH27" i="4"/>
  <c r="Q27" i="4"/>
  <c r="BC27" i="4"/>
  <c r="AK27" i="4"/>
  <c r="S27" i="4"/>
  <c r="BS27" i="4"/>
  <c r="BA27" i="4"/>
  <c r="AI27" i="4"/>
  <c r="P27" i="4"/>
  <c r="BN27" i="4"/>
  <c r="AV27" i="4"/>
  <c r="AD27" i="4"/>
  <c r="L27" i="4"/>
  <c r="BH27" i="4"/>
  <c r="AL27" i="4"/>
  <c r="N27" i="4"/>
  <c r="BE27" i="4"/>
  <c r="AG27" i="4"/>
  <c r="BD27" i="4"/>
  <c r="AF27" i="4"/>
  <c r="BT27" i="4"/>
  <c r="AS27" i="4"/>
  <c r="T27" i="4"/>
  <c r="BR27" i="4"/>
  <c r="AR27" i="4"/>
  <c r="R27" i="4"/>
  <c r="BQ27" i="4"/>
  <c r="AQ27" i="4"/>
  <c r="O27" i="4"/>
  <c r="BO27" i="4"/>
  <c r="AO27" i="4"/>
  <c r="M27" i="4"/>
  <c r="BL27" i="4"/>
  <c r="AM27" i="4"/>
  <c r="BK27" i="4"/>
  <c r="AJ27" i="4"/>
  <c r="BJ27" i="4"/>
  <c r="AE27" i="4"/>
  <c r="BI27" i="4"/>
  <c r="AC27" i="4"/>
  <c r="BB27" i="4"/>
  <c r="AA27" i="4"/>
  <c r="AZ27" i="4"/>
  <c r="Y27" i="4"/>
  <c r="AX27" i="4"/>
  <c r="X27" i="4"/>
  <c r="AW27" i="4"/>
  <c r="AU27" i="4"/>
  <c r="AT27" i="4"/>
  <c r="AN27" i="4"/>
  <c r="AB27" i="4"/>
  <c r="W27" i="4"/>
  <c r="V27" i="4"/>
  <c r="U27" i="4"/>
  <c r="BM27" i="4"/>
  <c r="BG27" i="4"/>
  <c r="I18" i="4"/>
  <c r="BE15" i="4"/>
  <c r="J339" i="3"/>
  <c r="J345" i="3"/>
  <c r="L306" i="3"/>
  <c r="AA306" i="3"/>
  <c r="AF324" i="3"/>
  <c r="AQ294" i="3"/>
  <c r="AP294" i="3"/>
  <c r="BR294" i="3"/>
  <c r="BP294" i="3"/>
  <c r="BM294" i="3"/>
  <c r="J302" i="3"/>
  <c r="AJ233" i="3"/>
  <c r="AK133" i="3"/>
  <c r="Y306" i="3"/>
  <c r="BD306" i="3"/>
  <c r="AH306" i="3"/>
  <c r="BC306" i="3"/>
  <c r="AG306" i="3"/>
  <c r="BB306" i="3"/>
  <c r="AF306" i="3"/>
  <c r="J311" i="3"/>
  <c r="BA306" i="3"/>
  <c r="AE306" i="3"/>
  <c r="I311" i="3"/>
  <c r="AZ306" i="3"/>
  <c r="X306" i="3"/>
  <c r="I307" i="3"/>
  <c r="AY306" i="3"/>
  <c r="W306" i="3"/>
  <c r="AX306" i="3"/>
  <c r="V306" i="3"/>
  <c r="BS306" i="3"/>
  <c r="AW306" i="3"/>
  <c r="U306" i="3"/>
  <c r="BR306" i="3"/>
  <c r="AV306" i="3"/>
  <c r="T306" i="3"/>
  <c r="BQ306" i="3"/>
  <c r="AO306" i="3"/>
  <c r="S306" i="3"/>
  <c r="BP306" i="3"/>
  <c r="AN306" i="3"/>
  <c r="R306" i="3"/>
  <c r="I310" i="3"/>
  <c r="BO306" i="3"/>
  <c r="AM306" i="3"/>
  <c r="Q306" i="3"/>
  <c r="BN306" i="3"/>
  <c r="AL306" i="3"/>
  <c r="P306" i="3"/>
  <c r="I308" i="3"/>
  <c r="N306" i="3"/>
  <c r="BM306" i="3"/>
  <c r="BF306" i="3"/>
  <c r="BE306" i="3"/>
  <c r="AJ306" i="3"/>
  <c r="J308" i="3"/>
  <c r="AK306" i="3"/>
  <c r="AI306" i="3"/>
  <c r="O306" i="3"/>
  <c r="AS306" i="3"/>
  <c r="Z306" i="3"/>
  <c r="BJ306" i="3"/>
  <c r="K306" i="3"/>
  <c r="BH306" i="3"/>
  <c r="AT306" i="3"/>
  <c r="I309" i="3"/>
  <c r="AD306" i="3"/>
  <c r="AU306" i="3"/>
  <c r="BL306" i="3"/>
  <c r="BI306" i="3"/>
  <c r="Z294" i="3"/>
  <c r="BH297" i="3"/>
  <c r="AR297" i="3"/>
  <c r="W297" i="3"/>
  <c r="BR297" i="3"/>
  <c r="BN297" i="3"/>
  <c r="AX297" i="3"/>
  <c r="BK297" i="3"/>
  <c r="BJ297" i="3"/>
  <c r="BB294" i="3"/>
  <c r="AZ294" i="3"/>
  <c r="AP301" i="3"/>
  <c r="BK277" i="3"/>
  <c r="BI277" i="3"/>
  <c r="BH277" i="3"/>
  <c r="AS277" i="3"/>
  <c r="AQ277" i="3"/>
  <c r="AP277" i="3"/>
  <c r="AA277" i="3"/>
  <c r="Y277" i="3"/>
  <c r="BE277" i="3"/>
  <c r="BA277" i="3"/>
  <c r="AU277" i="3"/>
  <c r="AM277" i="3"/>
  <c r="AI277" i="3"/>
  <c r="AC277" i="3"/>
  <c r="BN277" i="3"/>
  <c r="U277" i="3"/>
  <c r="O277" i="3"/>
  <c r="K277" i="3"/>
  <c r="AX277" i="3"/>
  <c r="BR277" i="3"/>
  <c r="BL277" i="3"/>
  <c r="R277" i="3"/>
  <c r="AL277" i="3"/>
  <c r="AF277" i="3"/>
  <c r="AB277" i="3"/>
  <c r="AW277" i="3"/>
  <c r="I278" i="3"/>
  <c r="J278" i="3" s="1"/>
  <c r="BQ277" i="3"/>
  <c r="I279" i="3"/>
  <c r="J279" i="3" s="1"/>
  <c r="AG277" i="3"/>
  <c r="BC277" i="3"/>
  <c r="AY277" i="3"/>
  <c r="BJ277" i="3"/>
  <c r="Q277" i="3"/>
  <c r="AK277" i="3"/>
  <c r="AE277" i="3"/>
  <c r="AR277" i="3"/>
  <c r="BG277" i="3"/>
  <c r="S277" i="3"/>
  <c r="M277" i="3"/>
  <c r="Z277" i="3"/>
  <c r="W277" i="3"/>
  <c r="BB277" i="3"/>
  <c r="AV277" i="3"/>
  <c r="BF277" i="3"/>
  <c r="AJ277" i="3"/>
  <c r="AD277" i="3"/>
  <c r="V277" i="3"/>
  <c r="BS277" i="3"/>
  <c r="BO277" i="3"/>
  <c r="O204" i="3"/>
  <c r="V233" i="3"/>
  <c r="I137" i="3"/>
  <c r="BP74" i="3"/>
  <c r="AW74" i="3"/>
  <c r="AA74" i="3"/>
  <c r="BO74" i="3"/>
  <c r="AT74" i="3"/>
  <c r="Z74" i="3"/>
  <c r="BN74" i="3"/>
  <c r="AR74" i="3"/>
  <c r="Y74" i="3"/>
  <c r="BM74" i="3"/>
  <c r="AQ74" i="3"/>
  <c r="X74" i="3"/>
  <c r="BJ74" i="3"/>
  <c r="AP74" i="3"/>
  <c r="W74" i="3"/>
  <c r="I77" i="3"/>
  <c r="J77" i="3" s="1"/>
  <c r="BH74" i="3"/>
  <c r="AO74" i="3"/>
  <c r="V74" i="3"/>
  <c r="BG74" i="3"/>
  <c r="AN74" i="3"/>
  <c r="U74" i="3"/>
  <c r="J76" i="3"/>
  <c r="BF74" i="3"/>
  <c r="AM74" i="3"/>
  <c r="T74" i="3"/>
  <c r="I75" i="3"/>
  <c r="BB74" i="3"/>
  <c r="AI74" i="3"/>
  <c r="N74" i="3"/>
  <c r="BA74" i="3"/>
  <c r="AL74" i="3"/>
  <c r="AK74" i="3"/>
  <c r="AJ74" i="3"/>
  <c r="AH74" i="3"/>
  <c r="J78" i="3"/>
  <c r="S74" i="3"/>
  <c r="I78" i="3"/>
  <c r="R74" i="3"/>
  <c r="Q74" i="3"/>
  <c r="L74" i="3"/>
  <c r="J75" i="3"/>
  <c r="I76" i="3"/>
  <c r="BE74" i="3"/>
  <c r="BD74" i="3"/>
  <c r="BC74" i="3"/>
  <c r="AC74" i="3"/>
  <c r="M74" i="3"/>
  <c r="AB74" i="3"/>
  <c r="AX74" i="3"/>
  <c r="BQ74" i="3"/>
  <c r="AV74" i="3"/>
  <c r="AD74" i="3"/>
  <c r="AF74" i="3"/>
  <c r="AY74" i="3"/>
  <c r="P74" i="3"/>
  <c r="BR74" i="3"/>
  <c r="K74" i="3"/>
  <c r="BK74" i="3"/>
  <c r="I79" i="3"/>
  <c r="AG74" i="3"/>
  <c r="AE74" i="3"/>
  <c r="BS74" i="3"/>
  <c r="O74" i="3"/>
  <c r="J79" i="3"/>
  <c r="AS74" i="3"/>
  <c r="AU74" i="3"/>
  <c r="S34" i="3"/>
  <c r="K25" i="8"/>
  <c r="BP41" i="4"/>
  <c r="AS41" i="4"/>
  <c r="W41" i="4"/>
  <c r="BM41" i="4"/>
  <c r="BL41" i="4"/>
  <c r="AA41" i="4"/>
  <c r="BK41" i="4"/>
  <c r="Y41" i="4"/>
  <c r="BI41" i="4"/>
  <c r="X41" i="4"/>
  <c r="I43" i="4"/>
  <c r="BH41" i="4"/>
  <c r="U41" i="4"/>
  <c r="BF41" i="4"/>
  <c r="R41" i="4"/>
  <c r="AW41" i="4"/>
  <c r="Q41" i="4"/>
  <c r="AU41" i="4"/>
  <c r="P41" i="4"/>
  <c r="AT41" i="4"/>
  <c r="O41" i="4"/>
  <c r="AQ41" i="4"/>
  <c r="M41" i="4"/>
  <c r="I44" i="4"/>
  <c r="J44" i="4" s="1"/>
  <c r="AP41" i="4"/>
  <c r="AO41" i="4"/>
  <c r="AN41" i="4"/>
  <c r="BT41" i="4"/>
  <c r="AJ41" i="4"/>
  <c r="T41" i="4"/>
  <c r="BS41" i="4"/>
  <c r="BR41" i="4"/>
  <c r="BG41" i="4"/>
  <c r="AL41" i="4"/>
  <c r="AK41" i="4"/>
  <c r="AM41" i="4"/>
  <c r="BN39" i="4"/>
  <c r="AX39" i="4"/>
  <c r="AH39" i="4"/>
  <c r="R39" i="4"/>
  <c r="BP39" i="4"/>
  <c r="W39" i="4"/>
  <c r="BE39" i="4"/>
  <c r="AM39" i="4"/>
  <c r="U39" i="4"/>
  <c r="BA39" i="4"/>
  <c r="AI39" i="4"/>
  <c r="O39" i="4"/>
  <c r="AZ39" i="4"/>
  <c r="AC39" i="4"/>
  <c r="AW39" i="4"/>
  <c r="AU39" i="4"/>
  <c r="Z39" i="4"/>
  <c r="BQ39" i="4"/>
  <c r="AT39" i="4"/>
  <c r="BK39" i="4"/>
  <c r="AP39" i="4"/>
  <c r="S39" i="4"/>
  <c r="BH39" i="4"/>
  <c r="V39" i="4"/>
  <c r="BF39" i="4"/>
  <c r="AS39" i="4"/>
  <c r="L39" i="4"/>
  <c r="AR39" i="4"/>
  <c r="AQ39" i="4"/>
  <c r="AL39" i="4"/>
  <c r="AK39" i="4"/>
  <c r="BO39" i="4"/>
  <c r="AJ39" i="4"/>
  <c r="BM39" i="4"/>
  <c r="AF39" i="4"/>
  <c r="AD39" i="4"/>
  <c r="X39" i="4"/>
  <c r="M39" i="4"/>
  <c r="I97" i="7"/>
  <c r="D13" i="1"/>
  <c r="J23" i="4"/>
  <c r="AW23" i="4" s="1"/>
  <c r="V12" i="4"/>
  <c r="BD12" i="4"/>
  <c r="M12" i="4"/>
  <c r="L15" i="4"/>
  <c r="AV15" i="4"/>
  <c r="AI15" i="4"/>
  <c r="W15" i="4"/>
  <c r="N324" i="3"/>
  <c r="U324" i="3"/>
  <c r="BL294" i="3"/>
  <c r="AV294" i="3"/>
  <c r="AF294" i="3"/>
  <c r="P294" i="3"/>
  <c r="AS294" i="3"/>
  <c r="AM294" i="3"/>
  <c r="AE294" i="3"/>
  <c r="AD294" i="3"/>
  <c r="AC294" i="3"/>
  <c r="W294" i="3"/>
  <c r="O294" i="3"/>
  <c r="N294" i="3"/>
  <c r="M294" i="3"/>
  <c r="BS294" i="3"/>
  <c r="BK294" i="3"/>
  <c r="BJ294" i="3"/>
  <c r="BC294" i="3"/>
  <c r="AU294" i="3"/>
  <c r="AT294" i="3"/>
  <c r="BI294" i="3"/>
  <c r="BH294" i="3"/>
  <c r="AR294" i="3"/>
  <c r="Q294" i="3"/>
  <c r="AG294" i="3"/>
  <c r="U294" i="3"/>
  <c r="AW294" i="3"/>
  <c r="T294" i="3"/>
  <c r="AK294" i="3"/>
  <c r="BN294" i="3"/>
  <c r="BG294" i="3"/>
  <c r="AB294" i="3"/>
  <c r="AL294" i="3"/>
  <c r="AJ294" i="3"/>
  <c r="AH294" i="3"/>
  <c r="BS289" i="3"/>
  <c r="BC289" i="3"/>
  <c r="BN289" i="3"/>
  <c r="AX289" i="3"/>
  <c r="BJ289" i="3"/>
  <c r="AT289" i="3"/>
  <c r="AQ289" i="3"/>
  <c r="AP289" i="3"/>
  <c r="J289" i="3"/>
  <c r="BR289" i="3" s="1"/>
  <c r="W301" i="3"/>
  <c r="BQ232" i="3"/>
  <c r="BA232" i="3"/>
  <c r="AK232" i="3"/>
  <c r="U232" i="3"/>
  <c r="BO232" i="3"/>
  <c r="AY232" i="3"/>
  <c r="AI232" i="3"/>
  <c r="S232" i="3"/>
  <c r="BP232" i="3"/>
  <c r="AM232" i="3"/>
  <c r="N232" i="3"/>
  <c r="BN232" i="3"/>
  <c r="AL232" i="3"/>
  <c r="BM232" i="3"/>
  <c r="AJ232" i="3"/>
  <c r="BL232" i="3"/>
  <c r="AH232" i="3"/>
  <c r="BK232" i="3"/>
  <c r="AG232" i="3"/>
  <c r="BJ232" i="3"/>
  <c r="AF232" i="3"/>
  <c r="BD232" i="3"/>
  <c r="AE232" i="3"/>
  <c r="BC232" i="3"/>
  <c r="AD232" i="3"/>
  <c r="BB232" i="3"/>
  <c r="X232" i="3"/>
  <c r="AZ232" i="3"/>
  <c r="W232" i="3"/>
  <c r="AX232" i="3"/>
  <c r="V232" i="3"/>
  <c r="AW232" i="3"/>
  <c r="T232" i="3"/>
  <c r="AT232" i="3"/>
  <c r="AN232" i="3"/>
  <c r="R232" i="3"/>
  <c r="Q232" i="3"/>
  <c r="P232" i="3"/>
  <c r="O232" i="3"/>
  <c r="AV232" i="3"/>
  <c r="BS232" i="3"/>
  <c r="BR232" i="3"/>
  <c r="AU232" i="3"/>
  <c r="AP232" i="3"/>
  <c r="BG232" i="3"/>
  <c r="BF232" i="3"/>
  <c r="M232" i="3"/>
  <c r="BI232" i="3"/>
  <c r="AC232" i="3"/>
  <c r="AB232" i="3"/>
  <c r="BH232" i="3"/>
  <c r="AO232" i="3"/>
  <c r="BE232" i="3"/>
  <c r="K232" i="3"/>
  <c r="Z232" i="3"/>
  <c r="AQ232" i="3"/>
  <c r="AY204" i="3"/>
  <c r="AP233" i="3"/>
  <c r="AH193" i="3"/>
  <c r="AD193" i="3"/>
  <c r="L193" i="3"/>
  <c r="BI193" i="3"/>
  <c r="J193" i="3"/>
  <c r="BB193" i="3" s="1"/>
  <c r="AM133" i="3"/>
  <c r="K10" i="8"/>
  <c r="B75" i="1"/>
  <c r="BD41" i="4"/>
  <c r="AL15" i="4"/>
  <c r="U15" i="4"/>
  <c r="BB15" i="4"/>
  <c r="BG15" i="4"/>
  <c r="BE337" i="3"/>
  <c r="BR337" i="3"/>
  <c r="BB337" i="3"/>
  <c r="AL337" i="3"/>
  <c r="V337" i="3"/>
  <c r="BO337" i="3"/>
  <c r="AW337" i="3"/>
  <c r="AF337" i="3"/>
  <c r="O337" i="3"/>
  <c r="BN337" i="3"/>
  <c r="AV337" i="3"/>
  <c r="AE337" i="3"/>
  <c r="N337" i="3"/>
  <c r="BM337" i="3"/>
  <c r="AU337" i="3"/>
  <c r="AD337" i="3"/>
  <c r="M337" i="3"/>
  <c r="BL337" i="3"/>
  <c r="AT337" i="3"/>
  <c r="AC337" i="3"/>
  <c r="L337" i="3"/>
  <c r="BK337" i="3"/>
  <c r="AS337" i="3"/>
  <c r="AB337" i="3"/>
  <c r="K337" i="3"/>
  <c r="BJ337" i="3"/>
  <c r="AR337" i="3"/>
  <c r="AA337" i="3"/>
  <c r="BI337" i="3"/>
  <c r="AQ337" i="3"/>
  <c r="Z337" i="3"/>
  <c r="BH337" i="3"/>
  <c r="AP337" i="3"/>
  <c r="Y337" i="3"/>
  <c r="BF337" i="3"/>
  <c r="AN337" i="3"/>
  <c r="W337" i="3"/>
  <c r="BD337" i="3"/>
  <c r="AM337" i="3"/>
  <c r="U337" i="3"/>
  <c r="BA337" i="3"/>
  <c r="AJ337" i="3"/>
  <c r="S337" i="3"/>
  <c r="BS337" i="3"/>
  <c r="AZ337" i="3"/>
  <c r="AI337" i="3"/>
  <c r="R337" i="3"/>
  <c r="AY337" i="3"/>
  <c r="AX337" i="3"/>
  <c r="AO337" i="3"/>
  <c r="AK337" i="3"/>
  <c r="AH337" i="3"/>
  <c r="AG337" i="3"/>
  <c r="X337" i="3"/>
  <c r="T337" i="3"/>
  <c r="Q337" i="3"/>
  <c r="P337" i="3"/>
  <c r="BP337" i="3"/>
  <c r="BQ337" i="3"/>
  <c r="BG337" i="3"/>
  <c r="BC337" i="3"/>
  <c r="BL331" i="3"/>
  <c r="AV331" i="3"/>
  <c r="AF331" i="3"/>
  <c r="P331" i="3"/>
  <c r="BK331" i="3"/>
  <c r="AU331" i="3"/>
  <c r="AE331" i="3"/>
  <c r="O331" i="3"/>
  <c r="BJ331" i="3"/>
  <c r="AT331" i="3"/>
  <c r="AD331" i="3"/>
  <c r="N331" i="3"/>
  <c r="BI331" i="3"/>
  <c r="AS331" i="3"/>
  <c r="AC331" i="3"/>
  <c r="M331" i="3"/>
  <c r="BH331" i="3"/>
  <c r="AR331" i="3"/>
  <c r="AB331" i="3"/>
  <c r="L331" i="3"/>
  <c r="BG331" i="3"/>
  <c r="AQ331" i="3"/>
  <c r="AA331" i="3"/>
  <c r="K331" i="3"/>
  <c r="BF331" i="3"/>
  <c r="AP331" i="3"/>
  <c r="Z331" i="3"/>
  <c r="BE331" i="3"/>
  <c r="AO331" i="3"/>
  <c r="Y331" i="3"/>
  <c r="BS331" i="3"/>
  <c r="BC331" i="3"/>
  <c r="AM331" i="3"/>
  <c r="W331" i="3"/>
  <c r="BR331" i="3"/>
  <c r="BB331" i="3"/>
  <c r="AL331" i="3"/>
  <c r="V331" i="3"/>
  <c r="BP331" i="3"/>
  <c r="AZ331" i="3"/>
  <c r="AJ331" i="3"/>
  <c r="T331" i="3"/>
  <c r="AY331" i="3"/>
  <c r="AX331" i="3"/>
  <c r="AW331" i="3"/>
  <c r="AN331" i="3"/>
  <c r="AK331" i="3"/>
  <c r="AI331" i="3"/>
  <c r="AH331" i="3"/>
  <c r="AG331" i="3"/>
  <c r="X331" i="3"/>
  <c r="U331" i="3"/>
  <c r="BQ331" i="3"/>
  <c r="S331" i="3"/>
  <c r="BM331" i="3"/>
  <c r="BO331" i="3"/>
  <c r="BN331" i="3"/>
  <c r="BD331" i="3"/>
  <c r="BA331" i="3"/>
  <c r="R331" i="3"/>
  <c r="Q331" i="3"/>
  <c r="V294" i="3"/>
  <c r="R294" i="3"/>
  <c r="AJ204" i="3"/>
  <c r="AR233" i="3"/>
  <c r="U217" i="3"/>
  <c r="Q217" i="3"/>
  <c r="M217" i="3"/>
  <c r="AM217" i="3"/>
  <c r="BH133" i="3"/>
  <c r="J86" i="3"/>
  <c r="BC86" i="3" s="1"/>
  <c r="K30" i="8"/>
  <c r="B74" i="1"/>
  <c r="BC41" i="4"/>
  <c r="BP12" i="4"/>
  <c r="BF12" i="4"/>
  <c r="AS12" i="4"/>
  <c r="BQ15" i="4"/>
  <c r="AX15" i="4"/>
  <c r="J17" i="4"/>
  <c r="O15" i="4"/>
  <c r="J7" i="4"/>
  <c r="BN324" i="3"/>
  <c r="BP335" i="3"/>
  <c r="AZ335" i="3"/>
  <c r="AJ335" i="3"/>
  <c r="T335" i="3"/>
  <c r="AM335" i="3"/>
  <c r="AL335" i="3"/>
  <c r="U335" i="3"/>
  <c r="BS335" i="3"/>
  <c r="BB335" i="3"/>
  <c r="AK335" i="3"/>
  <c r="BR335" i="3"/>
  <c r="AI335" i="3"/>
  <c r="R335" i="3"/>
  <c r="BQ335" i="3"/>
  <c r="AY335" i="3"/>
  <c r="Q335" i="3"/>
  <c r="AG335" i="3"/>
  <c r="P335" i="3"/>
  <c r="BN335" i="3"/>
  <c r="AW335" i="3"/>
  <c r="AF335" i="3"/>
  <c r="BM335" i="3"/>
  <c r="AE335" i="3"/>
  <c r="N335" i="3"/>
  <c r="BK335" i="3"/>
  <c r="AT335" i="3"/>
  <c r="L335" i="3"/>
  <c r="AB335" i="3"/>
  <c r="K335" i="3"/>
  <c r="BH335" i="3"/>
  <c r="AQ335" i="3"/>
  <c r="Z335" i="3"/>
  <c r="AP335" i="3"/>
  <c r="AO335" i="3"/>
  <c r="AN335" i="3"/>
  <c r="AD335" i="3"/>
  <c r="AA335" i="3"/>
  <c r="W335" i="3"/>
  <c r="BE335" i="3"/>
  <c r="BI335" i="3"/>
  <c r="BF335" i="3"/>
  <c r="AU335" i="3"/>
  <c r="AR335" i="3"/>
  <c r="J335" i="3"/>
  <c r="S335" i="3" s="1"/>
  <c r="M324" i="3"/>
  <c r="W324" i="3"/>
  <c r="BD294" i="3"/>
  <c r="BG306" i="3"/>
  <c r="AT301" i="3"/>
  <c r="BP277" i="3"/>
  <c r="AK223" i="3"/>
  <c r="Y223" i="3"/>
  <c r="AQ174" i="3"/>
  <c r="J239" i="3"/>
  <c r="AE239" i="3" s="1"/>
  <c r="AM204" i="3"/>
  <c r="AC233" i="3"/>
  <c r="AF133" i="3"/>
  <c r="AZ74" i="3"/>
  <c r="AO323" i="3"/>
  <c r="W323" i="3"/>
  <c r="BJ323" i="3"/>
  <c r="BH323" i="3"/>
  <c r="BC323" i="3"/>
  <c r="AI323" i="3"/>
  <c r="AG323" i="3"/>
  <c r="AT323" i="3"/>
  <c r="AB323" i="3"/>
  <c r="AR323" i="3"/>
  <c r="BM296" i="3"/>
  <c r="AW296" i="3"/>
  <c r="AG296" i="3"/>
  <c r="Q296" i="3"/>
  <c r="AN296" i="3"/>
  <c r="AF296" i="3"/>
  <c r="AE296" i="3"/>
  <c r="AD296" i="3"/>
  <c r="X296" i="3"/>
  <c r="P296" i="3"/>
  <c r="O296" i="3"/>
  <c r="N296" i="3"/>
  <c r="I298" i="3"/>
  <c r="BL296" i="3"/>
  <c r="BK296" i="3"/>
  <c r="BJ296" i="3"/>
  <c r="AV296" i="3"/>
  <c r="BD296" i="3"/>
  <c r="AU296" i="3"/>
  <c r="AT296" i="3"/>
  <c r="AO296" i="3"/>
  <c r="W296" i="3"/>
  <c r="BB296" i="3"/>
  <c r="AK296" i="3"/>
  <c r="T296" i="3"/>
  <c r="BN296" i="3"/>
  <c r="BD288" i="3"/>
  <c r="AN288" i="3"/>
  <c r="X288" i="3"/>
  <c r="BS288" i="3"/>
  <c r="BC288" i="3"/>
  <c r="AM288" i="3"/>
  <c r="W288" i="3"/>
  <c r="BR288" i="3"/>
  <c r="BB288" i="3"/>
  <c r="AL288" i="3"/>
  <c r="V288" i="3"/>
  <c r="BQ288" i="3"/>
  <c r="BA288" i="3"/>
  <c r="AK288" i="3"/>
  <c r="U288" i="3"/>
  <c r="BP288" i="3"/>
  <c r="AZ288" i="3"/>
  <c r="AJ288" i="3"/>
  <c r="T288" i="3"/>
  <c r="BN288" i="3"/>
  <c r="AX288" i="3"/>
  <c r="AH288" i="3"/>
  <c r="R288" i="3"/>
  <c r="BM288" i="3"/>
  <c r="AW288" i="3"/>
  <c r="AG288" i="3"/>
  <c r="Q288" i="3"/>
  <c r="BL288" i="3"/>
  <c r="AV288" i="3"/>
  <c r="AF288" i="3"/>
  <c r="P288" i="3"/>
  <c r="BK288" i="3"/>
  <c r="AU288" i="3"/>
  <c r="AE288" i="3"/>
  <c r="O288" i="3"/>
  <c r="BJ288" i="3"/>
  <c r="AT288" i="3"/>
  <c r="AD288" i="3"/>
  <c r="N288" i="3"/>
  <c r="BI288" i="3"/>
  <c r="AS288" i="3"/>
  <c r="AC288" i="3"/>
  <c r="M288" i="3"/>
  <c r="BH288" i="3"/>
  <c r="AR288" i="3"/>
  <c r="AB288" i="3"/>
  <c r="L288" i="3"/>
  <c r="K288" i="3"/>
  <c r="BO288" i="3"/>
  <c r="BG288" i="3"/>
  <c r="BF288" i="3"/>
  <c r="BE288" i="3"/>
  <c r="AY288" i="3"/>
  <c r="AQ288" i="3"/>
  <c r="AP288" i="3"/>
  <c r="AO288" i="3"/>
  <c r="AI288" i="3"/>
  <c r="Z288" i="3"/>
  <c r="AA288" i="3"/>
  <c r="Y288" i="3"/>
  <c r="S288" i="3"/>
  <c r="BI296" i="3"/>
  <c r="AK267" i="3"/>
  <c r="P242" i="3"/>
  <c r="AQ273" i="3"/>
  <c r="AG273" i="3"/>
  <c r="BR273" i="3"/>
  <c r="BH267" i="3"/>
  <c r="BL267" i="3"/>
  <c r="BP267" i="3"/>
  <c r="BF199" i="3"/>
  <c r="BD199" i="3"/>
  <c r="AL199" i="3"/>
  <c r="V199" i="3"/>
  <c r="AV199" i="3"/>
  <c r="AT199" i="3"/>
  <c r="N199" i="3"/>
  <c r="K199" i="3"/>
  <c r="BJ199" i="3"/>
  <c r="AD199" i="3"/>
  <c r="BG199" i="3"/>
  <c r="BI273" i="3"/>
  <c r="AW258" i="3"/>
  <c r="BM258" i="3"/>
  <c r="AN258" i="3"/>
  <c r="AT258" i="3"/>
  <c r="I143" i="3"/>
  <c r="BS140" i="3"/>
  <c r="BC140" i="3"/>
  <c r="AM140" i="3"/>
  <c r="W140" i="3"/>
  <c r="BR140" i="3"/>
  <c r="BB140" i="3"/>
  <c r="AL140" i="3"/>
  <c r="V140" i="3"/>
  <c r="I145" i="3"/>
  <c r="BQ140" i="3"/>
  <c r="BA140" i="3"/>
  <c r="AK140" i="3"/>
  <c r="U140" i="3"/>
  <c r="BP140" i="3"/>
  <c r="AZ140" i="3"/>
  <c r="AJ140" i="3"/>
  <c r="T140" i="3"/>
  <c r="BO140" i="3"/>
  <c r="AY140" i="3"/>
  <c r="AI140" i="3"/>
  <c r="S140" i="3"/>
  <c r="BN140" i="3"/>
  <c r="AX140" i="3"/>
  <c r="AH140" i="3"/>
  <c r="R140" i="3"/>
  <c r="AT140" i="3"/>
  <c r="AS140" i="3"/>
  <c r="AG140" i="3"/>
  <c r="AF140" i="3"/>
  <c r="AE140" i="3"/>
  <c r="AD140" i="3"/>
  <c r="Q140" i="3"/>
  <c r="BM140" i="3"/>
  <c r="P140" i="3"/>
  <c r="BL140" i="3"/>
  <c r="O140" i="3"/>
  <c r="BK140" i="3"/>
  <c r="N140" i="3"/>
  <c r="BJ140" i="3"/>
  <c r="M140" i="3"/>
  <c r="BI140" i="3"/>
  <c r="AW140" i="3"/>
  <c r="AV140" i="3"/>
  <c r="AU140" i="3"/>
  <c r="AC140" i="3"/>
  <c r="X140" i="3"/>
  <c r="AC215" i="3"/>
  <c r="AG215" i="3"/>
  <c r="AK215" i="3"/>
  <c r="AQ107" i="3"/>
  <c r="BN99" i="3"/>
  <c r="AH99" i="3"/>
  <c r="AW99" i="3"/>
  <c r="BL99" i="3"/>
  <c r="AV99" i="3"/>
  <c r="AF99" i="3"/>
  <c r="P99" i="3"/>
  <c r="BK99" i="3"/>
  <c r="AE99" i="3"/>
  <c r="BJ99" i="3"/>
  <c r="AD99" i="3"/>
  <c r="AS99" i="3"/>
  <c r="BH99" i="3"/>
  <c r="AR99" i="3"/>
  <c r="AB99" i="3"/>
  <c r="L99" i="3"/>
  <c r="BG99" i="3"/>
  <c r="AA99" i="3"/>
  <c r="BF99" i="3"/>
  <c r="Z99" i="3"/>
  <c r="Y99" i="3"/>
  <c r="X99" i="3"/>
  <c r="BP99" i="3"/>
  <c r="AZ99" i="3"/>
  <c r="AJ99" i="3"/>
  <c r="T99" i="3"/>
  <c r="U99" i="3"/>
  <c r="BS99" i="3"/>
  <c r="BQ99" i="3"/>
  <c r="BB99" i="3"/>
  <c r="AI99" i="3"/>
  <c r="W99" i="3"/>
  <c r="AM99" i="3"/>
  <c r="AL99" i="3"/>
  <c r="AK99" i="3"/>
  <c r="R81" i="3"/>
  <c r="V103" i="3"/>
  <c r="AC103" i="3"/>
  <c r="AG103" i="3"/>
  <c r="AZ31" i="3"/>
  <c r="W31" i="3"/>
  <c r="BM6" i="3"/>
  <c r="AS31" i="3"/>
  <c r="BQ31" i="3"/>
  <c r="O6" i="3"/>
  <c r="AR6" i="3"/>
  <c r="BH231" i="3"/>
  <c r="AR231" i="3"/>
  <c r="AB231" i="3"/>
  <c r="L231" i="3"/>
  <c r="BG231" i="3"/>
  <c r="AQ231" i="3"/>
  <c r="AA231" i="3"/>
  <c r="K231" i="3"/>
  <c r="BF231" i="3"/>
  <c r="AP231" i="3"/>
  <c r="Z231" i="3"/>
  <c r="BE231" i="3"/>
  <c r="Y231" i="3"/>
  <c r="AN231" i="3"/>
  <c r="X231" i="3"/>
  <c r="BP231" i="3"/>
  <c r="AZ231" i="3"/>
  <c r="AJ231" i="3"/>
  <c r="BN231" i="3"/>
  <c r="AX231" i="3"/>
  <c r="AH231" i="3"/>
  <c r="R231" i="3"/>
  <c r="AV231" i="3"/>
  <c r="T231" i="3"/>
  <c r="AU231" i="3"/>
  <c r="S231" i="3"/>
  <c r="AT231" i="3"/>
  <c r="BR231" i="3"/>
  <c r="AS231" i="3"/>
  <c r="P231" i="3"/>
  <c r="BQ231" i="3"/>
  <c r="AM231" i="3"/>
  <c r="O231" i="3"/>
  <c r="BO231" i="3"/>
  <c r="AL231" i="3"/>
  <c r="N231" i="3"/>
  <c r="BM231" i="3"/>
  <c r="AK231" i="3"/>
  <c r="M231" i="3"/>
  <c r="BL231" i="3"/>
  <c r="BK231" i="3"/>
  <c r="BJ231" i="3"/>
  <c r="AF231" i="3"/>
  <c r="BI231" i="3"/>
  <c r="AE231" i="3"/>
  <c r="BC231" i="3"/>
  <c r="AD231" i="3"/>
  <c r="BB231" i="3"/>
  <c r="BA231" i="3"/>
  <c r="AY231" i="3"/>
  <c r="AW231" i="3"/>
  <c r="U231" i="3"/>
  <c r="V231" i="3"/>
  <c r="AC231" i="3"/>
  <c r="AC267" i="3"/>
  <c r="AG267" i="3"/>
  <c r="BE267" i="3"/>
  <c r="AU177" i="3"/>
  <c r="AE177" i="3"/>
  <c r="BI177" i="3"/>
  <c r="AQ177" i="3"/>
  <c r="AA177" i="3"/>
  <c r="AO177" i="3"/>
  <c r="BR177" i="3"/>
  <c r="BB177" i="3"/>
  <c r="U177" i="3"/>
  <c r="S177" i="3"/>
  <c r="BO177" i="3"/>
  <c r="AX177" i="3"/>
  <c r="BI215" i="3"/>
  <c r="BM215" i="3"/>
  <c r="BQ215" i="3"/>
  <c r="AP48" i="3"/>
  <c r="Z48" i="3"/>
  <c r="X48" i="3"/>
  <c r="BP48" i="3"/>
  <c r="AZ48" i="3"/>
  <c r="BN48" i="3"/>
  <c r="BK48" i="3"/>
  <c r="AI48" i="3"/>
  <c r="AG48" i="3"/>
  <c r="AC48" i="3"/>
  <c r="AX48" i="3"/>
  <c r="AT48" i="3"/>
  <c r="BB84" i="3"/>
  <c r="BH84" i="3"/>
  <c r="AB84" i="3"/>
  <c r="AR84" i="3"/>
  <c r="BQ63" i="3"/>
  <c r="AJ63" i="3"/>
  <c r="T63" i="3"/>
  <c r="BO63" i="3"/>
  <c r="AY63" i="3"/>
  <c r="BN63" i="3"/>
  <c r="AH63" i="3"/>
  <c r="BM63" i="3"/>
  <c r="AF63" i="3"/>
  <c r="P63" i="3"/>
  <c r="BK63" i="3"/>
  <c r="AU63" i="3"/>
  <c r="BJ63" i="3"/>
  <c r="AD63" i="3"/>
  <c r="BI63" i="3"/>
  <c r="AB63" i="3"/>
  <c r="L63" i="3"/>
  <c r="BG63" i="3"/>
  <c r="AQ63" i="3"/>
  <c r="BS63" i="3"/>
  <c r="AM63" i="3"/>
  <c r="AO63" i="3"/>
  <c r="V63" i="3"/>
  <c r="BR63" i="3"/>
  <c r="BF63" i="3"/>
  <c r="BE63" i="3"/>
  <c r="AP63" i="3"/>
  <c r="AE31" i="3"/>
  <c r="AC31" i="3"/>
  <c r="AB31" i="3"/>
  <c r="AA31" i="3"/>
  <c r="M31" i="3"/>
  <c r="O31" i="3"/>
  <c r="S31" i="3"/>
  <c r="BE31" i="3"/>
  <c r="AI10" i="3"/>
  <c r="S10" i="3"/>
  <c r="AW10" i="3"/>
  <c r="AB10" i="3"/>
  <c r="L10" i="3"/>
  <c r="AQ10" i="3"/>
  <c r="AO10" i="3"/>
  <c r="T10" i="3"/>
  <c r="AL10" i="3"/>
  <c r="BC10" i="3"/>
  <c r="AD10" i="3"/>
  <c r="Y10" i="3"/>
  <c r="AB256" i="3"/>
  <c r="AQ256" i="3"/>
  <c r="J231" i="3"/>
  <c r="AO231" i="3" s="1"/>
  <c r="M273" i="3"/>
  <c r="Q273" i="3"/>
  <c r="BB273" i="3"/>
  <c r="BK273" i="3"/>
  <c r="AS267" i="3"/>
  <c r="AW267" i="3"/>
  <c r="O242" i="3"/>
  <c r="I245" i="3"/>
  <c r="BJ242" i="3"/>
  <c r="AT242" i="3"/>
  <c r="AD242" i="3"/>
  <c r="N242" i="3"/>
  <c r="W242" i="3"/>
  <c r="V242" i="3"/>
  <c r="U242" i="3"/>
  <c r="I244" i="3"/>
  <c r="BS242" i="3"/>
  <c r="BR242" i="3"/>
  <c r="BQ242" i="3"/>
  <c r="BD242" i="3"/>
  <c r="BC242" i="3"/>
  <c r="BB242" i="3"/>
  <c r="BA242" i="3"/>
  <c r="AN242" i="3"/>
  <c r="AM242" i="3"/>
  <c r="AL242" i="3"/>
  <c r="AK242" i="3"/>
  <c r="X242" i="3"/>
  <c r="BH201" i="3"/>
  <c r="AR201" i="3"/>
  <c r="AB201" i="3"/>
  <c r="L201" i="3"/>
  <c r="BG201" i="3"/>
  <c r="AQ201" i="3"/>
  <c r="AA201" i="3"/>
  <c r="K201" i="3"/>
  <c r="BF201" i="3"/>
  <c r="AP201" i="3"/>
  <c r="Z201" i="3"/>
  <c r="BE201" i="3"/>
  <c r="AO201" i="3"/>
  <c r="Y201" i="3"/>
  <c r="BD201" i="3"/>
  <c r="AN201" i="3"/>
  <c r="X201" i="3"/>
  <c r="BQ201" i="3"/>
  <c r="BA201" i="3"/>
  <c r="AK201" i="3"/>
  <c r="U201" i="3"/>
  <c r="BN201" i="3"/>
  <c r="AX201" i="3"/>
  <c r="AH201" i="3"/>
  <c r="R201" i="3"/>
  <c r="BM201" i="3"/>
  <c r="AW201" i="3"/>
  <c r="AG201" i="3"/>
  <c r="Q201" i="3"/>
  <c r="AY201" i="3"/>
  <c r="S201" i="3"/>
  <c r="AV201" i="3"/>
  <c r="P201" i="3"/>
  <c r="AU201" i="3"/>
  <c r="O201" i="3"/>
  <c r="AT201" i="3"/>
  <c r="N201" i="3"/>
  <c r="AS201" i="3"/>
  <c r="M201" i="3"/>
  <c r="BS201" i="3"/>
  <c r="AM201" i="3"/>
  <c r="BR201" i="3"/>
  <c r="AL201" i="3"/>
  <c r="BP201" i="3"/>
  <c r="AJ201" i="3"/>
  <c r="BO201" i="3"/>
  <c r="AI201" i="3"/>
  <c r="BL201" i="3"/>
  <c r="AF201" i="3"/>
  <c r="BK201" i="3"/>
  <c r="AE201" i="3"/>
  <c r="BB201" i="3"/>
  <c r="V201" i="3"/>
  <c r="BJ201" i="3"/>
  <c r="BI201" i="3"/>
  <c r="BC201" i="3"/>
  <c r="W201" i="3"/>
  <c r="AZ201" i="3"/>
  <c r="AD201" i="3"/>
  <c r="AC201" i="3"/>
  <c r="T201" i="3"/>
  <c r="S258" i="3"/>
  <c r="AI258" i="3"/>
  <c r="AA258" i="3"/>
  <c r="AE258" i="3"/>
  <c r="BE250" i="3"/>
  <c r="AO250" i="3"/>
  <c r="Y250" i="3"/>
  <c r="BD250" i="3"/>
  <c r="AN250" i="3"/>
  <c r="X250" i="3"/>
  <c r="BS250" i="3"/>
  <c r="BC250" i="3"/>
  <c r="AM250" i="3"/>
  <c r="W250" i="3"/>
  <c r="BR250" i="3"/>
  <c r="BB250" i="3"/>
  <c r="AL250" i="3"/>
  <c r="V250" i="3"/>
  <c r="BQ250" i="3"/>
  <c r="BA250" i="3"/>
  <c r="AG250" i="3"/>
  <c r="M250" i="3"/>
  <c r="AZ250" i="3"/>
  <c r="AF250" i="3"/>
  <c r="L250" i="3"/>
  <c r="AY250" i="3"/>
  <c r="AE250" i="3"/>
  <c r="K250" i="3"/>
  <c r="AX250" i="3"/>
  <c r="AD250" i="3"/>
  <c r="AW250" i="3"/>
  <c r="AC250" i="3"/>
  <c r="BP250" i="3"/>
  <c r="AV250" i="3"/>
  <c r="AB250" i="3"/>
  <c r="BO250" i="3"/>
  <c r="AU250" i="3"/>
  <c r="AA250" i="3"/>
  <c r="BN250" i="3"/>
  <c r="AT250" i="3"/>
  <c r="Z250" i="3"/>
  <c r="BM250" i="3"/>
  <c r="AS250" i="3"/>
  <c r="U250" i="3"/>
  <c r="BL250" i="3"/>
  <c r="AR250" i="3"/>
  <c r="T250" i="3"/>
  <c r="BK250" i="3"/>
  <c r="AQ250" i="3"/>
  <c r="S250" i="3"/>
  <c r="BJ250" i="3"/>
  <c r="AP250" i="3"/>
  <c r="R250" i="3"/>
  <c r="O250" i="3"/>
  <c r="N250" i="3"/>
  <c r="BI250" i="3"/>
  <c r="BH250" i="3"/>
  <c r="BG250" i="3"/>
  <c r="BF250" i="3"/>
  <c r="AK250" i="3"/>
  <c r="AJ250" i="3"/>
  <c r="AI250" i="3"/>
  <c r="AH250" i="3"/>
  <c r="Q250" i="3"/>
  <c r="P250" i="3"/>
  <c r="BL178" i="3"/>
  <c r="AV178" i="3"/>
  <c r="AF178" i="3"/>
  <c r="P178" i="3"/>
  <c r="BK178" i="3"/>
  <c r="AU178" i="3"/>
  <c r="AE178" i="3"/>
  <c r="O178" i="3"/>
  <c r="BJ178" i="3"/>
  <c r="AT178" i="3"/>
  <c r="AD178" i="3"/>
  <c r="N178" i="3"/>
  <c r="BI178" i="3"/>
  <c r="AS178" i="3"/>
  <c r="AC178" i="3"/>
  <c r="M178" i="3"/>
  <c r="BH178" i="3"/>
  <c r="AR178" i="3"/>
  <c r="AB178" i="3"/>
  <c r="L178" i="3"/>
  <c r="BG178" i="3"/>
  <c r="AQ178" i="3"/>
  <c r="AA178" i="3"/>
  <c r="K178" i="3"/>
  <c r="BF178" i="3"/>
  <c r="AP178" i="3"/>
  <c r="Z178" i="3"/>
  <c r="BE178" i="3"/>
  <c r="AO178" i="3"/>
  <c r="Y178" i="3"/>
  <c r="BD178" i="3"/>
  <c r="AN178" i="3"/>
  <c r="X178" i="3"/>
  <c r="BS178" i="3"/>
  <c r="BC178" i="3"/>
  <c r="AM178" i="3"/>
  <c r="W178" i="3"/>
  <c r="BR178" i="3"/>
  <c r="BB178" i="3"/>
  <c r="AL178" i="3"/>
  <c r="V178" i="3"/>
  <c r="BN178" i="3"/>
  <c r="AX178" i="3"/>
  <c r="AH178" i="3"/>
  <c r="AG178" i="3"/>
  <c r="U178" i="3"/>
  <c r="T178" i="3"/>
  <c r="S178" i="3"/>
  <c r="BQ178" i="3"/>
  <c r="R178" i="3"/>
  <c r="BP178" i="3"/>
  <c r="Q178" i="3"/>
  <c r="BO178" i="3"/>
  <c r="BM178" i="3"/>
  <c r="BA178" i="3"/>
  <c r="AZ178" i="3"/>
  <c r="AJ178" i="3"/>
  <c r="AW178" i="3"/>
  <c r="AK178" i="3"/>
  <c r="AI178" i="3"/>
  <c r="AY178" i="3"/>
  <c r="BO157" i="3"/>
  <c r="AY157" i="3"/>
  <c r="BN157" i="3"/>
  <c r="AX157" i="3"/>
  <c r="AH157" i="3"/>
  <c r="R157" i="3"/>
  <c r="BL157" i="3"/>
  <c r="AV157" i="3"/>
  <c r="AF157" i="3"/>
  <c r="P157" i="3"/>
  <c r="BQ157" i="3"/>
  <c r="AU157" i="3"/>
  <c r="AC157" i="3"/>
  <c r="K157" i="3"/>
  <c r="BP157" i="3"/>
  <c r="AT157" i="3"/>
  <c r="AB157" i="3"/>
  <c r="BM157" i="3"/>
  <c r="AS157" i="3"/>
  <c r="AA157" i="3"/>
  <c r="BK157" i="3"/>
  <c r="AR157" i="3"/>
  <c r="Z157" i="3"/>
  <c r="BJ157" i="3"/>
  <c r="AQ157" i="3"/>
  <c r="Y157" i="3"/>
  <c r="BI157" i="3"/>
  <c r="AP157" i="3"/>
  <c r="X157" i="3"/>
  <c r="BH157" i="3"/>
  <c r="AO157" i="3"/>
  <c r="W157" i="3"/>
  <c r="BG157" i="3"/>
  <c r="AN157" i="3"/>
  <c r="V157" i="3"/>
  <c r="BF157" i="3"/>
  <c r="AM157" i="3"/>
  <c r="U157" i="3"/>
  <c r="BE157" i="3"/>
  <c r="AL157" i="3"/>
  <c r="T157" i="3"/>
  <c r="BD157" i="3"/>
  <c r="AK157" i="3"/>
  <c r="S157" i="3"/>
  <c r="BS157" i="3"/>
  <c r="AZ157" i="3"/>
  <c r="AE157" i="3"/>
  <c r="M157" i="3"/>
  <c r="BR157" i="3"/>
  <c r="BC157" i="3"/>
  <c r="BB157" i="3"/>
  <c r="BA157" i="3"/>
  <c r="AJ157" i="3"/>
  <c r="AI157" i="3"/>
  <c r="AG157" i="3"/>
  <c r="AD157" i="3"/>
  <c r="Q157" i="3"/>
  <c r="O157" i="3"/>
  <c r="N157" i="3"/>
  <c r="AW157" i="3"/>
  <c r="L157" i="3"/>
  <c r="I141" i="3"/>
  <c r="V215" i="3"/>
  <c r="Z215" i="3"/>
  <c r="N215" i="3"/>
  <c r="R215" i="3"/>
  <c r="BB195" i="3"/>
  <c r="AL195" i="3"/>
  <c r="V195" i="3"/>
  <c r="AK195" i="3"/>
  <c r="U195" i="3"/>
  <c r="BP195" i="3"/>
  <c r="AT195" i="3"/>
  <c r="Y195" i="3"/>
  <c r="BN195" i="3"/>
  <c r="BM195" i="3"/>
  <c r="AR195" i="3"/>
  <c r="R195" i="3"/>
  <c r="O195" i="3"/>
  <c r="BI195" i="3"/>
  <c r="AI195" i="3"/>
  <c r="AH195" i="3"/>
  <c r="M195" i="3"/>
  <c r="BG195" i="3"/>
  <c r="AE195" i="3"/>
  <c r="AD195" i="3"/>
  <c r="AB195" i="3"/>
  <c r="J177" i="3"/>
  <c r="AT177" i="3" s="1"/>
  <c r="AC107" i="3"/>
  <c r="J84" i="3"/>
  <c r="BQ84" i="3" s="1"/>
  <c r="BB81" i="3"/>
  <c r="AB81" i="3"/>
  <c r="J85" i="3"/>
  <c r="AV81" i="3"/>
  <c r="AA81" i="3"/>
  <c r="I85" i="3"/>
  <c r="I82" i="3"/>
  <c r="AU81" i="3"/>
  <c r="Z81" i="3"/>
  <c r="J83" i="3"/>
  <c r="BL81" i="3"/>
  <c r="AQ81" i="3"/>
  <c r="V81" i="3"/>
  <c r="BS81" i="3"/>
  <c r="BR81" i="3"/>
  <c r="BK81" i="3"/>
  <c r="AT81" i="3"/>
  <c r="AS81" i="3"/>
  <c r="AR81" i="3"/>
  <c r="I83" i="3"/>
  <c r="AP81" i="3"/>
  <c r="Y81" i="3"/>
  <c r="X81" i="3"/>
  <c r="W81" i="3"/>
  <c r="P81" i="3"/>
  <c r="BN81" i="3"/>
  <c r="BH120" i="3"/>
  <c r="AR120" i="3"/>
  <c r="AB120" i="3"/>
  <c r="L120" i="3"/>
  <c r="BG120" i="3"/>
  <c r="AP120" i="3"/>
  <c r="Y120" i="3"/>
  <c r="BF120" i="3"/>
  <c r="AO120" i="3"/>
  <c r="X120" i="3"/>
  <c r="BE120" i="3"/>
  <c r="AN120" i="3"/>
  <c r="W120" i="3"/>
  <c r="BD120" i="3"/>
  <c r="AM120" i="3"/>
  <c r="V120" i="3"/>
  <c r="BC120" i="3"/>
  <c r="AL120" i="3"/>
  <c r="U120" i="3"/>
  <c r="BS120" i="3"/>
  <c r="BB120" i="3"/>
  <c r="AK120" i="3"/>
  <c r="T120" i="3"/>
  <c r="BQ120" i="3"/>
  <c r="AZ120" i="3"/>
  <c r="AI120" i="3"/>
  <c r="R120" i="3"/>
  <c r="BP120" i="3"/>
  <c r="AY120" i="3"/>
  <c r="AH120" i="3"/>
  <c r="Q120" i="3"/>
  <c r="BO120" i="3"/>
  <c r="AX120" i="3"/>
  <c r="AG120" i="3"/>
  <c r="P120" i="3"/>
  <c r="BN120" i="3"/>
  <c r="AW120" i="3"/>
  <c r="AF120" i="3"/>
  <c r="O120" i="3"/>
  <c r="BM120" i="3"/>
  <c r="AV120" i="3"/>
  <c r="AE120" i="3"/>
  <c r="N120" i="3"/>
  <c r="BL120" i="3"/>
  <c r="AU120" i="3"/>
  <c r="AD120" i="3"/>
  <c r="M120" i="3"/>
  <c r="BR120" i="3"/>
  <c r="BK120" i="3"/>
  <c r="BJ120" i="3"/>
  <c r="BI120" i="3"/>
  <c r="BA120" i="3"/>
  <c r="AT120" i="3"/>
  <c r="AS120" i="3"/>
  <c r="AQ120" i="3"/>
  <c r="AJ120" i="3"/>
  <c r="S120" i="3"/>
  <c r="AC120" i="3"/>
  <c r="AA120" i="3"/>
  <c r="Z120" i="3"/>
  <c r="K120" i="3"/>
  <c r="BR103" i="3"/>
  <c r="N103" i="3"/>
  <c r="R103" i="3"/>
  <c r="BM9" i="3"/>
  <c r="AU9" i="3"/>
  <c r="AE9" i="3"/>
  <c r="BI9" i="3"/>
  <c r="L9" i="3"/>
  <c r="AI9" i="3"/>
  <c r="AD9" i="3"/>
  <c r="Y9" i="3"/>
  <c r="BS9" i="3"/>
  <c r="BP9" i="3"/>
  <c r="AF31" i="3"/>
  <c r="AJ31" i="3"/>
  <c r="BF31" i="3"/>
  <c r="BS44" i="3"/>
  <c r="BC44" i="3"/>
  <c r="AK44" i="3"/>
  <c r="U44" i="3"/>
  <c r="BP44" i="3"/>
  <c r="BO44" i="3"/>
  <c r="AT44" i="3"/>
  <c r="AQ44" i="3"/>
  <c r="Q44" i="3"/>
  <c r="BK44" i="3"/>
  <c r="AO44" i="3"/>
  <c r="O44" i="3"/>
  <c r="L44" i="3"/>
  <c r="BF44" i="3"/>
  <c r="AF44" i="3"/>
  <c r="AY44" i="3"/>
  <c r="AD44" i="3"/>
  <c r="BC43" i="3"/>
  <c r="AY43" i="3"/>
  <c r="AF43" i="3"/>
  <c r="BL43" i="3"/>
  <c r="BP282" i="3"/>
  <c r="AZ282" i="3"/>
  <c r="AJ282" i="3"/>
  <c r="T282" i="3"/>
  <c r="BO282" i="3"/>
  <c r="AY282" i="3"/>
  <c r="AI282" i="3"/>
  <c r="S282" i="3"/>
  <c r="BJ282" i="3"/>
  <c r="AT282" i="3"/>
  <c r="AD282" i="3"/>
  <c r="N282" i="3"/>
  <c r="BI282" i="3"/>
  <c r="AS282" i="3"/>
  <c r="AC282" i="3"/>
  <c r="M282" i="3"/>
  <c r="BB282" i="3"/>
  <c r="AF282" i="3"/>
  <c r="BA282" i="3"/>
  <c r="AE282" i="3"/>
  <c r="AX282" i="3"/>
  <c r="AB282" i="3"/>
  <c r="BS282" i="3"/>
  <c r="AW282" i="3"/>
  <c r="AA282" i="3"/>
  <c r="BR282" i="3"/>
  <c r="AV282" i="3"/>
  <c r="Z282" i="3"/>
  <c r="BQ282" i="3"/>
  <c r="AU282" i="3"/>
  <c r="Y282" i="3"/>
  <c r="BN282" i="3"/>
  <c r="AR282" i="3"/>
  <c r="X282" i="3"/>
  <c r="BM282" i="3"/>
  <c r="AQ282" i="3"/>
  <c r="W282" i="3"/>
  <c r="BL282" i="3"/>
  <c r="AP282" i="3"/>
  <c r="V282" i="3"/>
  <c r="BK282" i="3"/>
  <c r="AO282" i="3"/>
  <c r="U282" i="3"/>
  <c r="BH282" i="3"/>
  <c r="AN282" i="3"/>
  <c r="R282" i="3"/>
  <c r="BG282" i="3"/>
  <c r="AM282" i="3"/>
  <c r="Q282" i="3"/>
  <c r="BE282" i="3"/>
  <c r="AK282" i="3"/>
  <c r="O282" i="3"/>
  <c r="K282" i="3"/>
  <c r="BF282" i="3"/>
  <c r="BD282" i="3"/>
  <c r="BC282" i="3"/>
  <c r="AL282" i="3"/>
  <c r="P282" i="3"/>
  <c r="L282" i="3"/>
  <c r="AH282" i="3"/>
  <c r="AG282" i="3"/>
  <c r="BQ283" i="3"/>
  <c r="BA283" i="3"/>
  <c r="AK283" i="3"/>
  <c r="U283" i="3"/>
  <c r="BP283" i="3"/>
  <c r="AZ283" i="3"/>
  <c r="AJ283" i="3"/>
  <c r="T283" i="3"/>
  <c r="BK283" i="3"/>
  <c r="AU283" i="3"/>
  <c r="AE283" i="3"/>
  <c r="O283" i="3"/>
  <c r="BJ283" i="3"/>
  <c r="AT283" i="3"/>
  <c r="AD283" i="3"/>
  <c r="N283" i="3"/>
  <c r="BC283" i="3"/>
  <c r="AG283" i="3"/>
  <c r="K283" i="3"/>
  <c r="BB283" i="3"/>
  <c r="AF283" i="3"/>
  <c r="AY283" i="3"/>
  <c r="AC283" i="3"/>
  <c r="AX283" i="3"/>
  <c r="AB283" i="3"/>
  <c r="BS283" i="3"/>
  <c r="AW283" i="3"/>
  <c r="AA283" i="3"/>
  <c r="BR283" i="3"/>
  <c r="AV283" i="3"/>
  <c r="Z283" i="3"/>
  <c r="BO283" i="3"/>
  <c r="AS283" i="3"/>
  <c r="Y283" i="3"/>
  <c r="BN283" i="3"/>
  <c r="AR283" i="3"/>
  <c r="X283" i="3"/>
  <c r="BM283" i="3"/>
  <c r="AQ283" i="3"/>
  <c r="W283" i="3"/>
  <c r="BL283" i="3"/>
  <c r="AP283" i="3"/>
  <c r="V283" i="3"/>
  <c r="BI283" i="3"/>
  <c r="AO283" i="3"/>
  <c r="S283" i="3"/>
  <c r="BH283" i="3"/>
  <c r="AN283" i="3"/>
  <c r="R283" i="3"/>
  <c r="BF283" i="3"/>
  <c r="AL283" i="3"/>
  <c r="P283" i="3"/>
  <c r="BE283" i="3"/>
  <c r="BD283" i="3"/>
  <c r="AM283" i="3"/>
  <c r="AI283" i="3"/>
  <c r="AH283" i="3"/>
  <c r="Q283" i="3"/>
  <c r="M283" i="3"/>
  <c r="L283" i="3"/>
  <c r="BG283" i="3"/>
  <c r="K256" i="3"/>
  <c r="Y273" i="3"/>
  <c r="K273" i="3"/>
  <c r="AT273" i="3"/>
  <c r="AY273" i="3"/>
  <c r="U273" i="3"/>
  <c r="BS267" i="3"/>
  <c r="N267" i="3"/>
  <c r="R267" i="3"/>
  <c r="BI256" i="3"/>
  <c r="T258" i="3"/>
  <c r="AJ258" i="3"/>
  <c r="BG258" i="3"/>
  <c r="BK258" i="3"/>
  <c r="J199" i="3"/>
  <c r="BE199" i="3" s="1"/>
  <c r="L140" i="3"/>
  <c r="AO140" i="3"/>
  <c r="W215" i="3"/>
  <c r="AM215" i="3"/>
  <c r="BF215" i="3"/>
  <c r="AT215" i="3"/>
  <c r="AX215" i="3"/>
  <c r="BP192" i="3"/>
  <c r="M192" i="3"/>
  <c r="L192" i="3"/>
  <c r="K192" i="3"/>
  <c r="I194" i="3"/>
  <c r="W192" i="3"/>
  <c r="U192" i="3"/>
  <c r="BI107" i="3"/>
  <c r="BG112" i="3"/>
  <c r="AP112" i="3"/>
  <c r="Y112" i="3"/>
  <c r="BF112" i="3"/>
  <c r="AO112" i="3"/>
  <c r="X112" i="3"/>
  <c r="BE112" i="3"/>
  <c r="AN112" i="3"/>
  <c r="W112" i="3"/>
  <c r="I113" i="3"/>
  <c r="BD112" i="3"/>
  <c r="AM112" i="3"/>
  <c r="V112" i="3"/>
  <c r="BC112" i="3"/>
  <c r="AL112" i="3"/>
  <c r="U112" i="3"/>
  <c r="I115" i="3"/>
  <c r="J115" i="3" s="1"/>
  <c r="BS112" i="3"/>
  <c r="BB112" i="3"/>
  <c r="AK112" i="3"/>
  <c r="T112" i="3"/>
  <c r="BO112" i="3"/>
  <c r="AX112" i="3"/>
  <c r="AG112" i="3"/>
  <c r="O112" i="3"/>
  <c r="N112" i="3"/>
  <c r="I117" i="3"/>
  <c r="J114" i="3"/>
  <c r="BR112" i="3"/>
  <c r="I114" i="3"/>
  <c r="BQ112" i="3"/>
  <c r="BP112" i="3"/>
  <c r="BN112" i="3"/>
  <c r="BA112" i="3"/>
  <c r="AZ112" i="3"/>
  <c r="AY112" i="3"/>
  <c r="AW112" i="3"/>
  <c r="AJ112" i="3"/>
  <c r="AI112" i="3"/>
  <c r="R112" i="3"/>
  <c r="AH112" i="3"/>
  <c r="AE112" i="3"/>
  <c r="S112" i="3"/>
  <c r="Q112" i="3"/>
  <c r="AV112" i="3"/>
  <c r="J99" i="3"/>
  <c r="AU99" i="3" s="1"/>
  <c r="AL81" i="3"/>
  <c r="K81" i="3"/>
  <c r="AI81" i="3"/>
  <c r="BQ103" i="3"/>
  <c r="I122" i="3"/>
  <c r="AH119" i="3"/>
  <c r="BS119" i="3"/>
  <c r="W103" i="3"/>
  <c r="AP103" i="3"/>
  <c r="AT103" i="3"/>
  <c r="AX103" i="3"/>
  <c r="BE65" i="3"/>
  <c r="AO65" i="3"/>
  <c r="Y65" i="3"/>
  <c r="BJ65" i="3"/>
  <c r="AS65" i="3"/>
  <c r="AB65" i="3"/>
  <c r="K65" i="3"/>
  <c r="BI65" i="3"/>
  <c r="AR65" i="3"/>
  <c r="AA65" i="3"/>
  <c r="BH65" i="3"/>
  <c r="AQ65" i="3"/>
  <c r="Z65" i="3"/>
  <c r="BG65" i="3"/>
  <c r="AP65" i="3"/>
  <c r="X65" i="3"/>
  <c r="BF65" i="3"/>
  <c r="AN65" i="3"/>
  <c r="W65" i="3"/>
  <c r="BD65" i="3"/>
  <c r="AM65" i="3"/>
  <c r="V65" i="3"/>
  <c r="BC65" i="3"/>
  <c r="AL65" i="3"/>
  <c r="U65" i="3"/>
  <c r="BS65" i="3"/>
  <c r="BB65" i="3"/>
  <c r="AK65" i="3"/>
  <c r="T65" i="3"/>
  <c r="BR65" i="3"/>
  <c r="BA65" i="3"/>
  <c r="AJ65" i="3"/>
  <c r="S65" i="3"/>
  <c r="BQ65" i="3"/>
  <c r="AZ65" i="3"/>
  <c r="AI65" i="3"/>
  <c r="R65" i="3"/>
  <c r="BP65" i="3"/>
  <c r="AY65" i="3"/>
  <c r="AH65" i="3"/>
  <c r="Q65" i="3"/>
  <c r="BL65" i="3"/>
  <c r="AU65" i="3"/>
  <c r="AD65" i="3"/>
  <c r="M65" i="3"/>
  <c r="AW65" i="3"/>
  <c r="AV65" i="3"/>
  <c r="AT65" i="3"/>
  <c r="AG65" i="3"/>
  <c r="AF65" i="3"/>
  <c r="AE65" i="3"/>
  <c r="AC65" i="3"/>
  <c r="P65" i="3"/>
  <c r="O65" i="3"/>
  <c r="N65" i="3"/>
  <c r="L65" i="3"/>
  <c r="BO65" i="3"/>
  <c r="BN65" i="3"/>
  <c r="BM65" i="3"/>
  <c r="BK65" i="3"/>
  <c r="AX65" i="3"/>
  <c r="BI52" i="3"/>
  <c r="AS30" i="3"/>
  <c r="BI70" i="3"/>
  <c r="AS70" i="3"/>
  <c r="AC70" i="3"/>
  <c r="M70" i="3"/>
  <c r="BH70" i="3"/>
  <c r="AR70" i="3"/>
  <c r="AB70" i="3"/>
  <c r="L70" i="3"/>
  <c r="BL70" i="3"/>
  <c r="AT70" i="3"/>
  <c r="Z70" i="3"/>
  <c r="BK70" i="3"/>
  <c r="AQ70" i="3"/>
  <c r="Y70" i="3"/>
  <c r="BJ70" i="3"/>
  <c r="AP70" i="3"/>
  <c r="X70" i="3"/>
  <c r="BG70" i="3"/>
  <c r="AO70" i="3"/>
  <c r="W70" i="3"/>
  <c r="BF70" i="3"/>
  <c r="AN70" i="3"/>
  <c r="V70" i="3"/>
  <c r="BE70" i="3"/>
  <c r="AM70" i="3"/>
  <c r="U70" i="3"/>
  <c r="BD70" i="3"/>
  <c r="AL70" i="3"/>
  <c r="T70" i="3"/>
  <c r="BC70" i="3"/>
  <c r="AK70" i="3"/>
  <c r="S70" i="3"/>
  <c r="BB70" i="3"/>
  <c r="AJ70" i="3"/>
  <c r="R70" i="3"/>
  <c r="BS70" i="3"/>
  <c r="BA70" i="3"/>
  <c r="AI70" i="3"/>
  <c r="Q70" i="3"/>
  <c r="BR70" i="3"/>
  <c r="AZ70" i="3"/>
  <c r="AH70" i="3"/>
  <c r="P70" i="3"/>
  <c r="BN70" i="3"/>
  <c r="AV70" i="3"/>
  <c r="AD70" i="3"/>
  <c r="K70" i="3"/>
  <c r="BQ70" i="3"/>
  <c r="BP70" i="3"/>
  <c r="BO70" i="3"/>
  <c r="BM70" i="3"/>
  <c r="AY70" i="3"/>
  <c r="AX70" i="3"/>
  <c r="AW70" i="3"/>
  <c r="AU70" i="3"/>
  <c r="AG70" i="3"/>
  <c r="AF70" i="3"/>
  <c r="AE70" i="3"/>
  <c r="AA70" i="3"/>
  <c r="O70" i="3"/>
  <c r="N70" i="3"/>
  <c r="X104" i="3"/>
  <c r="AA104" i="3"/>
  <c r="AE104" i="3"/>
  <c r="AI104" i="3"/>
  <c r="BN31" i="3"/>
  <c r="BR31" i="3"/>
  <c r="AO31" i="3"/>
  <c r="AD6" i="3"/>
  <c r="Q40" i="3"/>
  <c r="I42" i="3"/>
  <c r="BP40" i="3"/>
  <c r="P6" i="3"/>
  <c r="J63" i="3"/>
  <c r="S63" i="3" s="1"/>
  <c r="BG342" i="3"/>
  <c r="Y342" i="3"/>
  <c r="BJ342" i="3"/>
  <c r="BE322" i="3"/>
  <c r="BD322" i="3"/>
  <c r="AN322" i="3"/>
  <c r="X322" i="3"/>
  <c r="BP322" i="3"/>
  <c r="AX322" i="3"/>
  <c r="AF322" i="3"/>
  <c r="N322" i="3"/>
  <c r="BO322" i="3"/>
  <c r="AW322" i="3"/>
  <c r="AE322" i="3"/>
  <c r="M322" i="3"/>
  <c r="BN322" i="3"/>
  <c r="AD322" i="3"/>
  <c r="AU322" i="3"/>
  <c r="AC322" i="3"/>
  <c r="K322" i="3"/>
  <c r="BL322" i="3"/>
  <c r="AT322" i="3"/>
  <c r="AB322" i="3"/>
  <c r="BK322" i="3"/>
  <c r="AS322" i="3"/>
  <c r="AA322" i="3"/>
  <c r="BJ322" i="3"/>
  <c r="AR322" i="3"/>
  <c r="Z322" i="3"/>
  <c r="AQ322" i="3"/>
  <c r="AP322" i="3"/>
  <c r="V322" i="3"/>
  <c r="BG322" i="3"/>
  <c r="AM322" i="3"/>
  <c r="U322" i="3"/>
  <c r="BF322" i="3"/>
  <c r="AL322" i="3"/>
  <c r="T322" i="3"/>
  <c r="BS322" i="3"/>
  <c r="BA322" i="3"/>
  <c r="AI322" i="3"/>
  <c r="Q322" i="3"/>
  <c r="AY322" i="3"/>
  <c r="AH322" i="3"/>
  <c r="AG322" i="3"/>
  <c r="S322" i="3"/>
  <c r="R322" i="3"/>
  <c r="P322" i="3"/>
  <c r="O322" i="3"/>
  <c r="BR322" i="3"/>
  <c r="BQ322" i="3"/>
  <c r="BC322" i="3"/>
  <c r="BB322" i="3"/>
  <c r="BO293" i="3"/>
  <c r="AX293" i="3"/>
  <c r="BK257" i="3"/>
  <c r="AI257" i="3"/>
  <c r="BE257" i="3"/>
  <c r="AH257" i="3"/>
  <c r="BD257" i="3"/>
  <c r="AG257" i="3"/>
  <c r="BC257" i="3"/>
  <c r="AF257" i="3"/>
  <c r="BA257" i="3"/>
  <c r="AE257" i="3"/>
  <c r="AZ257" i="3"/>
  <c r="Y257" i="3"/>
  <c r="AY257" i="3"/>
  <c r="X257" i="3"/>
  <c r="AX257" i="3"/>
  <c r="W257" i="3"/>
  <c r="S257" i="3"/>
  <c r="R257" i="3"/>
  <c r="BQ257" i="3"/>
  <c r="AW257" i="3"/>
  <c r="AV257" i="3"/>
  <c r="AU257" i="3"/>
  <c r="AO257" i="3"/>
  <c r="U257" i="3"/>
  <c r="T257" i="3"/>
  <c r="AN257" i="3"/>
  <c r="AI242" i="3"/>
  <c r="BS257" i="3"/>
  <c r="N257" i="3"/>
  <c r="J271" i="3"/>
  <c r="AC269" i="3"/>
  <c r="AG269" i="3"/>
  <c r="AK269" i="3"/>
  <c r="BL273" i="3"/>
  <c r="BP273" i="3"/>
  <c r="AL273" i="3"/>
  <c r="Z267" i="3"/>
  <c r="AD267" i="3"/>
  <c r="AH267" i="3"/>
  <c r="BH242" i="3"/>
  <c r="I243" i="3"/>
  <c r="AO198" i="3"/>
  <c r="Y198" i="3"/>
  <c r="BD198" i="3"/>
  <c r="X198" i="3"/>
  <c r="BB198" i="3"/>
  <c r="AL198" i="3"/>
  <c r="V198" i="3"/>
  <c r="BQ198" i="3"/>
  <c r="U198" i="3"/>
  <c r="BN198" i="3"/>
  <c r="AX198" i="3"/>
  <c r="R198" i="3"/>
  <c r="T198" i="3"/>
  <c r="AV198" i="3"/>
  <c r="S198" i="3"/>
  <c r="AU198" i="3"/>
  <c r="P198" i="3"/>
  <c r="AR198" i="3"/>
  <c r="O198" i="3"/>
  <c r="AQ198" i="3"/>
  <c r="AJ198" i="3"/>
  <c r="K198" i="3"/>
  <c r="BL198" i="3"/>
  <c r="AI198" i="3"/>
  <c r="J198" i="3"/>
  <c r="BE198" i="3" s="1"/>
  <c r="AG198" i="3"/>
  <c r="BI198" i="3"/>
  <c r="AF198" i="3"/>
  <c r="AA198" i="3"/>
  <c r="AC198" i="3"/>
  <c r="AB198" i="3"/>
  <c r="Z198" i="3"/>
  <c r="AV258" i="3"/>
  <c r="P258" i="3"/>
  <c r="AZ258" i="3"/>
  <c r="BP258" i="3"/>
  <c r="L258" i="3"/>
  <c r="BP213" i="3"/>
  <c r="AX213" i="3"/>
  <c r="AH213" i="3"/>
  <c r="R213" i="3"/>
  <c r="AG213" i="3"/>
  <c r="Q213" i="3"/>
  <c r="BL213" i="3"/>
  <c r="AT213" i="3"/>
  <c r="AD213" i="3"/>
  <c r="N213" i="3"/>
  <c r="AC213" i="3"/>
  <c r="M213" i="3"/>
  <c r="BH213" i="3"/>
  <c r="AP213" i="3"/>
  <c r="Z213" i="3"/>
  <c r="BE213" i="3"/>
  <c r="BS213" i="3"/>
  <c r="BR213" i="3"/>
  <c r="BQ213" i="3"/>
  <c r="U213" i="3"/>
  <c r="X213" i="3"/>
  <c r="W213" i="3"/>
  <c r="BI181" i="3"/>
  <c r="AS181" i="3"/>
  <c r="AC181" i="3"/>
  <c r="M181" i="3"/>
  <c r="BP181" i="3"/>
  <c r="AZ181" i="3"/>
  <c r="AJ181" i="3"/>
  <c r="T181" i="3"/>
  <c r="W181" i="3"/>
  <c r="V181" i="3"/>
  <c r="U181" i="3"/>
  <c r="S181" i="3"/>
  <c r="I184" i="3"/>
  <c r="J184" i="3" s="1"/>
  <c r="BS181" i="3"/>
  <c r="BR181" i="3"/>
  <c r="BQ181" i="3"/>
  <c r="BO181" i="3"/>
  <c r="BC181" i="3"/>
  <c r="BB181" i="3"/>
  <c r="BA181" i="3"/>
  <c r="AK181" i="3"/>
  <c r="AM181" i="3"/>
  <c r="AL181" i="3"/>
  <c r="AI181" i="3"/>
  <c r="AY181" i="3"/>
  <c r="I182" i="3"/>
  <c r="J217" i="3"/>
  <c r="AJ217" i="3" s="1"/>
  <c r="BR162" i="3"/>
  <c r="BB162" i="3"/>
  <c r="AL162" i="3"/>
  <c r="V162" i="3"/>
  <c r="BQ162" i="3"/>
  <c r="BA162" i="3"/>
  <c r="AK162" i="3"/>
  <c r="U162" i="3"/>
  <c r="BO162" i="3"/>
  <c r="AY162" i="3"/>
  <c r="AI162" i="3"/>
  <c r="S162" i="3"/>
  <c r="AX162" i="3"/>
  <c r="AE162" i="3"/>
  <c r="L162" i="3"/>
  <c r="BS162" i="3"/>
  <c r="AW162" i="3"/>
  <c r="AD162" i="3"/>
  <c r="K162" i="3"/>
  <c r="BP162" i="3"/>
  <c r="AV162" i="3"/>
  <c r="AC162" i="3"/>
  <c r="BN162" i="3"/>
  <c r="AU162" i="3"/>
  <c r="AB162" i="3"/>
  <c r="BM162" i="3"/>
  <c r="AT162" i="3"/>
  <c r="AA162" i="3"/>
  <c r="BL162" i="3"/>
  <c r="AS162" i="3"/>
  <c r="Z162" i="3"/>
  <c r="BK162" i="3"/>
  <c r="AR162" i="3"/>
  <c r="Y162" i="3"/>
  <c r="BJ162" i="3"/>
  <c r="AQ162" i="3"/>
  <c r="X162" i="3"/>
  <c r="BI162" i="3"/>
  <c r="AP162" i="3"/>
  <c r="W162" i="3"/>
  <c r="BH162" i="3"/>
  <c r="AO162" i="3"/>
  <c r="T162" i="3"/>
  <c r="BG162" i="3"/>
  <c r="AN162" i="3"/>
  <c r="R162" i="3"/>
  <c r="BC162" i="3"/>
  <c r="AG162" i="3"/>
  <c r="N162" i="3"/>
  <c r="BD162" i="3"/>
  <c r="AZ162" i="3"/>
  <c r="AM162" i="3"/>
  <c r="AJ162" i="3"/>
  <c r="AH162" i="3"/>
  <c r="AF162" i="3"/>
  <c r="P162" i="3"/>
  <c r="O162" i="3"/>
  <c r="M162" i="3"/>
  <c r="BE162" i="3"/>
  <c r="Q162" i="3"/>
  <c r="BF162" i="3"/>
  <c r="Y140" i="3"/>
  <c r="J195" i="3"/>
  <c r="BA195" i="3" s="1"/>
  <c r="AN215" i="3"/>
  <c r="J216" i="3"/>
  <c r="AX216" i="3" s="1"/>
  <c r="BJ215" i="3"/>
  <c r="BN215" i="3"/>
  <c r="AB192" i="3"/>
  <c r="Q192" i="3"/>
  <c r="AO192" i="3"/>
  <c r="AK192" i="3"/>
  <c r="AB112" i="3"/>
  <c r="BL112" i="3"/>
  <c r="BL97" i="3"/>
  <c r="AV97" i="3"/>
  <c r="AF97" i="3"/>
  <c r="P97" i="3"/>
  <c r="BK97" i="3"/>
  <c r="AU97" i="3"/>
  <c r="AE97" i="3"/>
  <c r="O97" i="3"/>
  <c r="BJ97" i="3"/>
  <c r="AT97" i="3"/>
  <c r="AD97" i="3"/>
  <c r="N97" i="3"/>
  <c r="BI97" i="3"/>
  <c r="AS97" i="3"/>
  <c r="AC97" i="3"/>
  <c r="M97" i="3"/>
  <c r="BH97" i="3"/>
  <c r="AR97" i="3"/>
  <c r="AB97" i="3"/>
  <c r="L97" i="3"/>
  <c r="BG97" i="3"/>
  <c r="AQ97" i="3"/>
  <c r="AA97" i="3"/>
  <c r="K97" i="3"/>
  <c r="BF97" i="3"/>
  <c r="AP97" i="3"/>
  <c r="Z97" i="3"/>
  <c r="BE97" i="3"/>
  <c r="AO97" i="3"/>
  <c r="Y97" i="3"/>
  <c r="BD97" i="3"/>
  <c r="AN97" i="3"/>
  <c r="X97" i="3"/>
  <c r="BS97" i="3"/>
  <c r="BC97" i="3"/>
  <c r="AM97" i="3"/>
  <c r="W97" i="3"/>
  <c r="BR97" i="3"/>
  <c r="BB97" i="3"/>
  <c r="AL97" i="3"/>
  <c r="V97" i="3"/>
  <c r="BN97" i="3"/>
  <c r="AX97" i="3"/>
  <c r="AH97" i="3"/>
  <c r="R97" i="3"/>
  <c r="T97" i="3"/>
  <c r="S97" i="3"/>
  <c r="Q97" i="3"/>
  <c r="BQ97" i="3"/>
  <c r="BP97" i="3"/>
  <c r="BO97" i="3"/>
  <c r="BM97" i="3"/>
  <c r="BA97" i="3"/>
  <c r="AZ97" i="3"/>
  <c r="AY97" i="3"/>
  <c r="AW97" i="3"/>
  <c r="AG97" i="3"/>
  <c r="AK97" i="3"/>
  <c r="AJ97" i="3"/>
  <c r="AI97" i="3"/>
  <c r="U97" i="3"/>
  <c r="BM98" i="3"/>
  <c r="AW98" i="3"/>
  <c r="AG98" i="3"/>
  <c r="Q98" i="3"/>
  <c r="BL98" i="3"/>
  <c r="AV98" i="3"/>
  <c r="AF98" i="3"/>
  <c r="P98" i="3"/>
  <c r="BK98" i="3"/>
  <c r="AU98" i="3"/>
  <c r="AE98" i="3"/>
  <c r="O98" i="3"/>
  <c r="BJ98" i="3"/>
  <c r="AT98" i="3"/>
  <c r="AD98" i="3"/>
  <c r="N98" i="3"/>
  <c r="BI98" i="3"/>
  <c r="AS98" i="3"/>
  <c r="AC98" i="3"/>
  <c r="M98" i="3"/>
  <c r="BH98" i="3"/>
  <c r="AR98" i="3"/>
  <c r="AB98" i="3"/>
  <c r="L98" i="3"/>
  <c r="BG98" i="3"/>
  <c r="AQ98" i="3"/>
  <c r="AA98" i="3"/>
  <c r="K98" i="3"/>
  <c r="BF98" i="3"/>
  <c r="AP98" i="3"/>
  <c r="Z98" i="3"/>
  <c r="BE98" i="3"/>
  <c r="AO98" i="3"/>
  <c r="Y98" i="3"/>
  <c r="BD98" i="3"/>
  <c r="AN98" i="3"/>
  <c r="X98" i="3"/>
  <c r="BS98" i="3"/>
  <c r="BC98" i="3"/>
  <c r="AM98" i="3"/>
  <c r="W98" i="3"/>
  <c r="BO98" i="3"/>
  <c r="AY98" i="3"/>
  <c r="AI98" i="3"/>
  <c r="S98" i="3"/>
  <c r="U98" i="3"/>
  <c r="T98" i="3"/>
  <c r="R98" i="3"/>
  <c r="BR98" i="3"/>
  <c r="BQ98" i="3"/>
  <c r="BP98" i="3"/>
  <c r="BN98" i="3"/>
  <c r="BB98" i="3"/>
  <c r="BA98" i="3"/>
  <c r="AZ98" i="3"/>
  <c r="AX98" i="3"/>
  <c r="AH98" i="3"/>
  <c r="AL98" i="3"/>
  <c r="AK98" i="3"/>
  <c r="AJ98" i="3"/>
  <c r="V98" i="3"/>
  <c r="BO102" i="3"/>
  <c r="AY102" i="3"/>
  <c r="AI102" i="3"/>
  <c r="S102" i="3"/>
  <c r="BN102" i="3"/>
  <c r="AX102" i="3"/>
  <c r="AH102" i="3"/>
  <c r="R102" i="3"/>
  <c r="BM102" i="3"/>
  <c r="AW102" i="3"/>
  <c r="AG102" i="3"/>
  <c r="Q102" i="3"/>
  <c r="BL102" i="3"/>
  <c r="AV102" i="3"/>
  <c r="AF102" i="3"/>
  <c r="P102" i="3"/>
  <c r="BK102" i="3"/>
  <c r="AU102" i="3"/>
  <c r="AE102" i="3"/>
  <c r="O102" i="3"/>
  <c r="BJ102" i="3"/>
  <c r="AT102" i="3"/>
  <c r="AD102" i="3"/>
  <c r="N102" i="3"/>
  <c r="BI102" i="3"/>
  <c r="AS102" i="3"/>
  <c r="AC102" i="3"/>
  <c r="M102" i="3"/>
  <c r="BH102" i="3"/>
  <c r="AR102" i="3"/>
  <c r="AB102" i="3"/>
  <c r="L102" i="3"/>
  <c r="BG102" i="3"/>
  <c r="AQ102" i="3"/>
  <c r="AA102" i="3"/>
  <c r="K102" i="3"/>
  <c r="BF102" i="3"/>
  <c r="AP102" i="3"/>
  <c r="Z102" i="3"/>
  <c r="BE102" i="3"/>
  <c r="AO102" i="3"/>
  <c r="Y102" i="3"/>
  <c r="BQ102" i="3"/>
  <c r="BA102" i="3"/>
  <c r="AK102" i="3"/>
  <c r="U102" i="3"/>
  <c r="BD102" i="3"/>
  <c r="BC102" i="3"/>
  <c r="BB102" i="3"/>
  <c r="AZ102" i="3"/>
  <c r="AN102" i="3"/>
  <c r="AM102" i="3"/>
  <c r="AL102" i="3"/>
  <c r="AJ102" i="3"/>
  <c r="X102" i="3"/>
  <c r="W102" i="3"/>
  <c r="V102" i="3"/>
  <c r="BR102" i="3"/>
  <c r="BS102" i="3"/>
  <c r="BP102" i="3"/>
  <c r="T102" i="3"/>
  <c r="L81" i="3"/>
  <c r="AY81" i="3"/>
  <c r="BG128" i="3"/>
  <c r="BL128" i="3"/>
  <c r="BB128" i="3"/>
  <c r="AI128" i="3"/>
  <c r="BC81" i="3"/>
  <c r="P119" i="3"/>
  <c r="Z119" i="3"/>
  <c r="N119" i="3"/>
  <c r="AY119" i="3"/>
  <c r="V119" i="3"/>
  <c r="X103" i="3"/>
  <c r="BF103" i="3"/>
  <c r="BJ103" i="3"/>
  <c r="BN103" i="3"/>
  <c r="S30" i="3"/>
  <c r="BI30" i="3"/>
  <c r="AM6" i="3"/>
  <c r="J48" i="3"/>
  <c r="Y48" i="3" s="1"/>
  <c r="BI31" i="3"/>
  <c r="BA6" i="3"/>
  <c r="Y104" i="3"/>
  <c r="AQ104" i="3"/>
  <c r="AU104" i="3"/>
  <c r="AY104" i="3"/>
  <c r="P31" i="3"/>
  <c r="T31" i="3"/>
  <c r="Y31" i="3"/>
  <c r="L6" i="3"/>
  <c r="BD40" i="3"/>
  <c r="AO40" i="3"/>
  <c r="Z40" i="3"/>
  <c r="U40" i="3"/>
  <c r="AF6" i="3"/>
  <c r="I41" i="3"/>
  <c r="BI32" i="4"/>
  <c r="AS32" i="4"/>
  <c r="AC32" i="4"/>
  <c r="M32" i="4"/>
  <c r="BS32" i="4"/>
  <c r="BB32" i="4"/>
  <c r="AK32" i="4"/>
  <c r="T32" i="4"/>
  <c r="BD32" i="4"/>
  <c r="AL32" i="4"/>
  <c r="S32" i="4"/>
  <c r="BT32" i="4"/>
  <c r="BA32" i="4"/>
  <c r="AI32" i="4"/>
  <c r="Q32" i="4"/>
  <c r="BO32" i="4"/>
  <c r="AW32" i="4"/>
  <c r="AE32" i="4"/>
  <c r="L32" i="4"/>
  <c r="AX32" i="4"/>
  <c r="AA32" i="4"/>
  <c r="BQ32" i="4"/>
  <c r="AU32" i="4"/>
  <c r="Y32" i="4"/>
  <c r="BP32" i="4"/>
  <c r="AT32" i="4"/>
  <c r="X32" i="4"/>
  <c r="BN32" i="4"/>
  <c r="AR32" i="4"/>
  <c r="W32" i="4"/>
  <c r="AP32" i="4"/>
  <c r="N32" i="4"/>
  <c r="AO32" i="4"/>
  <c r="BR32" i="4"/>
  <c r="AN32" i="4"/>
  <c r="BM32" i="4"/>
  <c r="AM32" i="4"/>
  <c r="BK32" i="4"/>
  <c r="AH32" i="4"/>
  <c r="BJ32" i="4"/>
  <c r="AG32" i="4"/>
  <c r="BH32" i="4"/>
  <c r="AF32" i="4"/>
  <c r="BG32" i="4"/>
  <c r="AD32" i="4"/>
  <c r="BF32" i="4"/>
  <c r="AB32" i="4"/>
  <c r="BE32" i="4"/>
  <c r="Z32" i="4"/>
  <c r="BC32" i="4"/>
  <c r="V32" i="4"/>
  <c r="AZ32" i="4"/>
  <c r="U32" i="4"/>
  <c r="BL32" i="4"/>
  <c r="AY32" i="4"/>
  <c r="AV32" i="4"/>
  <c r="AQ32" i="4"/>
  <c r="AJ32" i="4"/>
  <c r="R32" i="4"/>
  <c r="P32" i="4"/>
  <c r="O32" i="4"/>
  <c r="BJ33" i="4"/>
  <c r="AT33" i="4"/>
  <c r="AD33" i="4"/>
  <c r="N33" i="4"/>
  <c r="BG33" i="4"/>
  <c r="AP33" i="4"/>
  <c r="Y33" i="4"/>
  <c r="BN33" i="4"/>
  <c r="AV33" i="4"/>
  <c r="AC33" i="4"/>
  <c r="BL33" i="4"/>
  <c r="AS33" i="4"/>
  <c r="AA33" i="4"/>
  <c r="BF33" i="4"/>
  <c r="AN33" i="4"/>
  <c r="V33" i="4"/>
  <c r="BB33" i="4"/>
  <c r="AG33" i="4"/>
  <c r="AZ33" i="4"/>
  <c r="AE33" i="4"/>
  <c r="BT33" i="4"/>
  <c r="AY33" i="4"/>
  <c r="AB33" i="4"/>
  <c r="BS33" i="4"/>
  <c r="AX33" i="4"/>
  <c r="Z33" i="4"/>
  <c r="BQ33" i="4"/>
  <c r="AM33" i="4"/>
  <c r="M33" i="4"/>
  <c r="BP33" i="4"/>
  <c r="AL33" i="4"/>
  <c r="L33" i="4"/>
  <c r="BO33" i="4"/>
  <c r="AK33" i="4"/>
  <c r="BM33" i="4"/>
  <c r="AJ33" i="4"/>
  <c r="BI33" i="4"/>
  <c r="AH33" i="4"/>
  <c r="BH33" i="4"/>
  <c r="AF33" i="4"/>
  <c r="BE33" i="4"/>
  <c r="X33" i="4"/>
  <c r="BD33" i="4"/>
  <c r="W33" i="4"/>
  <c r="BC33" i="4"/>
  <c r="U33" i="4"/>
  <c r="BA33" i="4"/>
  <c r="T33" i="4"/>
  <c r="AW33" i="4"/>
  <c r="S33" i="4"/>
  <c r="AU33" i="4"/>
  <c r="R33" i="4"/>
  <c r="P33" i="4"/>
  <c r="O33" i="4"/>
  <c r="BR33" i="4"/>
  <c r="BK33" i="4"/>
  <c r="AR33" i="4"/>
  <c r="AQ33" i="4"/>
  <c r="AO33" i="4"/>
  <c r="AI33" i="4"/>
  <c r="Q33" i="4"/>
  <c r="R342" i="3"/>
  <c r="AW342" i="3"/>
  <c r="M342" i="3"/>
  <c r="J323" i="3"/>
  <c r="AP323" i="3" s="1"/>
  <c r="AK332" i="3"/>
  <c r="BG332" i="3"/>
  <c r="X293" i="3"/>
  <c r="W293" i="3"/>
  <c r="AI293" i="3"/>
  <c r="S293" i="3"/>
  <c r="R293" i="3"/>
  <c r="AF293" i="3"/>
  <c r="P293" i="3"/>
  <c r="BK293" i="3"/>
  <c r="AU293" i="3"/>
  <c r="AE293" i="3"/>
  <c r="O293" i="3"/>
  <c r="AS293" i="3"/>
  <c r="AR293" i="3"/>
  <c r="AL293" i="3"/>
  <c r="AD293" i="3"/>
  <c r="AC293" i="3"/>
  <c r="AB293" i="3"/>
  <c r="V293" i="3"/>
  <c r="N293" i="3"/>
  <c r="M293" i="3"/>
  <c r="L293" i="3"/>
  <c r="BR293" i="3"/>
  <c r="BJ293" i="3"/>
  <c r="BH293" i="3"/>
  <c r="BI293" i="3"/>
  <c r="BB293" i="3"/>
  <c r="AT293" i="3"/>
  <c r="Y293" i="3"/>
  <c r="AM293" i="3"/>
  <c r="AK293" i="3"/>
  <c r="BP293" i="3"/>
  <c r="AY293" i="3"/>
  <c r="AH293" i="3"/>
  <c r="Q293" i="3"/>
  <c r="BE256" i="3"/>
  <c r="BN263" i="3"/>
  <c r="AX263" i="3"/>
  <c r="R263" i="3"/>
  <c r="BM263" i="3"/>
  <c r="AW263" i="3"/>
  <c r="AG263" i="3"/>
  <c r="Q263" i="3"/>
  <c r="BL263" i="3"/>
  <c r="AV263" i="3"/>
  <c r="AF263" i="3"/>
  <c r="P263" i="3"/>
  <c r="BK263" i="3"/>
  <c r="AU263" i="3"/>
  <c r="AE263" i="3"/>
  <c r="O263" i="3"/>
  <c r="BJ263" i="3"/>
  <c r="AT263" i="3"/>
  <c r="N263" i="3"/>
  <c r="BI263" i="3"/>
  <c r="AS263" i="3"/>
  <c r="AC263" i="3"/>
  <c r="M263" i="3"/>
  <c r="BH263" i="3"/>
  <c r="AR263" i="3"/>
  <c r="AB263" i="3"/>
  <c r="L263" i="3"/>
  <c r="BG263" i="3"/>
  <c r="AQ263" i="3"/>
  <c r="AA263" i="3"/>
  <c r="K263" i="3"/>
  <c r="BF263" i="3"/>
  <c r="AP263" i="3"/>
  <c r="BE263" i="3"/>
  <c r="AO263" i="3"/>
  <c r="Y263" i="3"/>
  <c r="BD263" i="3"/>
  <c r="AN263" i="3"/>
  <c r="X263" i="3"/>
  <c r="AL263" i="3"/>
  <c r="AK263" i="3"/>
  <c r="AJ263" i="3"/>
  <c r="AI263" i="3"/>
  <c r="W263" i="3"/>
  <c r="BS263" i="3"/>
  <c r="V263" i="3"/>
  <c r="BR263" i="3"/>
  <c r="U263" i="3"/>
  <c r="T263" i="3"/>
  <c r="BP263" i="3"/>
  <c r="S263" i="3"/>
  <c r="BO263" i="3"/>
  <c r="BC263" i="3"/>
  <c r="BB263" i="3"/>
  <c r="BA263" i="3"/>
  <c r="AZ263" i="3"/>
  <c r="AY263" i="3"/>
  <c r="AM263" i="3"/>
  <c r="Q257" i="3"/>
  <c r="S242" i="3"/>
  <c r="Y267" i="3"/>
  <c r="BG228" i="3"/>
  <c r="AQ228" i="3"/>
  <c r="AA228" i="3"/>
  <c r="K228" i="3"/>
  <c r="BF228" i="3"/>
  <c r="AP228" i="3"/>
  <c r="Z228" i="3"/>
  <c r="BE228" i="3"/>
  <c r="AO228" i="3"/>
  <c r="Y228" i="3"/>
  <c r="BD228" i="3"/>
  <c r="AN228" i="3"/>
  <c r="X228" i="3"/>
  <c r="BS228" i="3"/>
  <c r="BC228" i="3"/>
  <c r="AM228" i="3"/>
  <c r="W228" i="3"/>
  <c r="BK228" i="3"/>
  <c r="AK228" i="3"/>
  <c r="P228" i="3"/>
  <c r="BJ228" i="3"/>
  <c r="AJ228" i="3"/>
  <c r="O228" i="3"/>
  <c r="BI228" i="3"/>
  <c r="AI228" i="3"/>
  <c r="N228" i="3"/>
  <c r="BH228" i="3"/>
  <c r="AH228" i="3"/>
  <c r="M228" i="3"/>
  <c r="BB228" i="3"/>
  <c r="AG228" i="3"/>
  <c r="L228" i="3"/>
  <c r="BA228" i="3"/>
  <c r="AF228" i="3"/>
  <c r="AZ228" i="3"/>
  <c r="AE228" i="3"/>
  <c r="AY228" i="3"/>
  <c r="AD228" i="3"/>
  <c r="AX228" i="3"/>
  <c r="AC228" i="3"/>
  <c r="BR228" i="3"/>
  <c r="AW228" i="3"/>
  <c r="AB228" i="3"/>
  <c r="BQ228" i="3"/>
  <c r="AV228" i="3"/>
  <c r="V228" i="3"/>
  <c r="BP228" i="3"/>
  <c r="AU228" i="3"/>
  <c r="U228" i="3"/>
  <c r="BO228" i="3"/>
  <c r="BN228" i="3"/>
  <c r="BM228" i="3"/>
  <c r="BL228" i="3"/>
  <c r="AT228" i="3"/>
  <c r="AS228" i="3"/>
  <c r="AR228" i="3"/>
  <c r="AL228" i="3"/>
  <c r="T228" i="3"/>
  <c r="S228" i="3"/>
  <c r="R228" i="3"/>
  <c r="Q228" i="3"/>
  <c r="Z257" i="3"/>
  <c r="AD257" i="3"/>
  <c r="BQ270" i="3"/>
  <c r="BA270" i="3"/>
  <c r="AK270" i="3"/>
  <c r="U270" i="3"/>
  <c r="BP270" i="3"/>
  <c r="AZ270" i="3"/>
  <c r="AJ270" i="3"/>
  <c r="T270" i="3"/>
  <c r="BO270" i="3"/>
  <c r="AY270" i="3"/>
  <c r="AI270" i="3"/>
  <c r="S270" i="3"/>
  <c r="BN270" i="3"/>
  <c r="AX270" i="3"/>
  <c r="AH270" i="3"/>
  <c r="R270" i="3"/>
  <c r="BM270" i="3"/>
  <c r="AW270" i="3"/>
  <c r="AG270" i="3"/>
  <c r="Q270" i="3"/>
  <c r="BL270" i="3"/>
  <c r="AV270" i="3"/>
  <c r="AF270" i="3"/>
  <c r="P270" i="3"/>
  <c r="BK270" i="3"/>
  <c r="AU270" i="3"/>
  <c r="AE270" i="3"/>
  <c r="O270" i="3"/>
  <c r="BJ270" i="3"/>
  <c r="AT270" i="3"/>
  <c r="AD270" i="3"/>
  <c r="N270" i="3"/>
  <c r="BI270" i="3"/>
  <c r="AS270" i="3"/>
  <c r="AC270" i="3"/>
  <c r="M270" i="3"/>
  <c r="BH270" i="3"/>
  <c r="AR270" i="3"/>
  <c r="AB270" i="3"/>
  <c r="L270" i="3"/>
  <c r="BG270" i="3"/>
  <c r="AQ270" i="3"/>
  <c r="AA270" i="3"/>
  <c r="K270" i="3"/>
  <c r="BD270" i="3"/>
  <c r="AN270" i="3"/>
  <c r="X270" i="3"/>
  <c r="Z270" i="3"/>
  <c r="Y270" i="3"/>
  <c r="W270" i="3"/>
  <c r="V270" i="3"/>
  <c r="BS270" i="3"/>
  <c r="BR270" i="3"/>
  <c r="BF270" i="3"/>
  <c r="BE270" i="3"/>
  <c r="BC270" i="3"/>
  <c r="BB270" i="3"/>
  <c r="AP270" i="3"/>
  <c r="AO270" i="3"/>
  <c r="AM270" i="3"/>
  <c r="AL270" i="3"/>
  <c r="N273" i="3"/>
  <c r="I275" i="3"/>
  <c r="BC273" i="3"/>
  <c r="AP267" i="3"/>
  <c r="AT267" i="3"/>
  <c r="AX267" i="3"/>
  <c r="AR242" i="3"/>
  <c r="BE242" i="3"/>
  <c r="V258" i="3"/>
  <c r="U258" i="3"/>
  <c r="AB258" i="3"/>
  <c r="BM179" i="3"/>
  <c r="AW179" i="3"/>
  <c r="AG179" i="3"/>
  <c r="Q179" i="3"/>
  <c r="BL179" i="3"/>
  <c r="AV179" i="3"/>
  <c r="AF179" i="3"/>
  <c r="P179" i="3"/>
  <c r="BK179" i="3"/>
  <c r="AU179" i="3"/>
  <c r="AE179" i="3"/>
  <c r="O179" i="3"/>
  <c r="BJ179" i="3"/>
  <c r="AT179" i="3"/>
  <c r="AD179" i="3"/>
  <c r="N179" i="3"/>
  <c r="BI179" i="3"/>
  <c r="AS179" i="3"/>
  <c r="AC179" i="3"/>
  <c r="M179" i="3"/>
  <c r="BH179" i="3"/>
  <c r="AR179" i="3"/>
  <c r="AB179" i="3"/>
  <c r="L179" i="3"/>
  <c r="BG179" i="3"/>
  <c r="AQ179" i="3"/>
  <c r="AA179" i="3"/>
  <c r="K179" i="3"/>
  <c r="BF179" i="3"/>
  <c r="AP179" i="3"/>
  <c r="Z179" i="3"/>
  <c r="BE179" i="3"/>
  <c r="AO179" i="3"/>
  <c r="Y179" i="3"/>
  <c r="BD179" i="3"/>
  <c r="AN179" i="3"/>
  <c r="X179" i="3"/>
  <c r="BS179" i="3"/>
  <c r="BC179" i="3"/>
  <c r="AM179" i="3"/>
  <c r="W179" i="3"/>
  <c r="BO179" i="3"/>
  <c r="AY179" i="3"/>
  <c r="AI179" i="3"/>
  <c r="S179" i="3"/>
  <c r="AH179" i="3"/>
  <c r="V179" i="3"/>
  <c r="U179" i="3"/>
  <c r="T179" i="3"/>
  <c r="R179" i="3"/>
  <c r="BR179" i="3"/>
  <c r="BQ179" i="3"/>
  <c r="BP179" i="3"/>
  <c r="BN179" i="3"/>
  <c r="BB179" i="3"/>
  <c r="BA179" i="3"/>
  <c r="AK179" i="3"/>
  <c r="AZ179" i="3"/>
  <c r="AX179" i="3"/>
  <c r="AL179" i="3"/>
  <c r="AJ179" i="3"/>
  <c r="BO183" i="3"/>
  <c r="AY183" i="3"/>
  <c r="AI183" i="3"/>
  <c r="S183" i="3"/>
  <c r="BN183" i="3"/>
  <c r="AX183" i="3"/>
  <c r="AH183" i="3"/>
  <c r="R183" i="3"/>
  <c r="BM183" i="3"/>
  <c r="AW183" i="3"/>
  <c r="AG183" i="3"/>
  <c r="Q183" i="3"/>
  <c r="BL183" i="3"/>
  <c r="AV183" i="3"/>
  <c r="AF183" i="3"/>
  <c r="P183" i="3"/>
  <c r="BK183" i="3"/>
  <c r="AU183" i="3"/>
  <c r="AE183" i="3"/>
  <c r="O183" i="3"/>
  <c r="BJ183" i="3"/>
  <c r="AT183" i="3"/>
  <c r="AD183" i="3"/>
  <c r="N183" i="3"/>
  <c r="BI183" i="3"/>
  <c r="AS183" i="3"/>
  <c r="AC183" i="3"/>
  <c r="M183" i="3"/>
  <c r="BH183" i="3"/>
  <c r="AR183" i="3"/>
  <c r="AB183" i="3"/>
  <c r="L183" i="3"/>
  <c r="BG183" i="3"/>
  <c r="AQ183" i="3"/>
  <c r="AA183" i="3"/>
  <c r="K183" i="3"/>
  <c r="BF183" i="3"/>
  <c r="AP183" i="3"/>
  <c r="Z183" i="3"/>
  <c r="BE183" i="3"/>
  <c r="AO183" i="3"/>
  <c r="Y183" i="3"/>
  <c r="BQ183" i="3"/>
  <c r="BA183" i="3"/>
  <c r="AK183" i="3"/>
  <c r="U183" i="3"/>
  <c r="X183" i="3"/>
  <c r="W183" i="3"/>
  <c r="V183" i="3"/>
  <c r="T183" i="3"/>
  <c r="BS183" i="3"/>
  <c r="BR183" i="3"/>
  <c r="BP183" i="3"/>
  <c r="BD183" i="3"/>
  <c r="BC183" i="3"/>
  <c r="BB183" i="3"/>
  <c r="AL183" i="3"/>
  <c r="AM183" i="3"/>
  <c r="AJ183" i="3"/>
  <c r="AZ183" i="3"/>
  <c r="AN183" i="3"/>
  <c r="BM192" i="3"/>
  <c r="BG140" i="3"/>
  <c r="AV192" i="3"/>
  <c r="AD192" i="3"/>
  <c r="AO215" i="3"/>
  <c r="K215" i="3"/>
  <c r="O215" i="3"/>
  <c r="S215" i="3"/>
  <c r="AT192" i="3"/>
  <c r="AJ192" i="3"/>
  <c r="BG192" i="3"/>
  <c r="BA192" i="3"/>
  <c r="BM112" i="3"/>
  <c r="K112" i="3"/>
  <c r="BO81" i="3"/>
  <c r="AC81" i="3"/>
  <c r="AF119" i="3"/>
  <c r="AP119" i="3"/>
  <c r="AD119" i="3"/>
  <c r="BP119" i="3"/>
  <c r="AL119" i="3"/>
  <c r="Y103" i="3"/>
  <c r="K103" i="3"/>
  <c r="O103" i="3"/>
  <c r="S103" i="3"/>
  <c r="U6" i="3"/>
  <c r="AH6" i="3"/>
  <c r="Z104" i="3"/>
  <c r="BG104" i="3"/>
  <c r="BK104" i="3"/>
  <c r="BO104" i="3"/>
  <c r="AG31" i="3"/>
  <c r="AK31" i="3"/>
  <c r="AP31" i="3"/>
  <c r="J44" i="3"/>
  <c r="AN44" i="3" s="1"/>
  <c r="BI40" i="3"/>
  <c r="AT40" i="3"/>
  <c r="AK40" i="3"/>
  <c r="AV6" i="3"/>
  <c r="BS15" i="3"/>
  <c r="BC15" i="3"/>
  <c r="AM15" i="3"/>
  <c r="W15" i="3"/>
  <c r="BR15" i="3"/>
  <c r="BB15" i="3"/>
  <c r="AL15" i="3"/>
  <c r="V15" i="3"/>
  <c r="BQ15" i="3"/>
  <c r="BA15" i="3"/>
  <c r="U15" i="3"/>
  <c r="AK15" i="3"/>
  <c r="BP15" i="3"/>
  <c r="AZ15" i="3"/>
  <c r="AJ15" i="3"/>
  <c r="T15" i="3"/>
  <c r="BO15" i="3"/>
  <c r="AY15" i="3"/>
  <c r="AI15" i="3"/>
  <c r="S15" i="3"/>
  <c r="BN15" i="3"/>
  <c r="AX15" i="3"/>
  <c r="AH15" i="3"/>
  <c r="R15" i="3"/>
  <c r="BM15" i="3"/>
  <c r="AW15" i="3"/>
  <c r="AG15" i="3"/>
  <c r="Q15" i="3"/>
  <c r="BL15" i="3"/>
  <c r="AV15" i="3"/>
  <c r="AF15" i="3"/>
  <c r="P15" i="3"/>
  <c r="BK15" i="3"/>
  <c r="AU15" i="3"/>
  <c r="AE15" i="3"/>
  <c r="O15" i="3"/>
  <c r="BH15" i="3"/>
  <c r="AR15" i="3"/>
  <c r="AB15" i="3"/>
  <c r="L15" i="3"/>
  <c r="AS15" i="3"/>
  <c r="AQ15" i="3"/>
  <c r="AP15" i="3"/>
  <c r="AO15" i="3"/>
  <c r="AN15" i="3"/>
  <c r="AD15" i="3"/>
  <c r="AC15" i="3"/>
  <c r="AA15" i="3"/>
  <c r="Z15" i="3"/>
  <c r="BJ15" i="3"/>
  <c r="Y15" i="3"/>
  <c r="BI15" i="3"/>
  <c r="X15" i="3"/>
  <c r="BG15" i="3"/>
  <c r="N15" i="3"/>
  <c r="BF15" i="3"/>
  <c r="M15" i="3"/>
  <c r="BE15" i="3"/>
  <c r="K15" i="3"/>
  <c r="BD15" i="3"/>
  <c r="AT15" i="3"/>
  <c r="AS37" i="4"/>
  <c r="J38" i="4"/>
  <c r="W20" i="4"/>
  <c r="BG20" i="4"/>
  <c r="BE20" i="4"/>
  <c r="BD20" i="4"/>
  <c r="BC20" i="4"/>
  <c r="BA20" i="4"/>
  <c r="BN20" i="4"/>
  <c r="BB332" i="3"/>
  <c r="BN332" i="3"/>
  <c r="BE332" i="3"/>
  <c r="AY332" i="3"/>
  <c r="AX332" i="3"/>
  <c r="V317" i="3"/>
  <c r="BQ317" i="3"/>
  <c r="BA317" i="3"/>
  <c r="AK317" i="3"/>
  <c r="U317" i="3"/>
  <c r="AU317" i="3"/>
  <c r="AC317" i="3"/>
  <c r="K317" i="3"/>
  <c r="AT317" i="3"/>
  <c r="AR317" i="3"/>
  <c r="Z317" i="3"/>
  <c r="BI317" i="3"/>
  <c r="AQ317" i="3"/>
  <c r="Y317" i="3"/>
  <c r="AP317" i="3"/>
  <c r="X317" i="3"/>
  <c r="BG317" i="3"/>
  <c r="W317" i="3"/>
  <c r="S317" i="3"/>
  <c r="BD317" i="3"/>
  <c r="AJ317" i="3"/>
  <c r="R317" i="3"/>
  <c r="BC317" i="3"/>
  <c r="Q317" i="3"/>
  <c r="BO317" i="3"/>
  <c r="L317" i="3"/>
  <c r="AZ317" i="3"/>
  <c r="AG317" i="3"/>
  <c r="AF317" i="3"/>
  <c r="AE317" i="3"/>
  <c r="AD317" i="3"/>
  <c r="P317" i="3"/>
  <c r="BP317" i="3"/>
  <c r="O317" i="3"/>
  <c r="N317" i="3"/>
  <c r="AM342" i="3"/>
  <c r="BS342" i="3"/>
  <c r="J322" i="3"/>
  <c r="AV322" i="3" s="1"/>
  <c r="BA332" i="3"/>
  <c r="L332" i="3"/>
  <c r="P332" i="3"/>
  <c r="BF292" i="3"/>
  <c r="AP292" i="3"/>
  <c r="Z292" i="3"/>
  <c r="BE292" i="3"/>
  <c r="AO292" i="3"/>
  <c r="Y292" i="3"/>
  <c r="BD292" i="3"/>
  <c r="AN292" i="3"/>
  <c r="X292" i="3"/>
  <c r="BS292" i="3"/>
  <c r="BC292" i="3"/>
  <c r="AM292" i="3"/>
  <c r="W292" i="3"/>
  <c r="BR292" i="3"/>
  <c r="BB292" i="3"/>
  <c r="AL292" i="3"/>
  <c r="V292" i="3"/>
  <c r="BP292" i="3"/>
  <c r="AZ292" i="3"/>
  <c r="AJ292" i="3"/>
  <c r="T292" i="3"/>
  <c r="BO292" i="3"/>
  <c r="AY292" i="3"/>
  <c r="AI292" i="3"/>
  <c r="S292" i="3"/>
  <c r="BN292" i="3"/>
  <c r="AX292" i="3"/>
  <c r="AH292" i="3"/>
  <c r="R292" i="3"/>
  <c r="BM292" i="3"/>
  <c r="AW292" i="3"/>
  <c r="AG292" i="3"/>
  <c r="Q292" i="3"/>
  <c r="BL292" i="3"/>
  <c r="AV292" i="3"/>
  <c r="AF292" i="3"/>
  <c r="P292" i="3"/>
  <c r="BK292" i="3"/>
  <c r="AU292" i="3"/>
  <c r="AE292" i="3"/>
  <c r="O292" i="3"/>
  <c r="BJ292" i="3"/>
  <c r="AT292" i="3"/>
  <c r="AD292" i="3"/>
  <c r="N292" i="3"/>
  <c r="AS292" i="3"/>
  <c r="AR292" i="3"/>
  <c r="AQ292" i="3"/>
  <c r="AK292" i="3"/>
  <c r="AC292" i="3"/>
  <c r="AB292" i="3"/>
  <c r="AA292" i="3"/>
  <c r="U292" i="3"/>
  <c r="M292" i="3"/>
  <c r="L292" i="3"/>
  <c r="K292" i="3"/>
  <c r="BQ292" i="3"/>
  <c r="BH292" i="3"/>
  <c r="BI292" i="3"/>
  <c r="BG292" i="3"/>
  <c r="BA292" i="3"/>
  <c r="BM325" i="3"/>
  <c r="BL325" i="3"/>
  <c r="BJ325" i="3"/>
  <c r="BI325" i="3"/>
  <c r="AM325" i="3"/>
  <c r="AG325" i="3"/>
  <c r="AJ325" i="3"/>
  <c r="BK325" i="3"/>
  <c r="AW325" i="3"/>
  <c r="V325" i="3"/>
  <c r="BH325" i="3"/>
  <c r="V321" i="3"/>
  <c r="BL321" i="3"/>
  <c r="BK321" i="3"/>
  <c r="BI321" i="3"/>
  <c r="BH321" i="3"/>
  <c r="AT321" i="3"/>
  <c r="AS321" i="3"/>
  <c r="U293" i="3"/>
  <c r="AW321" i="3"/>
  <c r="BA321" i="3"/>
  <c r="BS321" i="3"/>
  <c r="AZ293" i="3"/>
  <c r="BO332" i="3"/>
  <c r="BL293" i="3"/>
  <c r="AO318" i="3"/>
  <c r="AD318" i="3"/>
  <c r="AH318" i="3"/>
  <c r="BB318" i="3"/>
  <c r="BS254" i="3"/>
  <c r="BC254" i="3"/>
  <c r="AM254" i="3"/>
  <c r="W254" i="3"/>
  <c r="BO254" i="3"/>
  <c r="AY254" i="3"/>
  <c r="AZ254" i="3"/>
  <c r="AD254" i="3"/>
  <c r="AX254" i="3"/>
  <c r="AC254" i="3"/>
  <c r="AW254" i="3"/>
  <c r="AB254" i="3"/>
  <c r="AV254" i="3"/>
  <c r="V254" i="3"/>
  <c r="BR254" i="3"/>
  <c r="AU254" i="3"/>
  <c r="U254" i="3"/>
  <c r="BQ254" i="3"/>
  <c r="AT254" i="3"/>
  <c r="T254" i="3"/>
  <c r="BP254" i="3"/>
  <c r="AS254" i="3"/>
  <c r="S254" i="3"/>
  <c r="BN254" i="3"/>
  <c r="AR254" i="3"/>
  <c r="R254" i="3"/>
  <c r="BM254" i="3"/>
  <c r="AL254" i="3"/>
  <c r="Q254" i="3"/>
  <c r="BL254" i="3"/>
  <c r="AK254" i="3"/>
  <c r="P254" i="3"/>
  <c r="BK254" i="3"/>
  <c r="AJ254" i="3"/>
  <c r="O254" i="3"/>
  <c r="BJ254" i="3"/>
  <c r="AI254" i="3"/>
  <c r="N254" i="3"/>
  <c r="M254" i="3"/>
  <c r="L254" i="3"/>
  <c r="BI254" i="3"/>
  <c r="BH254" i="3"/>
  <c r="BB254" i="3"/>
  <c r="BA254" i="3"/>
  <c r="AH254" i="3"/>
  <c r="AG254" i="3"/>
  <c r="AF254" i="3"/>
  <c r="AE254" i="3"/>
  <c r="AO254" i="3"/>
  <c r="AO256" i="3"/>
  <c r="J263" i="3"/>
  <c r="AH263" i="3" s="1"/>
  <c r="AZ242" i="3"/>
  <c r="BM257" i="3"/>
  <c r="AP257" i="3"/>
  <c r="AT257" i="3"/>
  <c r="L273" i="3"/>
  <c r="X269" i="3"/>
  <c r="BI269" i="3"/>
  <c r="BM269" i="3"/>
  <c r="AD273" i="3"/>
  <c r="R273" i="3"/>
  <c r="BF267" i="3"/>
  <c r="BJ267" i="3"/>
  <c r="BN267" i="3"/>
  <c r="AB242" i="3"/>
  <c r="AO242" i="3"/>
  <c r="AV221" i="3"/>
  <c r="AR221" i="3"/>
  <c r="BB258" i="3"/>
  <c r="AK258" i="3"/>
  <c r="AR258" i="3"/>
  <c r="AP221" i="3"/>
  <c r="BG169" i="3"/>
  <c r="AQ169" i="3"/>
  <c r="AA169" i="3"/>
  <c r="K169" i="3"/>
  <c r="BF169" i="3"/>
  <c r="AP169" i="3"/>
  <c r="Z169" i="3"/>
  <c r="BE169" i="3"/>
  <c r="AO169" i="3"/>
  <c r="Y169" i="3"/>
  <c r="BD169" i="3"/>
  <c r="AN169" i="3"/>
  <c r="X169" i="3"/>
  <c r="BS169" i="3"/>
  <c r="BC169" i="3"/>
  <c r="AM169" i="3"/>
  <c r="W169" i="3"/>
  <c r="BR169" i="3"/>
  <c r="BB169" i="3"/>
  <c r="BQ169" i="3"/>
  <c r="BA169" i="3"/>
  <c r="AK169" i="3"/>
  <c r="U169" i="3"/>
  <c r="BP169" i="3"/>
  <c r="AZ169" i="3"/>
  <c r="AJ169" i="3"/>
  <c r="T169" i="3"/>
  <c r="BO169" i="3"/>
  <c r="AY169" i="3"/>
  <c r="AI169" i="3"/>
  <c r="S169" i="3"/>
  <c r="BN169" i="3"/>
  <c r="AX169" i="3"/>
  <c r="AH169" i="3"/>
  <c r="R169" i="3"/>
  <c r="BM169" i="3"/>
  <c r="AW169" i="3"/>
  <c r="AG169" i="3"/>
  <c r="Q169" i="3"/>
  <c r="BJ169" i="3"/>
  <c r="O169" i="3"/>
  <c r="BI169" i="3"/>
  <c r="N169" i="3"/>
  <c r="BH169" i="3"/>
  <c r="M169" i="3"/>
  <c r="AV169" i="3"/>
  <c r="L169" i="3"/>
  <c r="AU169" i="3"/>
  <c r="AT169" i="3"/>
  <c r="AS169" i="3"/>
  <c r="AR169" i="3"/>
  <c r="AL169" i="3"/>
  <c r="AF169" i="3"/>
  <c r="AE169" i="3"/>
  <c r="BL169" i="3"/>
  <c r="V169" i="3"/>
  <c r="AB169" i="3"/>
  <c r="P169" i="3"/>
  <c r="BK169" i="3"/>
  <c r="AD169" i="3"/>
  <c r="AC169" i="3"/>
  <c r="BJ222" i="3"/>
  <c r="AR222" i="3"/>
  <c r="BI222" i="3"/>
  <c r="BH222" i="3"/>
  <c r="BG222" i="3"/>
  <c r="AQ222" i="3"/>
  <c r="BN222" i="3"/>
  <c r="AJ222" i="3"/>
  <c r="BR222" i="3"/>
  <c r="AO181" i="3"/>
  <c r="BQ163" i="3"/>
  <c r="BA163" i="3"/>
  <c r="AJ163" i="3"/>
  <c r="T163" i="3"/>
  <c r="AA163" i="3"/>
  <c r="AU163" i="3"/>
  <c r="X163" i="3"/>
  <c r="Q163" i="3"/>
  <c r="BJ163" i="3"/>
  <c r="BE163" i="3"/>
  <c r="AD163" i="3"/>
  <c r="N163" i="3"/>
  <c r="AQ140" i="3"/>
  <c r="I185" i="3"/>
  <c r="BB215" i="3"/>
  <c r="AA215" i="3"/>
  <c r="AE215" i="3"/>
  <c r="AI215" i="3"/>
  <c r="BJ160" i="3"/>
  <c r="AQ160" i="3"/>
  <c r="X160" i="3"/>
  <c r="Y160" i="3"/>
  <c r="W160" i="3"/>
  <c r="BL160" i="3"/>
  <c r="BK160" i="3"/>
  <c r="BI160" i="3"/>
  <c r="AT160" i="3"/>
  <c r="AS160" i="3"/>
  <c r="AR160" i="3"/>
  <c r="J163" i="3"/>
  <c r="BP163" i="3" s="1"/>
  <c r="AP160" i="3"/>
  <c r="BM160" i="3"/>
  <c r="AA160" i="3"/>
  <c r="Z160" i="3"/>
  <c r="AJ160" i="3"/>
  <c r="BL192" i="3"/>
  <c r="BC192" i="3"/>
  <c r="X192" i="3"/>
  <c r="BQ192" i="3"/>
  <c r="AU112" i="3"/>
  <c r="J91" i="3"/>
  <c r="I90" i="3"/>
  <c r="BD88" i="3"/>
  <c r="AN88" i="3"/>
  <c r="X88" i="3"/>
  <c r="J92" i="3"/>
  <c r="I91" i="3"/>
  <c r="BS88" i="3"/>
  <c r="BC88" i="3"/>
  <c r="AM88" i="3"/>
  <c r="W88" i="3"/>
  <c r="I92" i="3"/>
  <c r="BR88" i="3"/>
  <c r="BB88" i="3"/>
  <c r="AL88" i="3"/>
  <c r="V88" i="3"/>
  <c r="I93" i="3"/>
  <c r="BQ88" i="3"/>
  <c r="BA88" i="3"/>
  <c r="BP88" i="3"/>
  <c r="AZ88" i="3"/>
  <c r="AJ88" i="3"/>
  <c r="T88" i="3"/>
  <c r="BO88" i="3"/>
  <c r="AY88" i="3"/>
  <c r="BN88" i="3"/>
  <c r="AX88" i="3"/>
  <c r="AH88" i="3"/>
  <c r="R88" i="3"/>
  <c r="BM88" i="3"/>
  <c r="AW88" i="3"/>
  <c r="AG88" i="3"/>
  <c r="Q88" i="3"/>
  <c r="BL88" i="3"/>
  <c r="AV88" i="3"/>
  <c r="AF88" i="3"/>
  <c r="P88" i="3"/>
  <c r="BH88" i="3"/>
  <c r="O88" i="3"/>
  <c r="BG88" i="3"/>
  <c r="N88" i="3"/>
  <c r="AU88" i="3"/>
  <c r="M88" i="3"/>
  <c r="AT88" i="3"/>
  <c r="L88" i="3"/>
  <c r="AS88" i="3"/>
  <c r="K88" i="3"/>
  <c r="AR88" i="3"/>
  <c r="AQ88" i="3"/>
  <c r="AK88" i="3"/>
  <c r="AI88" i="3"/>
  <c r="AE88" i="3"/>
  <c r="AD88" i="3"/>
  <c r="BJ88" i="3"/>
  <c r="U88" i="3"/>
  <c r="AB88" i="3"/>
  <c r="AA88" i="3"/>
  <c r="S88" i="3"/>
  <c r="BK88" i="3"/>
  <c r="BI88" i="3"/>
  <c r="AC88" i="3"/>
  <c r="BH81" i="3"/>
  <c r="T81" i="3"/>
  <c r="V128" i="3"/>
  <c r="AT128" i="3"/>
  <c r="AJ128" i="3"/>
  <c r="BO128" i="3"/>
  <c r="AM119" i="3"/>
  <c r="BG119" i="3"/>
  <c r="AU119" i="3"/>
  <c r="I121" i="3"/>
  <c r="J121" i="3" s="1"/>
  <c r="BC119" i="3"/>
  <c r="AK103" i="3"/>
  <c r="AA103" i="3"/>
  <c r="AE103" i="3"/>
  <c r="AI103" i="3"/>
  <c r="BF18" i="3"/>
  <c r="AP18" i="3"/>
  <c r="Z18" i="3"/>
  <c r="BE18" i="3"/>
  <c r="AO18" i="3"/>
  <c r="Y18" i="3"/>
  <c r="AN18" i="3"/>
  <c r="BD18" i="3"/>
  <c r="X18" i="3"/>
  <c r="BS18" i="3"/>
  <c r="BC18" i="3"/>
  <c r="AM18" i="3"/>
  <c r="W18" i="3"/>
  <c r="BR18" i="3"/>
  <c r="BB18" i="3"/>
  <c r="AL18" i="3"/>
  <c r="V18" i="3"/>
  <c r="BQ18" i="3"/>
  <c r="BA18" i="3"/>
  <c r="AK18" i="3"/>
  <c r="U18" i="3"/>
  <c r="BP18" i="3"/>
  <c r="AZ18" i="3"/>
  <c r="AJ18" i="3"/>
  <c r="T18" i="3"/>
  <c r="BO18" i="3"/>
  <c r="AY18" i="3"/>
  <c r="AI18" i="3"/>
  <c r="S18" i="3"/>
  <c r="BN18" i="3"/>
  <c r="AX18" i="3"/>
  <c r="AH18" i="3"/>
  <c r="R18" i="3"/>
  <c r="BM18" i="3"/>
  <c r="BK18" i="3"/>
  <c r="AU18" i="3"/>
  <c r="AE18" i="3"/>
  <c r="O18" i="3"/>
  <c r="AC18" i="3"/>
  <c r="AB18" i="3"/>
  <c r="BL18" i="3"/>
  <c r="AA18" i="3"/>
  <c r="BJ18" i="3"/>
  <c r="Q18" i="3"/>
  <c r="BI18" i="3"/>
  <c r="P18" i="3"/>
  <c r="BH18" i="3"/>
  <c r="N18" i="3"/>
  <c r="BG18" i="3"/>
  <c r="M18" i="3"/>
  <c r="AW18" i="3"/>
  <c r="L18" i="3"/>
  <c r="AV18" i="3"/>
  <c r="K18" i="3"/>
  <c r="AT18" i="3"/>
  <c r="AS18" i="3"/>
  <c r="AR18" i="3"/>
  <c r="AQ18" i="3"/>
  <c r="AG18" i="3"/>
  <c r="AF18" i="3"/>
  <c r="AD18" i="3"/>
  <c r="BK31" i="3"/>
  <c r="N6" i="3"/>
  <c r="AU31" i="3"/>
  <c r="AL104" i="3"/>
  <c r="L104" i="3"/>
  <c r="P104" i="3"/>
  <c r="T104" i="3"/>
  <c r="AX31" i="3"/>
  <c r="BB31" i="3"/>
  <c r="BG31" i="3"/>
  <c r="M40" i="3"/>
  <c r="J43" i="3"/>
  <c r="BR43" i="3" s="1"/>
  <c r="BR40" i="3"/>
  <c r="BA40" i="3"/>
  <c r="BL6" i="3"/>
  <c r="BM31" i="3"/>
  <c r="I12" i="3"/>
  <c r="BD16" i="3"/>
  <c r="AN16" i="3"/>
  <c r="X16" i="3"/>
  <c r="BS16" i="3"/>
  <c r="BC16" i="3"/>
  <c r="AM16" i="3"/>
  <c r="W16" i="3"/>
  <c r="BR16" i="3"/>
  <c r="AL16" i="3"/>
  <c r="V16" i="3"/>
  <c r="BB16" i="3"/>
  <c r="BQ16" i="3"/>
  <c r="BA16" i="3"/>
  <c r="AK16" i="3"/>
  <c r="U16" i="3"/>
  <c r="BP16" i="3"/>
  <c r="AZ16" i="3"/>
  <c r="AJ16" i="3"/>
  <c r="T16" i="3"/>
  <c r="BO16" i="3"/>
  <c r="AY16" i="3"/>
  <c r="AI16" i="3"/>
  <c r="S16" i="3"/>
  <c r="BN16" i="3"/>
  <c r="AX16" i="3"/>
  <c r="AH16" i="3"/>
  <c r="R16" i="3"/>
  <c r="BM16" i="3"/>
  <c r="AW16" i="3"/>
  <c r="AG16" i="3"/>
  <c r="Q16" i="3"/>
  <c r="BL16" i="3"/>
  <c r="AV16" i="3"/>
  <c r="AF16" i="3"/>
  <c r="P16" i="3"/>
  <c r="BI16" i="3"/>
  <c r="AS16" i="3"/>
  <c r="AC16" i="3"/>
  <c r="M16" i="3"/>
  <c r="AA16" i="3"/>
  <c r="BK16" i="3"/>
  <c r="Z16" i="3"/>
  <c r="BJ16" i="3"/>
  <c r="Y16" i="3"/>
  <c r="BH16" i="3"/>
  <c r="O16" i="3"/>
  <c r="N16" i="3"/>
  <c r="BG16" i="3"/>
  <c r="BF16" i="3"/>
  <c r="L16" i="3"/>
  <c r="BE16" i="3"/>
  <c r="K16" i="3"/>
  <c r="AU16" i="3"/>
  <c r="AT16" i="3"/>
  <c r="AR16" i="3"/>
  <c r="AQ16" i="3"/>
  <c r="AP16" i="3"/>
  <c r="AO16" i="3"/>
  <c r="AE16" i="3"/>
  <c r="AD16" i="3"/>
  <c r="AB16" i="3"/>
  <c r="AN104" i="3"/>
  <c r="AB104" i="3"/>
  <c r="AF104" i="3"/>
  <c r="AJ104" i="3"/>
  <c r="BO31" i="3"/>
  <c r="BS31" i="3"/>
  <c r="Z31" i="3"/>
  <c r="AG40" i="3"/>
  <c r="V40" i="3"/>
  <c r="J42" i="3"/>
  <c r="BQ40" i="3"/>
  <c r="BN6" i="3"/>
  <c r="BJ6" i="3"/>
  <c r="BI343" i="3"/>
  <c r="AS343" i="3"/>
  <c r="AC343" i="3"/>
  <c r="M343" i="3"/>
  <c r="BD343" i="3"/>
  <c r="AM343" i="3"/>
  <c r="V343" i="3"/>
  <c r="BC343" i="3"/>
  <c r="AL343" i="3"/>
  <c r="U343" i="3"/>
  <c r="BQ343" i="3"/>
  <c r="AZ343" i="3"/>
  <c r="AI343" i="3"/>
  <c r="R343" i="3"/>
  <c r="BO343" i="3"/>
  <c r="AX343" i="3"/>
  <c r="AG343" i="3"/>
  <c r="P343" i="3"/>
  <c r="BL343" i="3"/>
  <c r="AU343" i="3"/>
  <c r="AD343" i="3"/>
  <c r="L343" i="3"/>
  <c r="BK343" i="3"/>
  <c r="AN343" i="3"/>
  <c r="N343" i="3"/>
  <c r="BJ343" i="3"/>
  <c r="AK343" i="3"/>
  <c r="K343" i="3"/>
  <c r="BH343" i="3"/>
  <c r="AJ343" i="3"/>
  <c r="BG343" i="3"/>
  <c r="AH343" i="3"/>
  <c r="BF343" i="3"/>
  <c r="AF343" i="3"/>
  <c r="BE343" i="3"/>
  <c r="AE343" i="3"/>
  <c r="BB343" i="3"/>
  <c r="AB343" i="3"/>
  <c r="BA343" i="3"/>
  <c r="AA343" i="3"/>
  <c r="AW343" i="3"/>
  <c r="Y343" i="3"/>
  <c r="AV343" i="3"/>
  <c r="X343" i="3"/>
  <c r="BR343" i="3"/>
  <c r="AR343" i="3"/>
  <c r="T343" i="3"/>
  <c r="BP343" i="3"/>
  <c r="AQ343" i="3"/>
  <c r="S343" i="3"/>
  <c r="AY343" i="3"/>
  <c r="AT343" i="3"/>
  <c r="AP343" i="3"/>
  <c r="AO343" i="3"/>
  <c r="Z343" i="3"/>
  <c r="W343" i="3"/>
  <c r="Q343" i="3"/>
  <c r="O343" i="3"/>
  <c r="BS343" i="3"/>
  <c r="BN343" i="3"/>
  <c r="BM343" i="3"/>
  <c r="BN342" i="3"/>
  <c r="BI342" i="3"/>
  <c r="BD342" i="3"/>
  <c r="AL342" i="3"/>
  <c r="BC342" i="3"/>
  <c r="AP342" i="3"/>
  <c r="AI342" i="3"/>
  <c r="AH342" i="3"/>
  <c r="BP315" i="3"/>
  <c r="AZ315" i="3"/>
  <c r="AJ315" i="3"/>
  <c r="T315" i="3"/>
  <c r="BO315" i="3"/>
  <c r="AY315" i="3"/>
  <c r="AI315" i="3"/>
  <c r="S315" i="3"/>
  <c r="BK315" i="3"/>
  <c r="AS315" i="3"/>
  <c r="AA315" i="3"/>
  <c r="BJ315" i="3"/>
  <c r="AR315" i="3"/>
  <c r="Z315" i="3"/>
  <c r="BI315" i="3"/>
  <c r="AQ315" i="3"/>
  <c r="Y315" i="3"/>
  <c r="BH315" i="3"/>
  <c r="AP315" i="3"/>
  <c r="X315" i="3"/>
  <c r="BG315" i="3"/>
  <c r="AO315" i="3"/>
  <c r="W315" i="3"/>
  <c r="BF315" i="3"/>
  <c r="AN315" i="3"/>
  <c r="V315" i="3"/>
  <c r="BE315" i="3"/>
  <c r="AM315" i="3"/>
  <c r="U315" i="3"/>
  <c r="BD315" i="3"/>
  <c r="AL315" i="3"/>
  <c r="R315" i="3"/>
  <c r="BC315" i="3"/>
  <c r="AK315" i="3"/>
  <c r="Q315" i="3"/>
  <c r="BS315" i="3"/>
  <c r="BA315" i="3"/>
  <c r="AG315" i="3"/>
  <c r="O315" i="3"/>
  <c r="BR315" i="3"/>
  <c r="AB315" i="3"/>
  <c r="BQ315" i="3"/>
  <c r="P315" i="3"/>
  <c r="BN315" i="3"/>
  <c r="N315" i="3"/>
  <c r="BM315" i="3"/>
  <c r="M315" i="3"/>
  <c r="BL315" i="3"/>
  <c r="L315" i="3"/>
  <c r="BB315" i="3"/>
  <c r="K315" i="3"/>
  <c r="AX315" i="3"/>
  <c r="AW315" i="3"/>
  <c r="AV315" i="3"/>
  <c r="AU315" i="3"/>
  <c r="AT315" i="3"/>
  <c r="AH315" i="3"/>
  <c r="AF315" i="3"/>
  <c r="AE315" i="3"/>
  <c r="AD315" i="3"/>
  <c r="AC315" i="3"/>
  <c r="S342" i="3"/>
  <c r="AY342" i="3"/>
  <c r="BL342" i="3"/>
  <c r="BO314" i="3"/>
  <c r="AY314" i="3"/>
  <c r="AI314" i="3"/>
  <c r="S314" i="3"/>
  <c r="BN314" i="3"/>
  <c r="AX314" i="3"/>
  <c r="AH314" i="3"/>
  <c r="R314" i="3"/>
  <c r="BB314" i="3"/>
  <c r="AJ314" i="3"/>
  <c r="P314" i="3"/>
  <c r="BS314" i="3"/>
  <c r="BA314" i="3"/>
  <c r="AG314" i="3"/>
  <c r="O314" i="3"/>
  <c r="BR314" i="3"/>
  <c r="AZ314" i="3"/>
  <c r="AF314" i="3"/>
  <c r="N314" i="3"/>
  <c r="BQ314" i="3"/>
  <c r="AW314" i="3"/>
  <c r="AE314" i="3"/>
  <c r="M314" i="3"/>
  <c r="BP314" i="3"/>
  <c r="AV314" i="3"/>
  <c r="AD314" i="3"/>
  <c r="L314" i="3"/>
  <c r="BM314" i="3"/>
  <c r="AU314" i="3"/>
  <c r="BL314" i="3"/>
  <c r="AT314" i="3"/>
  <c r="AB314" i="3"/>
  <c r="BK314" i="3"/>
  <c r="AS314" i="3"/>
  <c r="AA314" i="3"/>
  <c r="AQ314" i="3"/>
  <c r="K314" i="3"/>
  <c r="AP314" i="3"/>
  <c r="AO314" i="3"/>
  <c r="AN314" i="3"/>
  <c r="AM314" i="3"/>
  <c r="AL314" i="3"/>
  <c r="AK314" i="3"/>
  <c r="BJ314" i="3"/>
  <c r="AC314" i="3"/>
  <c r="BI314" i="3"/>
  <c r="Z314" i="3"/>
  <c r="BH314" i="3"/>
  <c r="Y314" i="3"/>
  <c r="BG314" i="3"/>
  <c r="X314" i="3"/>
  <c r="BF314" i="3"/>
  <c r="W314" i="3"/>
  <c r="BE314" i="3"/>
  <c r="V314" i="3"/>
  <c r="U314" i="3"/>
  <c r="T314" i="3"/>
  <c r="Q314" i="3"/>
  <c r="BD314" i="3"/>
  <c r="AR314" i="3"/>
  <c r="BC314" i="3"/>
  <c r="T293" i="3"/>
  <c r="J317" i="3"/>
  <c r="BM317" i="3" s="1"/>
  <c r="AS256" i="3"/>
  <c r="AQ318" i="3"/>
  <c r="BN318" i="3"/>
  <c r="Q318" i="3"/>
  <c r="W318" i="3"/>
  <c r="T242" i="3"/>
  <c r="O257" i="3"/>
  <c r="K257" i="3"/>
  <c r="BM242" i="3"/>
  <c r="BS269" i="3"/>
  <c r="BE269" i="3"/>
  <c r="BC269" i="3"/>
  <c r="BB269" i="3"/>
  <c r="AM269" i="3"/>
  <c r="AL269" i="3"/>
  <c r="AP269" i="3"/>
  <c r="AO269" i="3"/>
  <c r="BD269" i="3"/>
  <c r="AD269" i="3"/>
  <c r="AH269" i="3"/>
  <c r="J245" i="3"/>
  <c r="BM273" i="3"/>
  <c r="AZ273" i="3"/>
  <c r="AM273" i="3"/>
  <c r="AA267" i="3"/>
  <c r="AE267" i="3"/>
  <c r="AI267" i="3"/>
  <c r="BG242" i="3"/>
  <c r="BR258" i="3"/>
  <c r="BK221" i="3"/>
  <c r="AT221" i="3"/>
  <c r="AC221" i="3"/>
  <c r="L221" i="3"/>
  <c r="AJ221" i="3"/>
  <c r="AI221" i="3"/>
  <c r="V221" i="3"/>
  <c r="T221" i="3"/>
  <c r="S221" i="3"/>
  <c r="R221" i="3"/>
  <c r="BS221" i="3"/>
  <c r="BR221" i="3"/>
  <c r="BD221" i="3"/>
  <c r="AM221" i="3"/>
  <c r="BC221" i="3"/>
  <c r="BB221" i="3"/>
  <c r="AZ221" i="3"/>
  <c r="AL221" i="3"/>
  <c r="BE258" i="3"/>
  <c r="BQ258" i="3"/>
  <c r="M258" i="3"/>
  <c r="BH221" i="3"/>
  <c r="J213" i="3"/>
  <c r="AW213" i="3" s="1"/>
  <c r="BM238" i="3"/>
  <c r="AW238" i="3"/>
  <c r="AG238" i="3"/>
  <c r="Q238" i="3"/>
  <c r="BL238" i="3"/>
  <c r="AV238" i="3"/>
  <c r="AF238" i="3"/>
  <c r="P238" i="3"/>
  <c r="BK238" i="3"/>
  <c r="AU238" i="3"/>
  <c r="AE238" i="3"/>
  <c r="O238" i="3"/>
  <c r="BJ238" i="3"/>
  <c r="AT238" i="3"/>
  <c r="AD238" i="3"/>
  <c r="N238" i="3"/>
  <c r="BI238" i="3"/>
  <c r="AS238" i="3"/>
  <c r="AC238" i="3"/>
  <c r="M238" i="3"/>
  <c r="BH238" i="3"/>
  <c r="AR238" i="3"/>
  <c r="AB238" i="3"/>
  <c r="L238" i="3"/>
  <c r="BF238" i="3"/>
  <c r="AP238" i="3"/>
  <c r="Z238" i="3"/>
  <c r="BE238" i="3"/>
  <c r="AO238" i="3"/>
  <c r="Y238" i="3"/>
  <c r="BD238" i="3"/>
  <c r="AN238" i="3"/>
  <c r="X238" i="3"/>
  <c r="BS238" i="3"/>
  <c r="BC238" i="3"/>
  <c r="AM238" i="3"/>
  <c r="W238" i="3"/>
  <c r="BR238" i="3"/>
  <c r="BB238" i="3"/>
  <c r="AL238" i="3"/>
  <c r="V238" i="3"/>
  <c r="BA238" i="3"/>
  <c r="AZ238" i="3"/>
  <c r="AY238" i="3"/>
  <c r="AX238" i="3"/>
  <c r="AQ238" i="3"/>
  <c r="AK238" i="3"/>
  <c r="AJ238" i="3"/>
  <c r="AI238" i="3"/>
  <c r="AH238" i="3"/>
  <c r="AA238" i="3"/>
  <c r="U238" i="3"/>
  <c r="BQ238" i="3"/>
  <c r="T238" i="3"/>
  <c r="BG238" i="3"/>
  <c r="S238" i="3"/>
  <c r="R238" i="3"/>
  <c r="K238" i="3"/>
  <c r="BO238" i="3"/>
  <c r="BP238" i="3"/>
  <c r="BN238" i="3"/>
  <c r="BI173" i="3"/>
  <c r="AS173" i="3"/>
  <c r="AC173" i="3"/>
  <c r="M173" i="3"/>
  <c r="BH173" i="3"/>
  <c r="AR173" i="3"/>
  <c r="AB173" i="3"/>
  <c r="L173" i="3"/>
  <c r="BG173" i="3"/>
  <c r="AQ173" i="3"/>
  <c r="AA173" i="3"/>
  <c r="K173" i="3"/>
  <c r="BF173" i="3"/>
  <c r="AP173" i="3"/>
  <c r="Z173" i="3"/>
  <c r="BE173" i="3"/>
  <c r="AO173" i="3"/>
  <c r="Y173" i="3"/>
  <c r="BD173" i="3"/>
  <c r="AN173" i="3"/>
  <c r="X173" i="3"/>
  <c r="BS173" i="3"/>
  <c r="BC173" i="3"/>
  <c r="AM173" i="3"/>
  <c r="W173" i="3"/>
  <c r="BR173" i="3"/>
  <c r="BB173" i="3"/>
  <c r="AL173" i="3"/>
  <c r="V173" i="3"/>
  <c r="BQ173" i="3"/>
  <c r="BA173" i="3"/>
  <c r="AK173" i="3"/>
  <c r="U173" i="3"/>
  <c r="BP173" i="3"/>
  <c r="AZ173" i="3"/>
  <c r="AJ173" i="3"/>
  <c r="T173" i="3"/>
  <c r="BO173" i="3"/>
  <c r="AY173" i="3"/>
  <c r="AI173" i="3"/>
  <c r="S173" i="3"/>
  <c r="AH173" i="3"/>
  <c r="AG173" i="3"/>
  <c r="AF173" i="3"/>
  <c r="AE173" i="3"/>
  <c r="AD173" i="3"/>
  <c r="R173" i="3"/>
  <c r="BN173" i="3"/>
  <c r="Q173" i="3"/>
  <c r="BM173" i="3"/>
  <c r="P173" i="3"/>
  <c r="BL173" i="3"/>
  <c r="O173" i="3"/>
  <c r="BK173" i="3"/>
  <c r="N173" i="3"/>
  <c r="BJ173" i="3"/>
  <c r="AU173" i="3"/>
  <c r="AX173" i="3"/>
  <c r="AW173" i="3"/>
  <c r="AV173" i="3"/>
  <c r="AT173" i="3"/>
  <c r="AF222" i="3"/>
  <c r="T222" i="3"/>
  <c r="AN181" i="3"/>
  <c r="K140" i="3"/>
  <c r="N160" i="3"/>
  <c r="BS160" i="3"/>
  <c r="BD215" i="3"/>
  <c r="BG215" i="3"/>
  <c r="BK215" i="3"/>
  <c r="BO215" i="3"/>
  <c r="BP160" i="3"/>
  <c r="AF192" i="3"/>
  <c r="BH192" i="3"/>
  <c r="BP129" i="3"/>
  <c r="AZ129" i="3"/>
  <c r="AJ129" i="3"/>
  <c r="T129" i="3"/>
  <c r="BO129" i="3"/>
  <c r="AY129" i="3"/>
  <c r="AI129" i="3"/>
  <c r="S129" i="3"/>
  <c r="BN129" i="3"/>
  <c r="AX129" i="3"/>
  <c r="AH129" i="3"/>
  <c r="R129" i="3"/>
  <c r="BA129" i="3"/>
  <c r="AE129" i="3"/>
  <c r="L129" i="3"/>
  <c r="BS129" i="3"/>
  <c r="AW129" i="3"/>
  <c r="AD129" i="3"/>
  <c r="K129" i="3"/>
  <c r="BR129" i="3"/>
  <c r="AV129" i="3"/>
  <c r="AC129" i="3"/>
  <c r="BQ129" i="3"/>
  <c r="AU129" i="3"/>
  <c r="AB129" i="3"/>
  <c r="BM129" i="3"/>
  <c r="AT129" i="3"/>
  <c r="AA129" i="3"/>
  <c r="BL129" i="3"/>
  <c r="AS129" i="3"/>
  <c r="Z129" i="3"/>
  <c r="BJ129" i="3"/>
  <c r="AQ129" i="3"/>
  <c r="X129" i="3"/>
  <c r="BI129" i="3"/>
  <c r="AP129" i="3"/>
  <c r="W129" i="3"/>
  <c r="BH129" i="3"/>
  <c r="AO129" i="3"/>
  <c r="V129" i="3"/>
  <c r="BG129" i="3"/>
  <c r="AN129" i="3"/>
  <c r="U129" i="3"/>
  <c r="BF129" i="3"/>
  <c r="AM129" i="3"/>
  <c r="Q129" i="3"/>
  <c r="BE129" i="3"/>
  <c r="AL129" i="3"/>
  <c r="P129" i="3"/>
  <c r="BK129" i="3"/>
  <c r="BD129" i="3"/>
  <c r="BC129" i="3"/>
  <c r="BB129" i="3"/>
  <c r="AR129" i="3"/>
  <c r="AK129" i="3"/>
  <c r="AG129" i="3"/>
  <c r="N129" i="3"/>
  <c r="AF129" i="3"/>
  <c r="Y129" i="3"/>
  <c r="O129" i="3"/>
  <c r="M129" i="3"/>
  <c r="M112" i="3"/>
  <c r="I116" i="3"/>
  <c r="J116" i="3" s="1"/>
  <c r="AS52" i="3"/>
  <c r="M81" i="3"/>
  <c r="J53" i="3"/>
  <c r="AB53" i="3" s="1"/>
  <c r="BD81" i="3"/>
  <c r="AZ81" i="3"/>
  <c r="BH128" i="3"/>
  <c r="AC128" i="3"/>
  <c r="O128" i="3"/>
  <c r="BJ71" i="3"/>
  <c r="AT71" i="3"/>
  <c r="AD71" i="3"/>
  <c r="N71" i="3"/>
  <c r="BI71" i="3"/>
  <c r="AS71" i="3"/>
  <c r="AC71" i="3"/>
  <c r="M71" i="3"/>
  <c r="BG71" i="3"/>
  <c r="AQ71" i="3"/>
  <c r="AA71" i="3"/>
  <c r="K71" i="3"/>
  <c r="BF71" i="3"/>
  <c r="AM71" i="3"/>
  <c r="T71" i="3"/>
  <c r="BE71" i="3"/>
  <c r="AL71" i="3"/>
  <c r="S71" i="3"/>
  <c r="BD71" i="3"/>
  <c r="AK71" i="3"/>
  <c r="R71" i="3"/>
  <c r="BC71" i="3"/>
  <c r="AJ71" i="3"/>
  <c r="Q71" i="3"/>
  <c r="BB71" i="3"/>
  <c r="AI71" i="3"/>
  <c r="P71" i="3"/>
  <c r="BA71" i="3"/>
  <c r="AH71" i="3"/>
  <c r="O71" i="3"/>
  <c r="BS71" i="3"/>
  <c r="AZ71" i="3"/>
  <c r="AG71" i="3"/>
  <c r="L71" i="3"/>
  <c r="BR71" i="3"/>
  <c r="AY71" i="3"/>
  <c r="AF71" i="3"/>
  <c r="BQ71" i="3"/>
  <c r="AX71" i="3"/>
  <c r="AE71" i="3"/>
  <c r="BP71" i="3"/>
  <c r="AW71" i="3"/>
  <c r="AB71" i="3"/>
  <c r="BO71" i="3"/>
  <c r="AV71" i="3"/>
  <c r="Z71" i="3"/>
  <c r="BK71" i="3"/>
  <c r="AO71" i="3"/>
  <c r="V71" i="3"/>
  <c r="W71" i="3"/>
  <c r="U71" i="3"/>
  <c r="BN71" i="3"/>
  <c r="BM71" i="3"/>
  <c r="BL71" i="3"/>
  <c r="BH71" i="3"/>
  <c r="AU71" i="3"/>
  <c r="AR71" i="3"/>
  <c r="AP71" i="3"/>
  <c r="AN71" i="3"/>
  <c r="Y71" i="3"/>
  <c r="X71" i="3"/>
  <c r="AO119" i="3"/>
  <c r="AA119" i="3"/>
  <c r="J122" i="3"/>
  <c r="AI119" i="3"/>
  <c r="AR119" i="3"/>
  <c r="AP20" i="3"/>
  <c r="AN103" i="3"/>
  <c r="BG103" i="3"/>
  <c r="BK103" i="3"/>
  <c r="BO103" i="3"/>
  <c r="AV30" i="3"/>
  <c r="BK30" i="3"/>
  <c r="S6" i="3"/>
  <c r="AO104" i="3"/>
  <c r="AR104" i="3"/>
  <c r="AV104" i="3"/>
  <c r="AZ104" i="3"/>
  <c r="Q31" i="3"/>
  <c r="U31" i="3"/>
  <c r="AQ31" i="3"/>
  <c r="BQ6" i="3"/>
  <c r="BE40" i="3"/>
  <c r="AP40" i="3"/>
  <c r="R40" i="3"/>
  <c r="BP6" i="3"/>
  <c r="AS6" i="3"/>
  <c r="X6" i="3"/>
  <c r="BP131" i="3"/>
  <c r="AZ131" i="3"/>
  <c r="AJ131" i="3"/>
  <c r="AI131" i="3"/>
  <c r="S131" i="3"/>
  <c r="AU131" i="3"/>
  <c r="AA131" i="3"/>
  <c r="AT131" i="3"/>
  <c r="Y131" i="3"/>
  <c r="BL131" i="3"/>
  <c r="BI131" i="3"/>
  <c r="AN131" i="3"/>
  <c r="P131" i="3"/>
  <c r="BG131" i="3"/>
  <c r="AH131" i="3"/>
  <c r="K131" i="3"/>
  <c r="BE131" i="3"/>
  <c r="BD131" i="3"/>
  <c r="BI53" i="3"/>
  <c r="AS53" i="3"/>
  <c r="AC53" i="3"/>
  <c r="M53" i="3"/>
  <c r="BH53" i="3"/>
  <c r="AR53" i="3"/>
  <c r="L53" i="3"/>
  <c r="BG53" i="3"/>
  <c r="AA53" i="3"/>
  <c r="K53" i="3"/>
  <c r="BF53" i="3"/>
  <c r="AP53" i="3"/>
  <c r="Z53" i="3"/>
  <c r="BE53" i="3"/>
  <c r="AO53" i="3"/>
  <c r="Y53" i="3"/>
  <c r="BD53" i="3"/>
  <c r="AN53" i="3"/>
  <c r="X53" i="3"/>
  <c r="BS53" i="3"/>
  <c r="AM53" i="3"/>
  <c r="W53" i="3"/>
  <c r="BB53" i="3"/>
  <c r="AL53" i="3"/>
  <c r="V53" i="3"/>
  <c r="BQ53" i="3"/>
  <c r="BO53" i="3"/>
  <c r="AY53" i="3"/>
  <c r="AI53" i="3"/>
  <c r="S53" i="3"/>
  <c r="AH53" i="3"/>
  <c r="BP53" i="3"/>
  <c r="AG53" i="3"/>
  <c r="BN53" i="3"/>
  <c r="BM53" i="3"/>
  <c r="AE53" i="3"/>
  <c r="AD53" i="3"/>
  <c r="BK53" i="3"/>
  <c r="U53" i="3"/>
  <c r="BJ53" i="3"/>
  <c r="T53" i="3"/>
  <c r="BA53" i="3"/>
  <c r="R53" i="3"/>
  <c r="AZ53" i="3"/>
  <c r="Q53" i="3"/>
  <c r="AX53" i="3"/>
  <c r="P53" i="3"/>
  <c r="AW53" i="3"/>
  <c r="AV53" i="3"/>
  <c r="N53" i="3"/>
  <c r="AT53" i="3"/>
  <c r="AK53" i="3"/>
  <c r="AJ53" i="3"/>
  <c r="BG66" i="3"/>
  <c r="AQ66" i="3"/>
  <c r="AA66" i="3"/>
  <c r="BF66" i="3"/>
  <c r="AP66" i="3"/>
  <c r="Z66" i="3"/>
  <c r="BR66" i="3"/>
  <c r="AZ66" i="3"/>
  <c r="AH66" i="3"/>
  <c r="P66" i="3"/>
  <c r="BQ66" i="3"/>
  <c r="AY66" i="3"/>
  <c r="AG66" i="3"/>
  <c r="O66" i="3"/>
  <c r="BP66" i="3"/>
  <c r="AX66" i="3"/>
  <c r="AF66" i="3"/>
  <c r="N66" i="3"/>
  <c r="BO66" i="3"/>
  <c r="AW66" i="3"/>
  <c r="AE66" i="3"/>
  <c r="M66" i="3"/>
  <c r="BN66" i="3"/>
  <c r="AV66" i="3"/>
  <c r="AD66" i="3"/>
  <c r="L66" i="3"/>
  <c r="BM66" i="3"/>
  <c r="AU66" i="3"/>
  <c r="AC66" i="3"/>
  <c r="K66" i="3"/>
  <c r="BL66" i="3"/>
  <c r="AT66" i="3"/>
  <c r="AB66" i="3"/>
  <c r="BK66" i="3"/>
  <c r="AS66" i="3"/>
  <c r="Y66" i="3"/>
  <c r="BJ66" i="3"/>
  <c r="AR66" i="3"/>
  <c r="X66" i="3"/>
  <c r="BI66" i="3"/>
  <c r="AO66" i="3"/>
  <c r="W66" i="3"/>
  <c r="BH66" i="3"/>
  <c r="AN66" i="3"/>
  <c r="V66" i="3"/>
  <c r="BB66" i="3"/>
  <c r="AJ66" i="3"/>
  <c r="R66" i="3"/>
  <c r="BD66" i="3"/>
  <c r="BC66" i="3"/>
  <c r="BA66" i="3"/>
  <c r="AM66" i="3"/>
  <c r="AL66" i="3"/>
  <c r="AK66" i="3"/>
  <c r="AI66" i="3"/>
  <c r="U66" i="3"/>
  <c r="T66" i="3"/>
  <c r="S66" i="3"/>
  <c r="Q66" i="3"/>
  <c r="BS66" i="3"/>
  <c r="BE66" i="3"/>
  <c r="J12" i="3"/>
  <c r="BB6" i="3"/>
  <c r="AP104" i="3"/>
  <c r="BH104" i="3"/>
  <c r="BL104" i="3"/>
  <c r="BP104" i="3"/>
  <c r="AH31" i="3"/>
  <c r="AL31" i="3"/>
  <c r="BH31" i="3"/>
  <c r="AX6" i="3"/>
  <c r="AT6" i="3"/>
  <c r="Z6" i="3"/>
  <c r="BN350" i="3"/>
  <c r="AX350" i="3"/>
  <c r="AH350" i="3"/>
  <c r="R350" i="3"/>
  <c r="BL350" i="3"/>
  <c r="AV350" i="3"/>
  <c r="AF350" i="3"/>
  <c r="P350" i="3"/>
  <c r="BF350" i="3"/>
  <c r="AN350" i="3"/>
  <c r="V350" i="3"/>
  <c r="BE350" i="3"/>
  <c r="AM350" i="3"/>
  <c r="U350" i="3"/>
  <c r="BC350" i="3"/>
  <c r="AK350" i="3"/>
  <c r="S350" i="3"/>
  <c r="BB350" i="3"/>
  <c r="AJ350" i="3"/>
  <c r="Q350" i="3"/>
  <c r="BR350" i="3"/>
  <c r="AZ350" i="3"/>
  <c r="AG350" i="3"/>
  <c r="N350" i="3"/>
  <c r="BP350" i="3"/>
  <c r="AW350" i="3"/>
  <c r="AD350" i="3"/>
  <c r="L350" i="3"/>
  <c r="BO350" i="3"/>
  <c r="AU350" i="3"/>
  <c r="AC350" i="3"/>
  <c r="K350" i="3"/>
  <c r="BM350" i="3"/>
  <c r="AT350" i="3"/>
  <c r="AB350" i="3"/>
  <c r="BK350" i="3"/>
  <c r="AS350" i="3"/>
  <c r="AA350" i="3"/>
  <c r="BS350" i="3"/>
  <c r="Z350" i="3"/>
  <c r="BQ350" i="3"/>
  <c r="Y350" i="3"/>
  <c r="BJ350" i="3"/>
  <c r="X350" i="3"/>
  <c r="BI350" i="3"/>
  <c r="W350" i="3"/>
  <c r="BH350" i="3"/>
  <c r="T350" i="3"/>
  <c r="BG350" i="3"/>
  <c r="O350" i="3"/>
  <c r="BD350" i="3"/>
  <c r="M350" i="3"/>
  <c r="BA350" i="3"/>
  <c r="AR350" i="3"/>
  <c r="AQ350" i="3"/>
  <c r="AO350" i="3"/>
  <c r="AL350" i="3"/>
  <c r="AY350" i="3"/>
  <c r="AP350" i="3"/>
  <c r="AI350" i="3"/>
  <c r="AE350" i="3"/>
  <c r="BH296" i="3"/>
  <c r="J297" i="3"/>
  <c r="Z297" i="3" s="1"/>
  <c r="J299" i="3"/>
  <c r="S299" i="3" s="1"/>
  <c r="BO296" i="3"/>
  <c r="M256" i="3"/>
  <c r="AP256" i="3"/>
  <c r="BG293" i="3"/>
  <c r="AX242" i="3"/>
  <c r="X273" i="3"/>
  <c r="AG242" i="3"/>
  <c r="BR271" i="3"/>
  <c r="BB271" i="3"/>
  <c r="AL271" i="3"/>
  <c r="V271" i="3"/>
  <c r="BQ271" i="3"/>
  <c r="BA271" i="3"/>
  <c r="AK271" i="3"/>
  <c r="U271" i="3"/>
  <c r="BP271" i="3"/>
  <c r="AZ271" i="3"/>
  <c r="AJ271" i="3"/>
  <c r="T271" i="3"/>
  <c r="BO271" i="3"/>
  <c r="AY271" i="3"/>
  <c r="AI271" i="3"/>
  <c r="S271" i="3"/>
  <c r="BN271" i="3"/>
  <c r="AX271" i="3"/>
  <c r="AH271" i="3"/>
  <c r="R271" i="3"/>
  <c r="BM271" i="3"/>
  <c r="AW271" i="3"/>
  <c r="AG271" i="3"/>
  <c r="Q271" i="3"/>
  <c r="BL271" i="3"/>
  <c r="AV271" i="3"/>
  <c r="AF271" i="3"/>
  <c r="P271" i="3"/>
  <c r="BK271" i="3"/>
  <c r="AU271" i="3"/>
  <c r="AE271" i="3"/>
  <c r="O271" i="3"/>
  <c r="BJ271" i="3"/>
  <c r="AT271" i="3"/>
  <c r="AD271" i="3"/>
  <c r="N271" i="3"/>
  <c r="BI271" i="3"/>
  <c r="AS271" i="3"/>
  <c r="AC271" i="3"/>
  <c r="M271" i="3"/>
  <c r="BH271" i="3"/>
  <c r="AR271" i="3"/>
  <c r="AB271" i="3"/>
  <c r="L271" i="3"/>
  <c r="BE271" i="3"/>
  <c r="AO271" i="3"/>
  <c r="Y271" i="3"/>
  <c r="AA271" i="3"/>
  <c r="Z271" i="3"/>
  <c r="X271" i="3"/>
  <c r="W271" i="3"/>
  <c r="K271" i="3"/>
  <c r="BS271" i="3"/>
  <c r="BG271" i="3"/>
  <c r="BF271" i="3"/>
  <c r="BD271" i="3"/>
  <c r="BC271" i="3"/>
  <c r="AQ271" i="3"/>
  <c r="AP271" i="3"/>
  <c r="AN271" i="3"/>
  <c r="AM271" i="3"/>
  <c r="AU242" i="3"/>
  <c r="AF273" i="3"/>
  <c r="J275" i="3"/>
  <c r="I274" i="3"/>
  <c r="BG267" i="3"/>
  <c r="BK267" i="3"/>
  <c r="BO267" i="3"/>
  <c r="AA242" i="3"/>
  <c r="BG200" i="3"/>
  <c r="AQ200" i="3"/>
  <c r="AA200" i="3"/>
  <c r="K200" i="3"/>
  <c r="BF200" i="3"/>
  <c r="AP200" i="3"/>
  <c r="Z200" i="3"/>
  <c r="BE200" i="3"/>
  <c r="AO200" i="3"/>
  <c r="Y200" i="3"/>
  <c r="BD200" i="3"/>
  <c r="AN200" i="3"/>
  <c r="X200" i="3"/>
  <c r="BS200" i="3"/>
  <c r="BC200" i="3"/>
  <c r="AM200" i="3"/>
  <c r="W200" i="3"/>
  <c r="BP200" i="3"/>
  <c r="AZ200" i="3"/>
  <c r="AJ200" i="3"/>
  <c r="T200" i="3"/>
  <c r="BM200" i="3"/>
  <c r="AW200" i="3"/>
  <c r="AG200" i="3"/>
  <c r="Q200" i="3"/>
  <c r="BL200" i="3"/>
  <c r="AV200" i="3"/>
  <c r="AF200" i="3"/>
  <c r="P200" i="3"/>
  <c r="AX200" i="3"/>
  <c r="R200" i="3"/>
  <c r="AU200" i="3"/>
  <c r="O200" i="3"/>
  <c r="AT200" i="3"/>
  <c r="N200" i="3"/>
  <c r="AS200" i="3"/>
  <c r="M200" i="3"/>
  <c r="AR200" i="3"/>
  <c r="L200" i="3"/>
  <c r="BR200" i="3"/>
  <c r="AL200" i="3"/>
  <c r="BQ200" i="3"/>
  <c r="AK200" i="3"/>
  <c r="BO200" i="3"/>
  <c r="AI200" i="3"/>
  <c r="BN200" i="3"/>
  <c r="AH200" i="3"/>
  <c r="BK200" i="3"/>
  <c r="AE200" i="3"/>
  <c r="BJ200" i="3"/>
  <c r="AD200" i="3"/>
  <c r="BA200" i="3"/>
  <c r="U200" i="3"/>
  <c r="BI200" i="3"/>
  <c r="BH200" i="3"/>
  <c r="BB200" i="3"/>
  <c r="AY200" i="3"/>
  <c r="AC200" i="3"/>
  <c r="AB200" i="3"/>
  <c r="V200" i="3"/>
  <c r="S200" i="3"/>
  <c r="BF258" i="3"/>
  <c r="AM258" i="3"/>
  <c r="AS258" i="3"/>
  <c r="J141" i="3"/>
  <c r="BD164" i="3"/>
  <c r="AN164" i="3"/>
  <c r="X164" i="3"/>
  <c r="BS164" i="3"/>
  <c r="BC164" i="3"/>
  <c r="AM164" i="3"/>
  <c r="W164" i="3"/>
  <c r="BR164" i="3"/>
  <c r="BB164" i="3"/>
  <c r="AL164" i="3"/>
  <c r="V164" i="3"/>
  <c r="BQ164" i="3"/>
  <c r="BA164" i="3"/>
  <c r="AK164" i="3"/>
  <c r="U164" i="3"/>
  <c r="BP164" i="3"/>
  <c r="AZ164" i="3"/>
  <c r="AJ164" i="3"/>
  <c r="T164" i="3"/>
  <c r="BH164" i="3"/>
  <c r="AH164" i="3"/>
  <c r="M164" i="3"/>
  <c r="BG164" i="3"/>
  <c r="AG164" i="3"/>
  <c r="L164" i="3"/>
  <c r="BF164" i="3"/>
  <c r="AF164" i="3"/>
  <c r="K164" i="3"/>
  <c r="BE164" i="3"/>
  <c r="AE164" i="3"/>
  <c r="AY164" i="3"/>
  <c r="AD164" i="3"/>
  <c r="AX164" i="3"/>
  <c r="AC164" i="3"/>
  <c r="AW164" i="3"/>
  <c r="AB164" i="3"/>
  <c r="AV164" i="3"/>
  <c r="AA164" i="3"/>
  <c r="AU164" i="3"/>
  <c r="Z164" i="3"/>
  <c r="BO164" i="3"/>
  <c r="AT164" i="3"/>
  <c r="Y164" i="3"/>
  <c r="BN164" i="3"/>
  <c r="AS164" i="3"/>
  <c r="S164" i="3"/>
  <c r="BJ164" i="3"/>
  <c r="AO164" i="3"/>
  <c r="O164" i="3"/>
  <c r="P164" i="3"/>
  <c r="N164" i="3"/>
  <c r="BL164" i="3"/>
  <c r="BK164" i="3"/>
  <c r="BI164" i="3"/>
  <c r="AR164" i="3"/>
  <c r="AQ164" i="3"/>
  <c r="AP164" i="3"/>
  <c r="AI164" i="3"/>
  <c r="BM164" i="3"/>
  <c r="R164" i="3"/>
  <c r="Q164" i="3"/>
  <c r="I142" i="3"/>
  <c r="J145" i="3"/>
  <c r="AE192" i="3"/>
  <c r="BR215" i="3"/>
  <c r="AB215" i="3"/>
  <c r="AF215" i="3"/>
  <c r="AJ215" i="3"/>
  <c r="BR192" i="3"/>
  <c r="AL192" i="3"/>
  <c r="AQ192" i="3"/>
  <c r="J131" i="3"/>
  <c r="BO131" i="3" s="1"/>
  <c r="AR107" i="3"/>
  <c r="AT112" i="3"/>
  <c r="BK96" i="3"/>
  <c r="AU96" i="3"/>
  <c r="AE96" i="3"/>
  <c r="O96" i="3"/>
  <c r="BJ96" i="3"/>
  <c r="AT96" i="3"/>
  <c r="AD96" i="3"/>
  <c r="N96" i="3"/>
  <c r="BI96" i="3"/>
  <c r="AS96" i="3"/>
  <c r="AC96" i="3"/>
  <c r="M96" i="3"/>
  <c r="BH96" i="3"/>
  <c r="AR96" i="3"/>
  <c r="AB96" i="3"/>
  <c r="L96" i="3"/>
  <c r="BG96" i="3"/>
  <c r="AQ96" i="3"/>
  <c r="AA96" i="3"/>
  <c r="K96" i="3"/>
  <c r="BF96" i="3"/>
  <c r="AP96" i="3"/>
  <c r="Z96" i="3"/>
  <c r="BE96" i="3"/>
  <c r="AO96" i="3"/>
  <c r="Y96" i="3"/>
  <c r="BD96" i="3"/>
  <c r="AN96" i="3"/>
  <c r="X96" i="3"/>
  <c r="BS96" i="3"/>
  <c r="BC96" i="3"/>
  <c r="AM96" i="3"/>
  <c r="W96" i="3"/>
  <c r="BR96" i="3"/>
  <c r="BB96" i="3"/>
  <c r="AL96" i="3"/>
  <c r="V96" i="3"/>
  <c r="BQ96" i="3"/>
  <c r="BA96" i="3"/>
  <c r="AK96" i="3"/>
  <c r="U96" i="3"/>
  <c r="BM96" i="3"/>
  <c r="AW96" i="3"/>
  <c r="AG96" i="3"/>
  <c r="Q96" i="3"/>
  <c r="S96" i="3"/>
  <c r="R96" i="3"/>
  <c r="P96" i="3"/>
  <c r="BP96" i="3"/>
  <c r="BO96" i="3"/>
  <c r="BN96" i="3"/>
  <c r="BL96" i="3"/>
  <c r="AZ96" i="3"/>
  <c r="AY96" i="3"/>
  <c r="AX96" i="3"/>
  <c r="AV96" i="3"/>
  <c r="AF96" i="3"/>
  <c r="AJ96" i="3"/>
  <c r="AI96" i="3"/>
  <c r="AH96" i="3"/>
  <c r="T96" i="3"/>
  <c r="M52" i="3"/>
  <c r="AP52" i="3"/>
  <c r="BE52" i="3"/>
  <c r="Q81" i="3"/>
  <c r="U81" i="3"/>
  <c r="J124" i="3"/>
  <c r="BI119" i="3"/>
  <c r="AE119" i="3"/>
  <c r="BQ119" i="3"/>
  <c r="U103" i="3"/>
  <c r="BG20" i="3"/>
  <c r="AQ20" i="3"/>
  <c r="AA20" i="3"/>
  <c r="K20" i="3"/>
  <c r="I22" i="3"/>
  <c r="BD20" i="3"/>
  <c r="AN20" i="3"/>
  <c r="X20" i="3"/>
  <c r="J24" i="3"/>
  <c r="I23" i="3"/>
  <c r="BS20" i="3"/>
  <c r="BC20" i="3"/>
  <c r="AM20" i="3"/>
  <c r="W20" i="3"/>
  <c r="I24" i="3"/>
  <c r="BR20" i="3"/>
  <c r="BB20" i="3"/>
  <c r="AL20" i="3"/>
  <c r="V20" i="3"/>
  <c r="I25" i="3"/>
  <c r="BQ20" i="3"/>
  <c r="BA20" i="3"/>
  <c r="AK20" i="3"/>
  <c r="U20" i="3"/>
  <c r="I26" i="3"/>
  <c r="J26" i="3" s="1"/>
  <c r="BP20" i="3"/>
  <c r="AZ20" i="3"/>
  <c r="AJ20" i="3"/>
  <c r="T20" i="3"/>
  <c r="BO20" i="3"/>
  <c r="AY20" i="3"/>
  <c r="AI20" i="3"/>
  <c r="S20" i="3"/>
  <c r="BN20" i="3"/>
  <c r="AX20" i="3"/>
  <c r="AH20" i="3"/>
  <c r="R20" i="3"/>
  <c r="BL20" i="3"/>
  <c r="AV20" i="3"/>
  <c r="AF20" i="3"/>
  <c r="P20" i="3"/>
  <c r="BI20" i="3"/>
  <c r="L20" i="3"/>
  <c r="BH20" i="3"/>
  <c r="AW20" i="3"/>
  <c r="AU20" i="3"/>
  <c r="AT20" i="3"/>
  <c r="AS20" i="3"/>
  <c r="AR20" i="3"/>
  <c r="AG20" i="3"/>
  <c r="AE20" i="3"/>
  <c r="AD20" i="3"/>
  <c r="AC20" i="3"/>
  <c r="AB20" i="3"/>
  <c r="Q20" i="3"/>
  <c r="BM20" i="3"/>
  <c r="O20" i="3"/>
  <c r="BK20" i="3"/>
  <c r="N20" i="3"/>
  <c r="BJ20" i="3"/>
  <c r="M20" i="3"/>
  <c r="BA103" i="3"/>
  <c r="AB103" i="3"/>
  <c r="AF103" i="3"/>
  <c r="AJ103" i="3"/>
  <c r="BG30" i="3"/>
  <c r="BF30" i="3"/>
  <c r="BE30" i="3"/>
  <c r="BD30" i="3"/>
  <c r="AP30" i="3"/>
  <c r="AO30" i="3"/>
  <c r="AN30" i="3"/>
  <c r="AM30" i="3"/>
  <c r="Y30" i="3"/>
  <c r="X30" i="3"/>
  <c r="W30" i="3"/>
  <c r="V30" i="3"/>
  <c r="J9" i="3"/>
  <c r="AX9" i="3" s="1"/>
  <c r="BC6" i="3"/>
  <c r="AI6" i="3"/>
  <c r="J10" i="3"/>
  <c r="R10" i="3" s="1"/>
  <c r="BB104" i="3"/>
  <c r="M104" i="3"/>
  <c r="Q104" i="3"/>
  <c r="U104" i="3"/>
  <c r="AY31" i="3"/>
  <c r="BC31" i="3"/>
  <c r="N31" i="3"/>
  <c r="AC6" i="3"/>
  <c r="AL40" i="3"/>
  <c r="W40" i="3"/>
  <c r="AX40" i="3"/>
  <c r="AA6" i="3"/>
  <c r="BG296" i="3"/>
  <c r="BF296" i="3"/>
  <c r="AP325" i="3"/>
  <c r="AD325" i="3"/>
  <c r="X325" i="3"/>
  <c r="J298" i="3"/>
  <c r="BS296" i="3"/>
  <c r="BJ321" i="3"/>
  <c r="BP321" i="3"/>
  <c r="AK321" i="3"/>
  <c r="BP296" i="3"/>
  <c r="AY296" i="3"/>
  <c r="AQ254" i="3"/>
  <c r="BG318" i="3"/>
  <c r="AW318" i="3"/>
  <c r="R318" i="3"/>
  <c r="BS318" i="3"/>
  <c r="AY286" i="3"/>
  <c r="AB286" i="3"/>
  <c r="AX286" i="3"/>
  <c r="AA286" i="3"/>
  <c r="I287" i="3"/>
  <c r="AU286" i="3"/>
  <c r="Z286" i="3"/>
  <c r="AT286" i="3"/>
  <c r="Y286" i="3"/>
  <c r="BQ286" i="3"/>
  <c r="AS286" i="3"/>
  <c r="X286" i="3"/>
  <c r="BO286" i="3"/>
  <c r="AR286" i="3"/>
  <c r="U286" i="3"/>
  <c r="BN286" i="3"/>
  <c r="AQ286" i="3"/>
  <c r="T286" i="3"/>
  <c r="BJ286" i="3"/>
  <c r="AO286" i="3"/>
  <c r="R286" i="3"/>
  <c r="AN286" i="3"/>
  <c r="AK286" i="3"/>
  <c r="S286" i="3"/>
  <c r="O286" i="3"/>
  <c r="N286" i="3"/>
  <c r="BK286" i="3"/>
  <c r="BI286" i="3"/>
  <c r="BH286" i="3"/>
  <c r="AP286" i="3"/>
  <c r="BM286" i="3"/>
  <c r="AH242" i="3"/>
  <c r="V269" i="3"/>
  <c r="BG257" i="3"/>
  <c r="Q242" i="3"/>
  <c r="BL242" i="3"/>
  <c r="K269" i="3"/>
  <c r="O269" i="3"/>
  <c r="S269" i="3"/>
  <c r="AE242" i="3"/>
  <c r="AW273" i="3"/>
  <c r="S273" i="3"/>
  <c r="L267" i="3"/>
  <c r="P267" i="3"/>
  <c r="K242" i="3"/>
  <c r="AP258" i="3"/>
  <c r="AU221" i="3"/>
  <c r="K221" i="3"/>
  <c r="AF258" i="3"/>
  <c r="BC258" i="3"/>
  <c r="BI258" i="3"/>
  <c r="U221" i="3"/>
  <c r="AO167" i="3"/>
  <c r="Y167" i="3"/>
  <c r="AM167" i="3"/>
  <c r="U167" i="3"/>
  <c r="BK167" i="3"/>
  <c r="BF167" i="3"/>
  <c r="Z167" i="3"/>
  <c r="AV167" i="3"/>
  <c r="R167" i="3"/>
  <c r="K167" i="3"/>
  <c r="AI167" i="3"/>
  <c r="J167" i="3"/>
  <c r="X167" i="3" s="1"/>
  <c r="BM167" i="3"/>
  <c r="Q181" i="3"/>
  <c r="BH172" i="3"/>
  <c r="AR172" i="3"/>
  <c r="AB172" i="3"/>
  <c r="L172" i="3"/>
  <c r="BG172" i="3"/>
  <c r="AQ172" i="3"/>
  <c r="AA172" i="3"/>
  <c r="K172" i="3"/>
  <c r="BF172" i="3"/>
  <c r="AP172" i="3"/>
  <c r="Z172" i="3"/>
  <c r="BE172" i="3"/>
  <c r="AO172" i="3"/>
  <c r="Y172" i="3"/>
  <c r="BD172" i="3"/>
  <c r="AN172" i="3"/>
  <c r="X172" i="3"/>
  <c r="BS172" i="3"/>
  <c r="BC172" i="3"/>
  <c r="AM172" i="3"/>
  <c r="W172" i="3"/>
  <c r="BR172" i="3"/>
  <c r="BB172" i="3"/>
  <c r="AL172" i="3"/>
  <c r="V172" i="3"/>
  <c r="BQ172" i="3"/>
  <c r="BA172" i="3"/>
  <c r="AK172" i="3"/>
  <c r="U172" i="3"/>
  <c r="BP172" i="3"/>
  <c r="AZ172" i="3"/>
  <c r="AJ172" i="3"/>
  <c r="T172" i="3"/>
  <c r="BO172" i="3"/>
  <c r="AY172" i="3"/>
  <c r="AI172" i="3"/>
  <c r="S172" i="3"/>
  <c r="BN172" i="3"/>
  <c r="AX172" i="3"/>
  <c r="AH172" i="3"/>
  <c r="R172" i="3"/>
  <c r="AV172" i="3"/>
  <c r="AU172" i="3"/>
  <c r="AT172" i="3"/>
  <c r="AS172" i="3"/>
  <c r="AG172" i="3"/>
  <c r="AF172" i="3"/>
  <c r="AE172" i="3"/>
  <c r="AD172" i="3"/>
  <c r="AC172" i="3"/>
  <c r="Q172" i="3"/>
  <c r="BM172" i="3"/>
  <c r="P172" i="3"/>
  <c r="BI172" i="3"/>
  <c r="BK172" i="3"/>
  <c r="BJ172" i="3"/>
  <c r="AW172" i="3"/>
  <c r="O172" i="3"/>
  <c r="N172" i="3"/>
  <c r="M172" i="3"/>
  <c r="BL172" i="3"/>
  <c r="I189" i="3"/>
  <c r="BP187" i="3"/>
  <c r="AY187" i="3"/>
  <c r="AG187" i="3"/>
  <c r="P187" i="3"/>
  <c r="AJ187" i="3"/>
  <c r="AI187" i="3"/>
  <c r="AF187" i="3"/>
  <c r="T187" i="3"/>
  <c r="S187" i="3"/>
  <c r="Q187" i="3"/>
  <c r="O187" i="3"/>
  <c r="BS187" i="3"/>
  <c r="BR187" i="3"/>
  <c r="J189" i="3"/>
  <c r="BQ187" i="3"/>
  <c r="BO187" i="3"/>
  <c r="AW187" i="3"/>
  <c r="BB187" i="3"/>
  <c r="BA187" i="3"/>
  <c r="AZ187" i="3"/>
  <c r="AK187" i="3"/>
  <c r="X222" i="3"/>
  <c r="R187" i="3"/>
  <c r="BH181" i="3"/>
  <c r="L222" i="3"/>
  <c r="P222" i="3"/>
  <c r="U222" i="3"/>
  <c r="X187" i="3"/>
  <c r="S160" i="3"/>
  <c r="BF140" i="3"/>
  <c r="BG154" i="3"/>
  <c r="AP154" i="3"/>
  <c r="Y154" i="3"/>
  <c r="BF154" i="3"/>
  <c r="AO154" i="3"/>
  <c r="X154" i="3"/>
  <c r="J155" i="3"/>
  <c r="BE154" i="3"/>
  <c r="AN154" i="3"/>
  <c r="W154" i="3"/>
  <c r="I155" i="3"/>
  <c r="BD154" i="3"/>
  <c r="AM154" i="3"/>
  <c r="V154" i="3"/>
  <c r="BC154" i="3"/>
  <c r="AL154" i="3"/>
  <c r="U154" i="3"/>
  <c r="BS154" i="3"/>
  <c r="BB154" i="3"/>
  <c r="AK154" i="3"/>
  <c r="T154" i="3"/>
  <c r="BO154" i="3"/>
  <c r="AX154" i="3"/>
  <c r="AG154" i="3"/>
  <c r="O154" i="3"/>
  <c r="BA154" i="3"/>
  <c r="I158" i="3"/>
  <c r="J158" i="3" s="1"/>
  <c r="AZ154" i="3"/>
  <c r="AY154" i="3"/>
  <c r="AW154" i="3"/>
  <c r="AJ154" i="3"/>
  <c r="AI154" i="3"/>
  <c r="AE154" i="3"/>
  <c r="S154" i="3"/>
  <c r="R154" i="3"/>
  <c r="Q154" i="3"/>
  <c r="N154" i="3"/>
  <c r="J156" i="3"/>
  <c r="BR154" i="3"/>
  <c r="I156" i="3"/>
  <c r="BQ154" i="3"/>
  <c r="BP154" i="3"/>
  <c r="BN154" i="3"/>
  <c r="AH154" i="3"/>
  <c r="BD160" i="3"/>
  <c r="I144" i="3"/>
  <c r="J144" i="3" s="1"/>
  <c r="I190" i="3"/>
  <c r="AY160" i="3"/>
  <c r="K160" i="3"/>
  <c r="I218" i="3"/>
  <c r="AR215" i="3"/>
  <c r="AV215" i="3"/>
  <c r="AZ215" i="3"/>
  <c r="BA160" i="3"/>
  <c r="O192" i="3"/>
  <c r="BD192" i="3"/>
  <c r="BI192" i="3"/>
  <c r="BQ130" i="3"/>
  <c r="BA130" i="3"/>
  <c r="AK130" i="3"/>
  <c r="U130" i="3"/>
  <c r="BP130" i="3"/>
  <c r="AZ130" i="3"/>
  <c r="AJ130" i="3"/>
  <c r="T130" i="3"/>
  <c r="BO130" i="3"/>
  <c r="AY130" i="3"/>
  <c r="AI130" i="3"/>
  <c r="S130" i="3"/>
  <c r="BN130" i="3"/>
  <c r="AX130" i="3"/>
  <c r="AH130" i="3"/>
  <c r="R130" i="3"/>
  <c r="AW130" i="3"/>
  <c r="AC130" i="3"/>
  <c r="AV130" i="3"/>
  <c r="AB130" i="3"/>
  <c r="BS130" i="3"/>
  <c r="AU130" i="3"/>
  <c r="AA130" i="3"/>
  <c r="BR130" i="3"/>
  <c r="AT130" i="3"/>
  <c r="Z130" i="3"/>
  <c r="BM130" i="3"/>
  <c r="AS130" i="3"/>
  <c r="Y130" i="3"/>
  <c r="BL130" i="3"/>
  <c r="AR130" i="3"/>
  <c r="X130" i="3"/>
  <c r="BJ130" i="3"/>
  <c r="AP130" i="3"/>
  <c r="V130" i="3"/>
  <c r="BI130" i="3"/>
  <c r="AO130" i="3"/>
  <c r="Q130" i="3"/>
  <c r="BH130" i="3"/>
  <c r="AN130" i="3"/>
  <c r="P130" i="3"/>
  <c r="BG130" i="3"/>
  <c r="AM130" i="3"/>
  <c r="O130" i="3"/>
  <c r="BF130" i="3"/>
  <c r="AL130" i="3"/>
  <c r="N130" i="3"/>
  <c r="BE130" i="3"/>
  <c r="AG130" i="3"/>
  <c r="M130" i="3"/>
  <c r="W130" i="3"/>
  <c r="L130" i="3"/>
  <c r="K130" i="3"/>
  <c r="BK130" i="3"/>
  <c r="BD130" i="3"/>
  <c r="BC130" i="3"/>
  <c r="AE130" i="3"/>
  <c r="AQ130" i="3"/>
  <c r="AF130" i="3"/>
  <c r="AD130" i="3"/>
  <c r="BB130" i="3"/>
  <c r="AC112" i="3"/>
  <c r="BE47" i="3"/>
  <c r="AO47" i="3"/>
  <c r="BD47" i="3"/>
  <c r="AN47" i="3"/>
  <c r="X47" i="3"/>
  <c r="BC47" i="3"/>
  <c r="BR47" i="3"/>
  <c r="V47" i="3"/>
  <c r="BQ47" i="3"/>
  <c r="BA47" i="3"/>
  <c r="AK47" i="3"/>
  <c r="U47" i="3"/>
  <c r="AG47" i="3"/>
  <c r="L47" i="3"/>
  <c r="BF47" i="3"/>
  <c r="K47" i="3"/>
  <c r="AY47" i="3"/>
  <c r="AC47" i="3"/>
  <c r="AW47" i="3"/>
  <c r="AB47" i="3"/>
  <c r="AV47" i="3"/>
  <c r="AA47" i="3"/>
  <c r="AU47" i="3"/>
  <c r="Z47" i="3"/>
  <c r="BO47" i="3"/>
  <c r="T47" i="3"/>
  <c r="S47" i="3"/>
  <c r="R47" i="3"/>
  <c r="BL47" i="3"/>
  <c r="AQ47" i="3"/>
  <c r="Q47" i="3"/>
  <c r="BI47" i="3"/>
  <c r="AP47" i="3"/>
  <c r="AJ47" i="3"/>
  <c r="AI47" i="3"/>
  <c r="P47" i="3"/>
  <c r="M47" i="3"/>
  <c r="BH52" i="3"/>
  <c r="BG52" i="3"/>
  <c r="Z52" i="3"/>
  <c r="AG81" i="3"/>
  <c r="AK81" i="3"/>
  <c r="T128" i="3"/>
  <c r="BI128" i="3"/>
  <c r="K128" i="3"/>
  <c r="AL30" i="3"/>
  <c r="BD119" i="3"/>
  <c r="L119" i="3"/>
  <c r="AV119" i="3"/>
  <c r="BA30" i="3"/>
  <c r="BC103" i="3"/>
  <c r="AR103" i="3"/>
  <c r="AV103" i="3"/>
  <c r="AZ103" i="3"/>
  <c r="AW30" i="3"/>
  <c r="AD30" i="3"/>
  <c r="K30" i="3"/>
  <c r="BE17" i="3"/>
  <c r="AO17" i="3"/>
  <c r="Y17" i="3"/>
  <c r="BD17" i="3"/>
  <c r="AN17" i="3"/>
  <c r="X17" i="3"/>
  <c r="BS17" i="3"/>
  <c r="BC17" i="3"/>
  <c r="AM17" i="3"/>
  <c r="W17" i="3"/>
  <c r="BR17" i="3"/>
  <c r="BB17" i="3"/>
  <c r="AL17" i="3"/>
  <c r="V17" i="3"/>
  <c r="BQ17" i="3"/>
  <c r="BA17" i="3"/>
  <c r="AK17" i="3"/>
  <c r="U17" i="3"/>
  <c r="BP17" i="3"/>
  <c r="AZ17" i="3"/>
  <c r="AJ17" i="3"/>
  <c r="T17" i="3"/>
  <c r="BO17" i="3"/>
  <c r="AY17" i="3"/>
  <c r="AI17" i="3"/>
  <c r="S17" i="3"/>
  <c r="BN17" i="3"/>
  <c r="AX17" i="3"/>
  <c r="AH17" i="3"/>
  <c r="R17" i="3"/>
  <c r="BM17" i="3"/>
  <c r="AW17" i="3"/>
  <c r="AG17" i="3"/>
  <c r="Q17" i="3"/>
  <c r="BJ17" i="3"/>
  <c r="AT17" i="3"/>
  <c r="AD17" i="3"/>
  <c r="N17" i="3"/>
  <c r="AU17" i="3"/>
  <c r="AS17" i="3"/>
  <c r="AR17" i="3"/>
  <c r="AQ17" i="3"/>
  <c r="AP17" i="3"/>
  <c r="AF17" i="3"/>
  <c r="AE17" i="3"/>
  <c r="AC17" i="3"/>
  <c r="AB17" i="3"/>
  <c r="BL17" i="3"/>
  <c r="AA17" i="3"/>
  <c r="BK17" i="3"/>
  <c r="Z17" i="3"/>
  <c r="BI17" i="3"/>
  <c r="P17" i="3"/>
  <c r="BH17" i="3"/>
  <c r="O17" i="3"/>
  <c r="BG17" i="3"/>
  <c r="M17" i="3"/>
  <c r="BF17" i="3"/>
  <c r="L17" i="3"/>
  <c r="AV17" i="3"/>
  <c r="K17" i="3"/>
  <c r="K31" i="3"/>
  <c r="AB6" i="3"/>
  <c r="I8" i="3"/>
  <c r="AJ6" i="3"/>
  <c r="Q6" i="3"/>
  <c r="BS6" i="3"/>
  <c r="BD104" i="3"/>
  <c r="AC104" i="3"/>
  <c r="AG104" i="3"/>
  <c r="BP31" i="3"/>
  <c r="V31" i="3"/>
  <c r="AD31" i="3"/>
  <c r="K6" i="3"/>
  <c r="BF40" i="3"/>
  <c r="AQ40" i="3"/>
  <c r="BN40" i="3"/>
  <c r="AO6" i="3"/>
  <c r="AR31" i="3"/>
  <c r="BR284" i="3"/>
  <c r="BB284" i="3"/>
  <c r="AL284" i="3"/>
  <c r="V284" i="3"/>
  <c r="BQ284" i="3"/>
  <c r="BA284" i="3"/>
  <c r="AK284" i="3"/>
  <c r="U284" i="3"/>
  <c r="BL284" i="3"/>
  <c r="AV284" i="3"/>
  <c r="AF284" i="3"/>
  <c r="P284" i="3"/>
  <c r="BK284" i="3"/>
  <c r="AU284" i="3"/>
  <c r="AE284" i="3"/>
  <c r="O284" i="3"/>
  <c r="BD284" i="3"/>
  <c r="AH284" i="3"/>
  <c r="L284" i="3"/>
  <c r="BC284" i="3"/>
  <c r="AG284" i="3"/>
  <c r="K284" i="3"/>
  <c r="AZ284" i="3"/>
  <c r="AD284" i="3"/>
  <c r="AY284" i="3"/>
  <c r="AC284" i="3"/>
  <c r="AX284" i="3"/>
  <c r="AB284" i="3"/>
  <c r="BS284" i="3"/>
  <c r="AW284" i="3"/>
  <c r="AA284" i="3"/>
  <c r="BP284" i="3"/>
  <c r="AT284" i="3"/>
  <c r="Z284" i="3"/>
  <c r="BO284" i="3"/>
  <c r="AS284" i="3"/>
  <c r="Y284" i="3"/>
  <c r="BN284" i="3"/>
  <c r="AR284" i="3"/>
  <c r="X284" i="3"/>
  <c r="BM284" i="3"/>
  <c r="AQ284" i="3"/>
  <c r="W284" i="3"/>
  <c r="BJ284" i="3"/>
  <c r="AP284" i="3"/>
  <c r="T284" i="3"/>
  <c r="BI284" i="3"/>
  <c r="AO284" i="3"/>
  <c r="S284" i="3"/>
  <c r="BG284" i="3"/>
  <c r="AM284" i="3"/>
  <c r="Q284" i="3"/>
  <c r="BH284" i="3"/>
  <c r="BF284" i="3"/>
  <c r="BE284" i="3"/>
  <c r="AN284" i="3"/>
  <c r="AJ284" i="3"/>
  <c r="AI284" i="3"/>
  <c r="R284" i="3"/>
  <c r="N284" i="3"/>
  <c r="M284" i="3"/>
  <c r="BQ256" i="3"/>
  <c r="BA256" i="3"/>
  <c r="AK256" i="3"/>
  <c r="U256" i="3"/>
  <c r="AZ256" i="3"/>
  <c r="AD256" i="3"/>
  <c r="AY256" i="3"/>
  <c r="X256" i="3"/>
  <c r="AX256" i="3"/>
  <c r="W256" i="3"/>
  <c r="AW256" i="3"/>
  <c r="V256" i="3"/>
  <c r="BS256" i="3"/>
  <c r="AV256" i="3"/>
  <c r="T256" i="3"/>
  <c r="BR256" i="3"/>
  <c r="AU256" i="3"/>
  <c r="S256" i="3"/>
  <c r="BP256" i="3"/>
  <c r="AT256" i="3"/>
  <c r="R256" i="3"/>
  <c r="BO256" i="3"/>
  <c r="AN256" i="3"/>
  <c r="Q256" i="3"/>
  <c r="BN256" i="3"/>
  <c r="AM256" i="3"/>
  <c r="P256" i="3"/>
  <c r="BM256" i="3"/>
  <c r="AL256" i="3"/>
  <c r="O256" i="3"/>
  <c r="BL256" i="3"/>
  <c r="AJ256" i="3"/>
  <c r="N256" i="3"/>
  <c r="BK256" i="3"/>
  <c r="AI256" i="3"/>
  <c r="BJ256" i="3"/>
  <c r="BD256" i="3"/>
  <c r="BC256" i="3"/>
  <c r="BB256" i="3"/>
  <c r="AH256" i="3"/>
  <c r="AG256" i="3"/>
  <c r="AF256" i="3"/>
  <c r="AE256" i="3"/>
  <c r="BR267" i="3"/>
  <c r="U267" i="3"/>
  <c r="BD267" i="3"/>
  <c r="BC267" i="3"/>
  <c r="BB267" i="3"/>
  <c r="BA267" i="3"/>
  <c r="AO267" i="3"/>
  <c r="AN267" i="3"/>
  <c r="AM267" i="3"/>
  <c r="X267" i="3"/>
  <c r="AS273" i="3"/>
  <c r="AR273" i="3"/>
  <c r="AP273" i="3"/>
  <c r="AO273" i="3"/>
  <c r="BN273" i="3"/>
  <c r="AJ273" i="3"/>
  <c r="AN273" i="3"/>
  <c r="AB267" i="3"/>
  <c r="AF267" i="3"/>
  <c r="AJ267" i="3"/>
  <c r="BG273" i="3"/>
  <c r="BS215" i="3"/>
  <c r="BH215" i="3"/>
  <c r="BL215" i="3"/>
  <c r="BP215" i="3"/>
  <c r="BG107" i="3"/>
  <c r="AP107" i="3"/>
  <c r="Y107" i="3"/>
  <c r="AO107" i="3"/>
  <c r="X107" i="3"/>
  <c r="BE107" i="3"/>
  <c r="AN107" i="3"/>
  <c r="W107" i="3"/>
  <c r="I108" i="3"/>
  <c r="BD107" i="3"/>
  <c r="AM107" i="3"/>
  <c r="V107" i="3"/>
  <c r="BC107" i="3"/>
  <c r="AL107" i="3"/>
  <c r="U107" i="3"/>
  <c r="BS107" i="3"/>
  <c r="BB107" i="3"/>
  <c r="AK107" i="3"/>
  <c r="T107" i="3"/>
  <c r="BR107" i="3"/>
  <c r="BA107" i="3"/>
  <c r="AJ107" i="3"/>
  <c r="S107" i="3"/>
  <c r="BQ107" i="3"/>
  <c r="AZ107" i="3"/>
  <c r="AI107" i="3"/>
  <c r="R107" i="3"/>
  <c r="I109" i="3"/>
  <c r="BP107" i="3"/>
  <c r="AY107" i="3"/>
  <c r="AH107" i="3"/>
  <c r="Q107" i="3"/>
  <c r="J110" i="3"/>
  <c r="BL107" i="3"/>
  <c r="AU107" i="3"/>
  <c r="AD107" i="3"/>
  <c r="L107" i="3"/>
  <c r="BN107" i="3"/>
  <c r="I110" i="3"/>
  <c r="BM107" i="3"/>
  <c r="BK107" i="3"/>
  <c r="AX107" i="3"/>
  <c r="AW107" i="3"/>
  <c r="AV107" i="3"/>
  <c r="AT107" i="3"/>
  <c r="AG107" i="3"/>
  <c r="AF107" i="3"/>
  <c r="AE107" i="3"/>
  <c r="AB107" i="3"/>
  <c r="K107" i="3"/>
  <c r="BO107" i="3"/>
  <c r="P107" i="3"/>
  <c r="O107" i="3"/>
  <c r="N107" i="3"/>
  <c r="I54" i="3"/>
  <c r="BD52" i="3"/>
  <c r="AN52" i="3"/>
  <c r="X52" i="3"/>
  <c r="I55" i="3"/>
  <c r="BS52" i="3"/>
  <c r="BC52" i="3"/>
  <c r="AM52" i="3"/>
  <c r="W52" i="3"/>
  <c r="J57" i="3"/>
  <c r="I56" i="3"/>
  <c r="J56" i="3" s="1"/>
  <c r="BR52" i="3"/>
  <c r="BB52" i="3"/>
  <c r="AL52" i="3"/>
  <c r="V52" i="3"/>
  <c r="I57" i="3"/>
  <c r="I58" i="3"/>
  <c r="J60" i="3"/>
  <c r="I59" i="3"/>
  <c r="J59" i="3" s="1"/>
  <c r="BO52" i="3"/>
  <c r="AY52" i="3"/>
  <c r="AI52" i="3"/>
  <c r="S52" i="3"/>
  <c r="BM52" i="3"/>
  <c r="AE52" i="3"/>
  <c r="BL52" i="3"/>
  <c r="AD52" i="3"/>
  <c r="BK52" i="3"/>
  <c r="U52" i="3"/>
  <c r="BJ52" i="3"/>
  <c r="T52" i="3"/>
  <c r="BA52" i="3"/>
  <c r="R52" i="3"/>
  <c r="AZ52" i="3"/>
  <c r="Q52" i="3"/>
  <c r="AX52" i="3"/>
  <c r="P52" i="3"/>
  <c r="I60" i="3"/>
  <c r="AW52" i="3"/>
  <c r="O52" i="3"/>
  <c r="AV52" i="3"/>
  <c r="N52" i="3"/>
  <c r="AU52" i="3"/>
  <c r="AT52" i="3"/>
  <c r="AK52" i="3"/>
  <c r="AF52" i="3"/>
  <c r="BQ52" i="3"/>
  <c r="BP52" i="3"/>
  <c r="BN52" i="3"/>
  <c r="AJ52" i="3"/>
  <c r="AH52" i="3"/>
  <c r="AG52" i="3"/>
  <c r="Y52" i="3"/>
  <c r="AW81" i="3"/>
  <c r="BA81" i="3"/>
  <c r="BD103" i="3"/>
  <c r="BH103" i="3"/>
  <c r="BL103" i="3"/>
  <c r="BP103" i="3"/>
  <c r="BK32" i="3"/>
  <c r="AU32" i="3"/>
  <c r="AE32" i="3"/>
  <c r="O32" i="3"/>
  <c r="BN32" i="3"/>
  <c r="AW32" i="3"/>
  <c r="AF32" i="3"/>
  <c r="N32" i="3"/>
  <c r="BM32" i="3"/>
  <c r="AV32" i="3"/>
  <c r="AD32" i="3"/>
  <c r="M32" i="3"/>
  <c r="L32" i="3"/>
  <c r="BL32" i="3"/>
  <c r="AT32" i="3"/>
  <c r="AC32" i="3"/>
  <c r="BJ32" i="3"/>
  <c r="AS32" i="3"/>
  <c r="AB32" i="3"/>
  <c r="K32" i="3"/>
  <c r="BI32" i="3"/>
  <c r="AR32" i="3"/>
  <c r="AA32" i="3"/>
  <c r="BH32" i="3"/>
  <c r="AQ32" i="3"/>
  <c r="Z32" i="3"/>
  <c r="BG32" i="3"/>
  <c r="AP32" i="3"/>
  <c r="Y32" i="3"/>
  <c r="BF32" i="3"/>
  <c r="AO32" i="3"/>
  <c r="X32" i="3"/>
  <c r="BE32" i="3"/>
  <c r="AN32" i="3"/>
  <c r="W32" i="3"/>
  <c r="BD32" i="3"/>
  <c r="AM32" i="3"/>
  <c r="V32" i="3"/>
  <c r="BC32" i="3"/>
  <c r="AL32" i="3"/>
  <c r="U32" i="3"/>
  <c r="BS32" i="3"/>
  <c r="BB32" i="3"/>
  <c r="AK32" i="3"/>
  <c r="T32" i="3"/>
  <c r="R32" i="3"/>
  <c r="Q32" i="3"/>
  <c r="P32" i="3"/>
  <c r="BR32" i="3"/>
  <c r="BQ32" i="3"/>
  <c r="BP32" i="3"/>
  <c r="BO32" i="3"/>
  <c r="BA32" i="3"/>
  <c r="AZ32" i="3"/>
  <c r="AY32" i="3"/>
  <c r="AX32" i="3"/>
  <c r="AJ32" i="3"/>
  <c r="AI32" i="3"/>
  <c r="AH32" i="3"/>
  <c r="AG32" i="3"/>
  <c r="S32" i="3"/>
  <c r="J21" i="3"/>
  <c r="AP21" i="3" s="1"/>
  <c r="J47" i="3"/>
  <c r="Y47" i="3" s="1"/>
  <c r="R6" i="3"/>
  <c r="AZ6" i="3"/>
  <c r="R31" i="3"/>
  <c r="AM31" i="3"/>
  <c r="AT31" i="3"/>
  <c r="O40" i="3"/>
  <c r="BK40" i="3"/>
  <c r="S40" i="3"/>
  <c r="BE6" i="3"/>
  <c r="J41" i="3"/>
  <c r="BR296" i="3"/>
  <c r="BA296" i="3"/>
  <c r="AJ296" i="3"/>
  <c r="S296" i="3"/>
  <c r="BH255" i="3"/>
  <c r="AR255" i="3"/>
  <c r="AB255" i="3"/>
  <c r="L255" i="3"/>
  <c r="BG255" i="3"/>
  <c r="AQ255" i="3"/>
  <c r="AA255" i="3"/>
  <c r="K255" i="3"/>
  <c r="BF255" i="3"/>
  <c r="AP255" i="3"/>
  <c r="Z255" i="3"/>
  <c r="BE255" i="3"/>
  <c r="AO255" i="3"/>
  <c r="Y255" i="3"/>
  <c r="BD255" i="3"/>
  <c r="AN255" i="3"/>
  <c r="X255" i="3"/>
  <c r="BP255" i="3"/>
  <c r="AZ255" i="3"/>
  <c r="AJ255" i="3"/>
  <c r="T255" i="3"/>
  <c r="BN255" i="3"/>
  <c r="AM255" i="3"/>
  <c r="P255" i="3"/>
  <c r="BM255" i="3"/>
  <c r="AL255" i="3"/>
  <c r="O255" i="3"/>
  <c r="BL255" i="3"/>
  <c r="AK255" i="3"/>
  <c r="N255" i="3"/>
  <c r="BK255" i="3"/>
  <c r="AI255" i="3"/>
  <c r="M255" i="3"/>
  <c r="BJ255" i="3"/>
  <c r="AH255" i="3"/>
  <c r="BI255" i="3"/>
  <c r="AG255" i="3"/>
  <c r="BC255" i="3"/>
  <c r="AF255" i="3"/>
  <c r="BB255" i="3"/>
  <c r="AE255" i="3"/>
  <c r="BA255" i="3"/>
  <c r="AD255" i="3"/>
  <c r="AY255" i="3"/>
  <c r="AC255" i="3"/>
  <c r="AX255" i="3"/>
  <c r="W255" i="3"/>
  <c r="AW255" i="3"/>
  <c r="V255" i="3"/>
  <c r="AV255" i="3"/>
  <c r="AU255" i="3"/>
  <c r="AT255" i="3"/>
  <c r="AS255" i="3"/>
  <c r="U255" i="3"/>
  <c r="S255" i="3"/>
  <c r="R255" i="3"/>
  <c r="Q255" i="3"/>
  <c r="BR255" i="3"/>
  <c r="BQ255" i="3"/>
  <c r="BO255" i="3"/>
  <c r="BS255" i="3"/>
  <c r="BO266" i="3"/>
  <c r="AY266" i="3"/>
  <c r="AI266" i="3"/>
  <c r="S266" i="3"/>
  <c r="BN266" i="3"/>
  <c r="AX266" i="3"/>
  <c r="AH266" i="3"/>
  <c r="R266" i="3"/>
  <c r="BM266" i="3"/>
  <c r="AW266" i="3"/>
  <c r="AG266" i="3"/>
  <c r="Q266" i="3"/>
  <c r="BL266" i="3"/>
  <c r="AV266" i="3"/>
  <c r="AF266" i="3"/>
  <c r="P266" i="3"/>
  <c r="BK266" i="3"/>
  <c r="AU266" i="3"/>
  <c r="AE266" i="3"/>
  <c r="O266" i="3"/>
  <c r="BJ266" i="3"/>
  <c r="AT266" i="3"/>
  <c r="AD266" i="3"/>
  <c r="N266" i="3"/>
  <c r="BI266" i="3"/>
  <c r="AS266" i="3"/>
  <c r="AC266" i="3"/>
  <c r="M266" i="3"/>
  <c r="BH266" i="3"/>
  <c r="AR266" i="3"/>
  <c r="AB266" i="3"/>
  <c r="L266" i="3"/>
  <c r="BG266" i="3"/>
  <c r="AQ266" i="3"/>
  <c r="AA266" i="3"/>
  <c r="K266" i="3"/>
  <c r="BF266" i="3"/>
  <c r="AP266" i="3"/>
  <c r="Z266" i="3"/>
  <c r="BE266" i="3"/>
  <c r="AO266" i="3"/>
  <c r="Y266" i="3"/>
  <c r="AZ266" i="3"/>
  <c r="AN266" i="3"/>
  <c r="AM266" i="3"/>
  <c r="AL266" i="3"/>
  <c r="AK266" i="3"/>
  <c r="AJ266" i="3"/>
  <c r="X266" i="3"/>
  <c r="W266" i="3"/>
  <c r="BS266" i="3"/>
  <c r="V266" i="3"/>
  <c r="BR266" i="3"/>
  <c r="U266" i="3"/>
  <c r="BQ266" i="3"/>
  <c r="T266" i="3"/>
  <c r="BP266" i="3"/>
  <c r="BD266" i="3"/>
  <c r="BC266" i="3"/>
  <c r="BB266" i="3"/>
  <c r="BA266" i="3"/>
  <c r="Z273" i="3"/>
  <c r="P273" i="3"/>
  <c r="BA273" i="3"/>
  <c r="BE273" i="3"/>
  <c r="AR267" i="3"/>
  <c r="AV267" i="3"/>
  <c r="AZ267" i="3"/>
  <c r="J243" i="3"/>
  <c r="BP242" i="3"/>
  <c r="Q258" i="3"/>
  <c r="AG258" i="3"/>
  <c r="X258" i="3"/>
  <c r="AD258" i="3"/>
  <c r="BD249" i="3"/>
  <c r="AN249" i="3"/>
  <c r="X249" i="3"/>
  <c r="BS249" i="3"/>
  <c r="BC249" i="3"/>
  <c r="AM249" i="3"/>
  <c r="W249" i="3"/>
  <c r="BR249" i="3"/>
  <c r="BB249" i="3"/>
  <c r="AL249" i="3"/>
  <c r="V249" i="3"/>
  <c r="BQ249" i="3"/>
  <c r="BA249" i="3"/>
  <c r="AK249" i="3"/>
  <c r="U249" i="3"/>
  <c r="AZ249" i="3"/>
  <c r="AF249" i="3"/>
  <c r="L249" i="3"/>
  <c r="AY249" i="3"/>
  <c r="AE249" i="3"/>
  <c r="K249" i="3"/>
  <c r="AX249" i="3"/>
  <c r="AD249" i="3"/>
  <c r="AW249" i="3"/>
  <c r="AC249" i="3"/>
  <c r="BP249" i="3"/>
  <c r="AV249" i="3"/>
  <c r="AB249" i="3"/>
  <c r="BO249" i="3"/>
  <c r="AU249" i="3"/>
  <c r="AA249" i="3"/>
  <c r="BN249" i="3"/>
  <c r="AT249" i="3"/>
  <c r="Z249" i="3"/>
  <c r="BM249" i="3"/>
  <c r="AS249" i="3"/>
  <c r="Y249" i="3"/>
  <c r="BL249" i="3"/>
  <c r="AR249" i="3"/>
  <c r="T249" i="3"/>
  <c r="BK249" i="3"/>
  <c r="AQ249" i="3"/>
  <c r="S249" i="3"/>
  <c r="BJ249" i="3"/>
  <c r="AP249" i="3"/>
  <c r="R249" i="3"/>
  <c r="BI249" i="3"/>
  <c r="AO249" i="3"/>
  <c r="Q249" i="3"/>
  <c r="BH249" i="3"/>
  <c r="BG249" i="3"/>
  <c r="BF249" i="3"/>
  <c r="BE249" i="3"/>
  <c r="AJ249" i="3"/>
  <c r="AI249" i="3"/>
  <c r="AH249" i="3"/>
  <c r="AG249" i="3"/>
  <c r="P249" i="3"/>
  <c r="O249" i="3"/>
  <c r="N249" i="3"/>
  <c r="M249" i="3"/>
  <c r="BK236" i="3"/>
  <c r="AU236" i="3"/>
  <c r="AE236" i="3"/>
  <c r="O236" i="3"/>
  <c r="BJ236" i="3"/>
  <c r="AT236" i="3"/>
  <c r="AD236" i="3"/>
  <c r="N236" i="3"/>
  <c r="BI236" i="3"/>
  <c r="AS236" i="3"/>
  <c r="AC236" i="3"/>
  <c r="M236" i="3"/>
  <c r="BH236" i="3"/>
  <c r="AR236" i="3"/>
  <c r="AB236" i="3"/>
  <c r="L236" i="3"/>
  <c r="BG236" i="3"/>
  <c r="AQ236" i="3"/>
  <c r="AA236" i="3"/>
  <c r="K236" i="3"/>
  <c r="BF236" i="3"/>
  <c r="AP236" i="3"/>
  <c r="Z236" i="3"/>
  <c r="BD236" i="3"/>
  <c r="AN236" i="3"/>
  <c r="X236" i="3"/>
  <c r="BS236" i="3"/>
  <c r="BC236" i="3"/>
  <c r="AM236" i="3"/>
  <c r="W236" i="3"/>
  <c r="BR236" i="3"/>
  <c r="BB236" i="3"/>
  <c r="AL236" i="3"/>
  <c r="V236" i="3"/>
  <c r="BQ236" i="3"/>
  <c r="BA236" i="3"/>
  <c r="AK236" i="3"/>
  <c r="U236" i="3"/>
  <c r="BP236" i="3"/>
  <c r="AZ236" i="3"/>
  <c r="AJ236" i="3"/>
  <c r="T236" i="3"/>
  <c r="AF236" i="3"/>
  <c r="Y236" i="3"/>
  <c r="S236" i="3"/>
  <c r="BO236" i="3"/>
  <c r="R236" i="3"/>
  <c r="BN236" i="3"/>
  <c r="Q236" i="3"/>
  <c r="BM236" i="3"/>
  <c r="P236" i="3"/>
  <c r="BL236" i="3"/>
  <c r="BE236" i="3"/>
  <c r="AY236" i="3"/>
  <c r="AX236" i="3"/>
  <c r="AW236" i="3"/>
  <c r="AV236" i="3"/>
  <c r="AO236" i="3"/>
  <c r="AI236" i="3"/>
  <c r="AH236" i="3"/>
  <c r="AG236" i="3"/>
  <c r="BO240" i="3"/>
  <c r="AY240" i="3"/>
  <c r="AI240" i="3"/>
  <c r="S240" i="3"/>
  <c r="BN240" i="3"/>
  <c r="AX240" i="3"/>
  <c r="AH240" i="3"/>
  <c r="R240" i="3"/>
  <c r="BM240" i="3"/>
  <c r="AW240" i="3"/>
  <c r="AG240" i="3"/>
  <c r="Q240" i="3"/>
  <c r="BL240" i="3"/>
  <c r="AV240" i="3"/>
  <c r="AF240" i="3"/>
  <c r="P240" i="3"/>
  <c r="BK240" i="3"/>
  <c r="AU240" i="3"/>
  <c r="AE240" i="3"/>
  <c r="O240" i="3"/>
  <c r="BJ240" i="3"/>
  <c r="AT240" i="3"/>
  <c r="AD240" i="3"/>
  <c r="N240" i="3"/>
  <c r="BI240" i="3"/>
  <c r="BH240" i="3"/>
  <c r="AR240" i="3"/>
  <c r="AB240" i="3"/>
  <c r="L240" i="3"/>
  <c r="BG240" i="3"/>
  <c r="AQ240" i="3"/>
  <c r="AA240" i="3"/>
  <c r="K240" i="3"/>
  <c r="BF240" i="3"/>
  <c r="AP240" i="3"/>
  <c r="Z240" i="3"/>
  <c r="BE240" i="3"/>
  <c r="AO240" i="3"/>
  <c r="Y240" i="3"/>
  <c r="BD240" i="3"/>
  <c r="AN240" i="3"/>
  <c r="X240" i="3"/>
  <c r="AJ240" i="3"/>
  <c r="AC240" i="3"/>
  <c r="W240" i="3"/>
  <c r="V240" i="3"/>
  <c r="BS240" i="3"/>
  <c r="U240" i="3"/>
  <c r="BR240" i="3"/>
  <c r="T240" i="3"/>
  <c r="BQ240" i="3"/>
  <c r="M240" i="3"/>
  <c r="BP240" i="3"/>
  <c r="BC240" i="3"/>
  <c r="BB240" i="3"/>
  <c r="BA240" i="3"/>
  <c r="AZ240" i="3"/>
  <c r="AS240" i="3"/>
  <c r="AM240" i="3"/>
  <c r="AL240" i="3"/>
  <c r="AK240" i="3"/>
  <c r="BL237" i="3"/>
  <c r="AV237" i="3"/>
  <c r="AF237" i="3"/>
  <c r="P237" i="3"/>
  <c r="BK237" i="3"/>
  <c r="AU237" i="3"/>
  <c r="AE237" i="3"/>
  <c r="O237" i="3"/>
  <c r="BJ237" i="3"/>
  <c r="AT237" i="3"/>
  <c r="AD237" i="3"/>
  <c r="N237" i="3"/>
  <c r="BI237" i="3"/>
  <c r="AS237" i="3"/>
  <c r="AC237" i="3"/>
  <c r="M237" i="3"/>
  <c r="BH237" i="3"/>
  <c r="AR237" i="3"/>
  <c r="AB237" i="3"/>
  <c r="L237" i="3"/>
  <c r="BG237" i="3"/>
  <c r="AQ237" i="3"/>
  <c r="AA237" i="3"/>
  <c r="K237" i="3"/>
  <c r="BE237" i="3"/>
  <c r="AO237" i="3"/>
  <c r="Y237" i="3"/>
  <c r="BD237" i="3"/>
  <c r="AN237" i="3"/>
  <c r="X237" i="3"/>
  <c r="BS237" i="3"/>
  <c r="BC237" i="3"/>
  <c r="AM237" i="3"/>
  <c r="W237" i="3"/>
  <c r="BR237" i="3"/>
  <c r="BB237" i="3"/>
  <c r="AL237" i="3"/>
  <c r="V237" i="3"/>
  <c r="BQ237" i="3"/>
  <c r="BA237" i="3"/>
  <c r="AK237" i="3"/>
  <c r="U237" i="3"/>
  <c r="BO237" i="3"/>
  <c r="R237" i="3"/>
  <c r="BN237" i="3"/>
  <c r="Q237" i="3"/>
  <c r="BM237" i="3"/>
  <c r="BF237" i="3"/>
  <c r="AZ237" i="3"/>
  <c r="AY237" i="3"/>
  <c r="AX237" i="3"/>
  <c r="AW237" i="3"/>
  <c r="AP237" i="3"/>
  <c r="AJ237" i="3"/>
  <c r="AI237" i="3"/>
  <c r="AH237" i="3"/>
  <c r="BP237" i="3"/>
  <c r="AG237" i="3"/>
  <c r="Z237" i="3"/>
  <c r="T237" i="3"/>
  <c r="S237" i="3"/>
  <c r="Z140" i="3"/>
  <c r="AN140" i="3"/>
  <c r="Y215" i="3"/>
  <c r="J218" i="3"/>
  <c r="M215" i="3"/>
  <c r="Q215" i="3"/>
  <c r="BH107" i="3"/>
  <c r="BF89" i="3"/>
  <c r="AP89" i="3"/>
  <c r="Z89" i="3"/>
  <c r="BE89" i="3"/>
  <c r="AO89" i="3"/>
  <c r="Y89" i="3"/>
  <c r="BD89" i="3"/>
  <c r="AN89" i="3"/>
  <c r="X89" i="3"/>
  <c r="BS89" i="3"/>
  <c r="BC89" i="3"/>
  <c r="AM89" i="3"/>
  <c r="W89" i="3"/>
  <c r="BR89" i="3"/>
  <c r="BB89" i="3"/>
  <c r="AL89" i="3"/>
  <c r="V89" i="3"/>
  <c r="BQ89" i="3"/>
  <c r="BA89" i="3"/>
  <c r="AK89" i="3"/>
  <c r="U89" i="3"/>
  <c r="BP89" i="3"/>
  <c r="AZ89" i="3"/>
  <c r="AJ89" i="3"/>
  <c r="T89" i="3"/>
  <c r="BO89" i="3"/>
  <c r="AY89" i="3"/>
  <c r="AI89" i="3"/>
  <c r="S89" i="3"/>
  <c r="BN89" i="3"/>
  <c r="AX89" i="3"/>
  <c r="AH89" i="3"/>
  <c r="R89" i="3"/>
  <c r="BM89" i="3"/>
  <c r="AW89" i="3"/>
  <c r="AG89" i="3"/>
  <c r="Q89" i="3"/>
  <c r="BL89" i="3"/>
  <c r="AV89" i="3"/>
  <c r="AF89" i="3"/>
  <c r="P89" i="3"/>
  <c r="AR89" i="3"/>
  <c r="AQ89" i="3"/>
  <c r="AE89" i="3"/>
  <c r="AD89" i="3"/>
  <c r="AC89" i="3"/>
  <c r="AB89" i="3"/>
  <c r="AA89" i="3"/>
  <c r="O89" i="3"/>
  <c r="BK89" i="3"/>
  <c r="N89" i="3"/>
  <c r="BJ89" i="3"/>
  <c r="M89" i="3"/>
  <c r="BI89" i="3"/>
  <c r="L89" i="3"/>
  <c r="AT89" i="3"/>
  <c r="BH89" i="3"/>
  <c r="BG89" i="3"/>
  <c r="AU89" i="3"/>
  <c r="AS89" i="3"/>
  <c r="K89" i="3"/>
  <c r="BH50" i="3"/>
  <c r="AR50" i="3"/>
  <c r="AB50" i="3"/>
  <c r="L50" i="3"/>
  <c r="BG50" i="3"/>
  <c r="AQ50" i="3"/>
  <c r="AA50" i="3"/>
  <c r="K50" i="3"/>
  <c r="BF50" i="3"/>
  <c r="AP50" i="3"/>
  <c r="Z50" i="3"/>
  <c r="BE50" i="3"/>
  <c r="AO50" i="3"/>
  <c r="Y50" i="3"/>
  <c r="BD50" i="3"/>
  <c r="AN50" i="3"/>
  <c r="X50" i="3"/>
  <c r="BS50" i="3"/>
  <c r="BC50" i="3"/>
  <c r="BR50" i="3"/>
  <c r="BB50" i="3"/>
  <c r="AL50" i="3"/>
  <c r="V50" i="3"/>
  <c r="BQ50" i="3"/>
  <c r="BA50" i="3"/>
  <c r="AK50" i="3"/>
  <c r="U50" i="3"/>
  <c r="BN50" i="3"/>
  <c r="BI50" i="3"/>
  <c r="AD50" i="3"/>
  <c r="AZ50" i="3"/>
  <c r="AC50" i="3"/>
  <c r="AY50" i="3"/>
  <c r="W50" i="3"/>
  <c r="AX50" i="3"/>
  <c r="T50" i="3"/>
  <c r="AW50" i="3"/>
  <c r="S50" i="3"/>
  <c r="AV50" i="3"/>
  <c r="R50" i="3"/>
  <c r="AU50" i="3"/>
  <c r="Q50" i="3"/>
  <c r="AT50" i="3"/>
  <c r="P50" i="3"/>
  <c r="AS50" i="3"/>
  <c r="O50" i="3"/>
  <c r="AM50" i="3"/>
  <c r="N50" i="3"/>
  <c r="BP50" i="3"/>
  <c r="AJ50" i="3"/>
  <c r="M50" i="3"/>
  <c r="BO50" i="3"/>
  <c r="AI50" i="3"/>
  <c r="BM50" i="3"/>
  <c r="BL50" i="3"/>
  <c r="BK50" i="3"/>
  <c r="BJ50" i="3"/>
  <c r="AH50" i="3"/>
  <c r="AG50" i="3"/>
  <c r="AF50" i="3"/>
  <c r="AE50" i="3"/>
  <c r="BM81" i="3"/>
  <c r="BQ81" i="3"/>
  <c r="BL123" i="3"/>
  <c r="AV123" i="3"/>
  <c r="AF123" i="3"/>
  <c r="P123" i="3"/>
  <c r="BK123" i="3"/>
  <c r="AU123" i="3"/>
  <c r="AE123" i="3"/>
  <c r="O123" i="3"/>
  <c r="BI123" i="3"/>
  <c r="AQ123" i="3"/>
  <c r="Y123" i="3"/>
  <c r="BH123" i="3"/>
  <c r="AP123" i="3"/>
  <c r="X123" i="3"/>
  <c r="BG123" i="3"/>
  <c r="AO123" i="3"/>
  <c r="W123" i="3"/>
  <c r="BF123" i="3"/>
  <c r="AN123" i="3"/>
  <c r="V123" i="3"/>
  <c r="BE123" i="3"/>
  <c r="AM123" i="3"/>
  <c r="U123" i="3"/>
  <c r="BD123" i="3"/>
  <c r="AL123" i="3"/>
  <c r="T123" i="3"/>
  <c r="BB123" i="3"/>
  <c r="AJ123" i="3"/>
  <c r="R123" i="3"/>
  <c r="BS123" i="3"/>
  <c r="BA123" i="3"/>
  <c r="AI123" i="3"/>
  <c r="Q123" i="3"/>
  <c r="BR123" i="3"/>
  <c r="AZ123" i="3"/>
  <c r="AH123" i="3"/>
  <c r="N123" i="3"/>
  <c r="BQ123" i="3"/>
  <c r="AY123" i="3"/>
  <c r="AG123" i="3"/>
  <c r="M123" i="3"/>
  <c r="BP123" i="3"/>
  <c r="AX123" i="3"/>
  <c r="AD123" i="3"/>
  <c r="L123" i="3"/>
  <c r="BO123" i="3"/>
  <c r="AW123" i="3"/>
  <c r="AC123" i="3"/>
  <c r="K123" i="3"/>
  <c r="AA123" i="3"/>
  <c r="Z123" i="3"/>
  <c r="S123" i="3"/>
  <c r="BN123" i="3"/>
  <c r="BM123" i="3"/>
  <c r="BJ123" i="3"/>
  <c r="BC123" i="3"/>
  <c r="AK123" i="3"/>
  <c r="AT123" i="3"/>
  <c r="AS123" i="3"/>
  <c r="AR123" i="3"/>
  <c r="AB123" i="3"/>
  <c r="BM124" i="3"/>
  <c r="AW124" i="3"/>
  <c r="AG124" i="3"/>
  <c r="Q124" i="3"/>
  <c r="BL124" i="3"/>
  <c r="AV124" i="3"/>
  <c r="AF124" i="3"/>
  <c r="P124" i="3"/>
  <c r="BB124" i="3"/>
  <c r="AJ124" i="3"/>
  <c r="R124" i="3"/>
  <c r="BS124" i="3"/>
  <c r="BA124" i="3"/>
  <c r="AI124" i="3"/>
  <c r="O124" i="3"/>
  <c r="BR124" i="3"/>
  <c r="AZ124" i="3"/>
  <c r="AH124" i="3"/>
  <c r="N124" i="3"/>
  <c r="BQ124" i="3"/>
  <c r="AY124" i="3"/>
  <c r="AE124" i="3"/>
  <c r="M124" i="3"/>
  <c r="BP124" i="3"/>
  <c r="AX124" i="3"/>
  <c r="AD124" i="3"/>
  <c r="L124" i="3"/>
  <c r="BO124" i="3"/>
  <c r="AU124" i="3"/>
  <c r="AC124" i="3"/>
  <c r="K124" i="3"/>
  <c r="BK124" i="3"/>
  <c r="AS124" i="3"/>
  <c r="AA124" i="3"/>
  <c r="BJ124" i="3"/>
  <c r="AR124" i="3"/>
  <c r="Z124" i="3"/>
  <c r="BI124" i="3"/>
  <c r="AQ124" i="3"/>
  <c r="Y124" i="3"/>
  <c r="BH124" i="3"/>
  <c r="AP124" i="3"/>
  <c r="X124" i="3"/>
  <c r="BG124" i="3"/>
  <c r="AO124" i="3"/>
  <c r="W124" i="3"/>
  <c r="BF124" i="3"/>
  <c r="AN124" i="3"/>
  <c r="V124" i="3"/>
  <c r="AL124" i="3"/>
  <c r="AK124" i="3"/>
  <c r="AB124" i="3"/>
  <c r="U124" i="3"/>
  <c r="T124" i="3"/>
  <c r="S124" i="3"/>
  <c r="BN124" i="3"/>
  <c r="AT124" i="3"/>
  <c r="BE124" i="3"/>
  <c r="BD124" i="3"/>
  <c r="BC124" i="3"/>
  <c r="AM124" i="3"/>
  <c r="BE103" i="3"/>
  <c r="M103" i="3"/>
  <c r="BH29" i="3"/>
  <c r="AR29" i="3"/>
  <c r="BO29" i="3"/>
  <c r="AX29" i="3"/>
  <c r="AG29" i="3"/>
  <c r="Q29" i="3"/>
  <c r="BN29" i="3"/>
  <c r="AW29" i="3"/>
  <c r="AF29" i="3"/>
  <c r="P29" i="3"/>
  <c r="BM29" i="3"/>
  <c r="AE29" i="3"/>
  <c r="AV29" i="3"/>
  <c r="O29" i="3"/>
  <c r="BL29" i="3"/>
  <c r="AU29" i="3"/>
  <c r="AD29" i="3"/>
  <c r="N29" i="3"/>
  <c r="BK29" i="3"/>
  <c r="AT29" i="3"/>
  <c r="AC29" i="3"/>
  <c r="M29" i="3"/>
  <c r="BJ29" i="3"/>
  <c r="AS29" i="3"/>
  <c r="AB29" i="3"/>
  <c r="L29" i="3"/>
  <c r="BI29" i="3"/>
  <c r="AQ29" i="3"/>
  <c r="AA29" i="3"/>
  <c r="K29" i="3"/>
  <c r="BG29" i="3"/>
  <c r="AP29" i="3"/>
  <c r="Z29" i="3"/>
  <c r="BF29" i="3"/>
  <c r="AO29" i="3"/>
  <c r="Y29" i="3"/>
  <c r="BE29" i="3"/>
  <c r="AN29" i="3"/>
  <c r="X29" i="3"/>
  <c r="BD29" i="3"/>
  <c r="AM29" i="3"/>
  <c r="W29" i="3"/>
  <c r="BC29" i="3"/>
  <c r="AL29" i="3"/>
  <c r="V29" i="3"/>
  <c r="BS29" i="3"/>
  <c r="BR29" i="3"/>
  <c r="BQ29" i="3"/>
  <c r="BP29" i="3"/>
  <c r="BB29" i="3"/>
  <c r="BA29" i="3"/>
  <c r="AZ29" i="3"/>
  <c r="AY29" i="3"/>
  <c r="AK29" i="3"/>
  <c r="AJ29" i="3"/>
  <c r="AI29" i="3"/>
  <c r="AH29" i="3"/>
  <c r="U29" i="3"/>
  <c r="T29" i="3"/>
  <c r="S29" i="3"/>
  <c r="R29" i="3"/>
  <c r="BG49" i="3"/>
  <c r="AQ49" i="3"/>
  <c r="AA49" i="3"/>
  <c r="K49" i="3"/>
  <c r="BF49" i="3"/>
  <c r="AP49" i="3"/>
  <c r="Z49" i="3"/>
  <c r="BE49" i="3"/>
  <c r="AO49" i="3"/>
  <c r="Y49" i="3"/>
  <c r="BD49" i="3"/>
  <c r="AN49" i="3"/>
  <c r="X49" i="3"/>
  <c r="BS49" i="3"/>
  <c r="BC49" i="3"/>
  <c r="AM49" i="3"/>
  <c r="W49" i="3"/>
  <c r="BQ49" i="3"/>
  <c r="BA49" i="3"/>
  <c r="AK49" i="3"/>
  <c r="U49" i="3"/>
  <c r="BP49" i="3"/>
  <c r="AZ49" i="3"/>
  <c r="AJ49" i="3"/>
  <c r="T49" i="3"/>
  <c r="BK49" i="3"/>
  <c r="AG49" i="3"/>
  <c r="BJ49" i="3"/>
  <c r="AF49" i="3"/>
  <c r="BI49" i="3"/>
  <c r="AE49" i="3"/>
  <c r="BH49" i="3"/>
  <c r="AD49" i="3"/>
  <c r="BB49" i="3"/>
  <c r="AC49" i="3"/>
  <c r="AY49" i="3"/>
  <c r="AB49" i="3"/>
  <c r="AX49" i="3"/>
  <c r="V49" i="3"/>
  <c r="AW49" i="3"/>
  <c r="S49" i="3"/>
  <c r="AV49" i="3"/>
  <c r="R49" i="3"/>
  <c r="AU49" i="3"/>
  <c r="Q49" i="3"/>
  <c r="AT49" i="3"/>
  <c r="P49" i="3"/>
  <c r="BR49" i="3"/>
  <c r="AS49" i="3"/>
  <c r="O49" i="3"/>
  <c r="AI49" i="3"/>
  <c r="AH49" i="3"/>
  <c r="N49" i="3"/>
  <c r="M49" i="3"/>
  <c r="L49" i="3"/>
  <c r="BO49" i="3"/>
  <c r="BN49" i="3"/>
  <c r="BM49" i="3"/>
  <c r="BL49" i="3"/>
  <c r="AR49" i="3"/>
  <c r="AL49" i="3"/>
  <c r="AG6" i="3"/>
  <c r="AI31" i="3"/>
  <c r="BD31" i="3"/>
  <c r="BJ31" i="3"/>
  <c r="AM40" i="3"/>
  <c r="X40" i="3"/>
  <c r="I7" i="3"/>
  <c r="I11" i="3"/>
  <c r="J11" i="3" s="1"/>
  <c r="AR8" i="4" l="1"/>
  <c r="AY8" i="4"/>
  <c r="P8" i="4"/>
  <c r="BC8" i="4"/>
  <c r="AT8" i="4"/>
  <c r="AE8" i="4"/>
  <c r="AN8" i="4"/>
  <c r="AA8" i="4"/>
  <c r="T42" i="4"/>
  <c r="BR42" i="4"/>
  <c r="AM42" i="4"/>
  <c r="AU8" i="4"/>
  <c r="AZ8" i="4"/>
  <c r="BK8" i="4"/>
  <c r="AQ8" i="4"/>
  <c r="BK42" i="4"/>
  <c r="AE42" i="4"/>
  <c r="BE42" i="4"/>
  <c r="AN39" i="4"/>
  <c r="Y39" i="4"/>
  <c r="BS39" i="4"/>
  <c r="BM8" i="4"/>
  <c r="AF8" i="4"/>
  <c r="T8" i="4"/>
  <c r="BG8" i="4"/>
  <c r="V42" i="4"/>
  <c r="BB42" i="4"/>
  <c r="W42" i="4"/>
  <c r="BB12" i="4"/>
  <c r="AE12" i="4"/>
  <c r="AZ13" i="4"/>
  <c r="AK13" i="4"/>
  <c r="Z13" i="4"/>
  <c r="BJ13" i="4"/>
  <c r="Q21" i="4"/>
  <c r="Y21" i="4"/>
  <c r="AE21" i="4"/>
  <c r="N28" i="4"/>
  <c r="BT28" i="4"/>
  <c r="BN28" i="4"/>
  <c r="AS28" i="4"/>
  <c r="BN8" i="4"/>
  <c r="BD8" i="4"/>
  <c r="AO8" i="4"/>
  <c r="M8" i="4"/>
  <c r="BL42" i="4"/>
  <c r="AF42" i="4"/>
  <c r="AQ42" i="4"/>
  <c r="W28" i="4"/>
  <c r="T28" i="4"/>
  <c r="AI28" i="4"/>
  <c r="BK28" i="4"/>
  <c r="BO8" i="4"/>
  <c r="AG8" i="4"/>
  <c r="BL8" i="4"/>
  <c r="AC8" i="4"/>
  <c r="X42" i="4"/>
  <c r="BC42" i="4"/>
  <c r="BH42" i="4"/>
  <c r="O23" i="4"/>
  <c r="AE28" i="4"/>
  <c r="AW28" i="4"/>
  <c r="BO28" i="4"/>
  <c r="AC28" i="4"/>
  <c r="BP8" i="4"/>
  <c r="BE8" i="4"/>
  <c r="Q8" i="4"/>
  <c r="AS8" i="4"/>
  <c r="BM42" i="4"/>
  <c r="L42" i="4"/>
  <c r="S42" i="4"/>
  <c r="AZ23" i="4"/>
  <c r="AL28" i="4"/>
  <c r="X28" i="4"/>
  <c r="O28" i="4"/>
  <c r="AU28" i="4"/>
  <c r="Y8" i="4"/>
  <c r="L8" i="4"/>
  <c r="AI8" i="4"/>
  <c r="BI8" i="4"/>
  <c r="AB42" i="4"/>
  <c r="AJ42" i="4"/>
  <c r="AI42" i="4"/>
  <c r="AP28" i="4"/>
  <c r="AY28" i="4"/>
  <c r="AJ28" i="4"/>
  <c r="BM28" i="4"/>
  <c r="AE39" i="4"/>
  <c r="N39" i="4"/>
  <c r="BR39" i="4"/>
  <c r="AO39" i="4"/>
  <c r="AV8" i="4"/>
  <c r="AH8" i="4"/>
  <c r="BA8" i="4"/>
  <c r="BN42" i="4"/>
  <c r="BF42" i="4"/>
  <c r="AY42" i="4"/>
  <c r="AL12" i="4"/>
  <c r="AC13" i="4"/>
  <c r="Q13" i="4"/>
  <c r="BO13" i="4"/>
  <c r="AQ21" i="4"/>
  <c r="P21" i="4"/>
  <c r="BD21" i="4"/>
  <c r="AZ21" i="4"/>
  <c r="AR28" i="4"/>
  <c r="Y28" i="4"/>
  <c r="BH28" i="4"/>
  <c r="V28" i="4"/>
  <c r="BB39" i="4"/>
  <c r="BC39" i="4"/>
  <c r="AA39" i="4"/>
  <c r="BG39" i="4"/>
  <c r="BQ8" i="4"/>
  <c r="BF8" i="4"/>
  <c r="BS8" i="4"/>
  <c r="AD42" i="4"/>
  <c r="AC42" i="4"/>
  <c r="N42" i="4"/>
  <c r="BO42" i="4"/>
  <c r="BH12" i="4"/>
  <c r="BC13" i="4"/>
  <c r="AN13" i="4"/>
  <c r="AB13" i="4"/>
  <c r="AY21" i="4"/>
  <c r="AO21" i="4"/>
  <c r="AF21" i="4"/>
  <c r="BQ21" i="4"/>
  <c r="AX28" i="4"/>
  <c r="AZ28" i="4"/>
  <c r="P28" i="4"/>
  <c r="AM28" i="4"/>
  <c r="BI39" i="4"/>
  <c r="Q39" i="4"/>
  <c r="AV39" i="4"/>
  <c r="P39" i="4"/>
  <c r="Z8" i="4"/>
  <c r="N8" i="4"/>
  <c r="R8" i="4"/>
  <c r="AS42" i="4"/>
  <c r="AP42" i="4"/>
  <c r="AK42" i="4"/>
  <c r="BJ12" i="4"/>
  <c r="AG13" i="4"/>
  <c r="BM13" i="4"/>
  <c r="AW13" i="4"/>
  <c r="BG21" i="4"/>
  <c r="BK21" i="4"/>
  <c r="BE21" i="4"/>
  <c r="T21" i="4"/>
  <c r="BC28" i="4"/>
  <c r="AB28" i="4"/>
  <c r="AK28" i="4"/>
  <c r="BD28" i="4"/>
  <c r="AV11" i="4"/>
  <c r="AG11" i="4"/>
  <c r="BO11" i="4"/>
  <c r="W11" i="4"/>
  <c r="BK11" i="4"/>
  <c r="BE11" i="4"/>
  <c r="BD11" i="4"/>
  <c r="BG11" i="4"/>
  <c r="M11" i="4"/>
  <c r="Q11" i="4"/>
  <c r="V11" i="4"/>
  <c r="BI11" i="4"/>
  <c r="AQ11" i="4"/>
  <c r="BP11" i="4"/>
  <c r="BH11" i="4"/>
  <c r="BQ11" i="4"/>
  <c r="AM11" i="4"/>
  <c r="AL11" i="4"/>
  <c r="BA11" i="4"/>
  <c r="AF11" i="4"/>
  <c r="AI11" i="4"/>
  <c r="AO11" i="4"/>
  <c r="BJ11" i="4"/>
  <c r="BC11" i="4"/>
  <c r="Y11" i="4"/>
  <c r="AA11" i="4"/>
  <c r="Z11" i="4"/>
  <c r="AB11" i="4"/>
  <c r="AS11" i="4"/>
  <c r="O11" i="4"/>
  <c r="T11" i="4"/>
  <c r="AH11" i="4"/>
  <c r="BT11" i="4"/>
  <c r="AK11" i="4"/>
  <c r="AZ11" i="4"/>
  <c r="S11" i="4"/>
  <c r="N11" i="4"/>
  <c r="BR11" i="4"/>
  <c r="L11" i="4"/>
  <c r="BM11" i="4"/>
  <c r="BF11" i="4"/>
  <c r="AY11" i="4"/>
  <c r="BN11" i="4"/>
  <c r="AX11" i="4"/>
  <c r="AT11" i="4"/>
  <c r="AJ11" i="4"/>
  <c r="U11" i="4"/>
  <c r="X11" i="4"/>
  <c r="AW11" i="4"/>
  <c r="BB11" i="4"/>
  <c r="AR11" i="4"/>
  <c r="AN11" i="4"/>
  <c r="BL11" i="4"/>
  <c r="AE11" i="4"/>
  <c r="AD11" i="4"/>
  <c r="R11" i="4"/>
  <c r="AP11" i="4"/>
  <c r="AU11" i="4"/>
  <c r="BS11" i="4"/>
  <c r="AC11" i="4"/>
  <c r="P11" i="4"/>
  <c r="BE26" i="4"/>
  <c r="W26" i="4"/>
  <c r="BK26" i="4"/>
  <c r="BP26" i="4"/>
  <c r="BI26" i="4"/>
  <c r="Q26" i="4"/>
  <c r="AR26" i="4"/>
  <c r="BM26" i="4"/>
  <c r="AT26" i="4"/>
  <c r="P26" i="4"/>
  <c r="BQ26" i="4"/>
  <c r="X26" i="4"/>
  <c r="AL26" i="4"/>
  <c r="BJ26" i="4"/>
  <c r="AE26" i="4"/>
  <c r="BB26" i="4"/>
  <c r="V26" i="4"/>
  <c r="BH26" i="4"/>
  <c r="AI26" i="4"/>
  <c r="AO26" i="4"/>
  <c r="J26" i="4"/>
  <c r="AN26" i="4" s="1"/>
  <c r="BJ39" i="4"/>
  <c r="BD39" i="4"/>
  <c r="BT39" i="4"/>
  <c r="AG39" i="4"/>
  <c r="V8" i="4"/>
  <c r="AW8" i="4"/>
  <c r="AL8" i="4"/>
  <c r="AJ8" i="4"/>
  <c r="AT42" i="4"/>
  <c r="AR42" i="4"/>
  <c r="BI42" i="4"/>
  <c r="T13" i="4"/>
  <c r="BD13" i="4"/>
  <c r="R13" i="4"/>
  <c r="BQ13" i="4"/>
  <c r="BH21" i="4"/>
  <c r="U21" i="4"/>
  <c r="AG21" i="4"/>
  <c r="AK21" i="4"/>
  <c r="BP28" i="4"/>
  <c r="BA28" i="4"/>
  <c r="BI28" i="4"/>
  <c r="AA28" i="4"/>
  <c r="AY12" i="4"/>
  <c r="AP12" i="4"/>
  <c r="AR12" i="4"/>
  <c r="AG12" i="4"/>
  <c r="BR12" i="4"/>
  <c r="AF12" i="4"/>
  <c r="AO12" i="4"/>
  <c r="BK12" i="4"/>
  <c r="AU12" i="4"/>
  <c r="AB12" i="4"/>
  <c r="BO12" i="4"/>
  <c r="AI12" i="4"/>
  <c r="AN12" i="4"/>
  <c r="BC12" i="4"/>
  <c r="BI12" i="4"/>
  <c r="AW12" i="4"/>
  <c r="AM12" i="4"/>
  <c r="U12" i="4"/>
  <c r="AD12" i="4"/>
  <c r="Q12" i="4"/>
  <c r="O12" i="4"/>
  <c r="AA12" i="4"/>
  <c r="BA12" i="4"/>
  <c r="T12" i="4"/>
  <c r="AC12" i="4"/>
  <c r="X12" i="4"/>
  <c r="BS12" i="4"/>
  <c r="AQ12" i="4"/>
  <c r="BE12" i="4"/>
  <c r="BQ12" i="4"/>
  <c r="AT12" i="4"/>
  <c r="W12" i="4"/>
  <c r="J22" i="4"/>
  <c r="BL39" i="4"/>
  <c r="T39" i="4"/>
  <c r="AB39" i="4"/>
  <c r="U8" i="4"/>
  <c r="BR8" i="4"/>
  <c r="BH8" i="4"/>
  <c r="BT42" i="4"/>
  <c r="Y42" i="4"/>
  <c r="P42" i="4"/>
  <c r="U13" i="4"/>
  <c r="AH13" i="4"/>
  <c r="AO13" i="4"/>
  <c r="BI21" i="4"/>
  <c r="AR21" i="4"/>
  <c r="BF21" i="4"/>
  <c r="BQ28" i="4"/>
  <c r="AD28" i="4"/>
  <c r="R28" i="4"/>
  <c r="I18" i="1"/>
  <c r="K19" i="1"/>
  <c r="O163" i="3"/>
  <c r="AS163" i="3"/>
  <c r="BM275" i="3"/>
  <c r="BL275" i="3"/>
  <c r="AV275" i="3"/>
  <c r="AF275" i="3"/>
  <c r="P275" i="3"/>
  <c r="BP275" i="3"/>
  <c r="AX275" i="3"/>
  <c r="AG275" i="3"/>
  <c r="O275" i="3"/>
  <c r="BO275" i="3"/>
  <c r="AW275" i="3"/>
  <c r="AE275" i="3"/>
  <c r="N275" i="3"/>
  <c r="BN275" i="3"/>
  <c r="AU275" i="3"/>
  <c r="AD275" i="3"/>
  <c r="M275" i="3"/>
  <c r="BK275" i="3"/>
  <c r="AT275" i="3"/>
  <c r="AC275" i="3"/>
  <c r="L275" i="3"/>
  <c r="BJ275" i="3"/>
  <c r="AS275" i="3"/>
  <c r="AB275" i="3"/>
  <c r="K275" i="3"/>
  <c r="BI275" i="3"/>
  <c r="AR275" i="3"/>
  <c r="AA275" i="3"/>
  <c r="BH275" i="3"/>
  <c r="AQ275" i="3"/>
  <c r="Z275" i="3"/>
  <c r="BG275" i="3"/>
  <c r="AP275" i="3"/>
  <c r="Y275" i="3"/>
  <c r="BF275" i="3"/>
  <c r="AO275" i="3"/>
  <c r="X275" i="3"/>
  <c r="BE275" i="3"/>
  <c r="AN275" i="3"/>
  <c r="W275" i="3"/>
  <c r="BD275" i="3"/>
  <c r="AM275" i="3"/>
  <c r="V275" i="3"/>
  <c r="BC275" i="3"/>
  <c r="AL275" i="3"/>
  <c r="U275" i="3"/>
  <c r="BS275" i="3"/>
  <c r="BA275" i="3"/>
  <c r="AJ275" i="3"/>
  <c r="S275" i="3"/>
  <c r="BR275" i="3"/>
  <c r="BQ275" i="3"/>
  <c r="BB275" i="3"/>
  <c r="AZ275" i="3"/>
  <c r="AY275" i="3"/>
  <c r="AK275" i="3"/>
  <c r="AI275" i="3"/>
  <c r="AH275" i="3"/>
  <c r="T275" i="3"/>
  <c r="R275" i="3"/>
  <c r="Q275" i="3"/>
  <c r="N167" i="3"/>
  <c r="AT167" i="3"/>
  <c r="AE167" i="3"/>
  <c r="AN167" i="3"/>
  <c r="BM131" i="3"/>
  <c r="BH131" i="3"/>
  <c r="Z131" i="3"/>
  <c r="T131" i="3"/>
  <c r="L163" i="3"/>
  <c r="P163" i="3"/>
  <c r="AT163" i="3"/>
  <c r="U163" i="3"/>
  <c r="V213" i="3"/>
  <c r="AO213" i="3"/>
  <c r="BI213" i="3"/>
  <c r="BM213" i="3"/>
  <c r="Q198" i="3"/>
  <c r="BA198" i="3"/>
  <c r="BP243" i="3"/>
  <c r="BQ243" i="3"/>
  <c r="AZ243" i="3"/>
  <c r="AJ243" i="3"/>
  <c r="T243" i="3"/>
  <c r="BO243" i="3"/>
  <c r="AY243" i="3"/>
  <c r="AI243" i="3"/>
  <c r="S243" i="3"/>
  <c r="BN243" i="3"/>
  <c r="AX243" i="3"/>
  <c r="AH243" i="3"/>
  <c r="R243" i="3"/>
  <c r="BM243" i="3"/>
  <c r="AW243" i="3"/>
  <c r="AG243" i="3"/>
  <c r="Q243" i="3"/>
  <c r="BL243" i="3"/>
  <c r="AV243" i="3"/>
  <c r="AF243" i="3"/>
  <c r="P243" i="3"/>
  <c r="BK243" i="3"/>
  <c r="AU243" i="3"/>
  <c r="AE243" i="3"/>
  <c r="O243" i="3"/>
  <c r="BJ243" i="3"/>
  <c r="AT243" i="3"/>
  <c r="AD243" i="3"/>
  <c r="N243" i="3"/>
  <c r="BI243" i="3"/>
  <c r="AS243" i="3"/>
  <c r="AC243" i="3"/>
  <c r="M243" i="3"/>
  <c r="BH243" i="3"/>
  <c r="AR243" i="3"/>
  <c r="AB243" i="3"/>
  <c r="L243" i="3"/>
  <c r="BG243" i="3"/>
  <c r="AQ243" i="3"/>
  <c r="AA243" i="3"/>
  <c r="K243" i="3"/>
  <c r="BF243" i="3"/>
  <c r="AP243" i="3"/>
  <c r="Z243" i="3"/>
  <c r="BE243" i="3"/>
  <c r="AO243" i="3"/>
  <c r="Y243" i="3"/>
  <c r="W243" i="3"/>
  <c r="V243" i="3"/>
  <c r="U243" i="3"/>
  <c r="BS243" i="3"/>
  <c r="BR243" i="3"/>
  <c r="BD243" i="3"/>
  <c r="BC243" i="3"/>
  <c r="BB243" i="3"/>
  <c r="BA243" i="3"/>
  <c r="AN243" i="3"/>
  <c r="X243" i="3"/>
  <c r="AM243" i="3"/>
  <c r="AL243" i="3"/>
  <c r="AK243" i="3"/>
  <c r="AS43" i="3"/>
  <c r="BE43" i="3"/>
  <c r="S43" i="3"/>
  <c r="W43" i="3"/>
  <c r="K44" i="3"/>
  <c r="AP44" i="3"/>
  <c r="AZ44" i="3"/>
  <c r="BD44" i="3"/>
  <c r="X9" i="3"/>
  <c r="BE9" i="3"/>
  <c r="BG9" i="3"/>
  <c r="BN9" i="3"/>
  <c r="K195" i="3"/>
  <c r="N195" i="3"/>
  <c r="AS195" i="3"/>
  <c r="BQ195" i="3"/>
  <c r="BH141" i="3"/>
  <c r="AR141" i="3"/>
  <c r="AB141" i="3"/>
  <c r="L141" i="3"/>
  <c r="BG141" i="3"/>
  <c r="AQ141" i="3"/>
  <c r="AA141" i="3"/>
  <c r="K141" i="3"/>
  <c r="BF141" i="3"/>
  <c r="AP141" i="3"/>
  <c r="Z141" i="3"/>
  <c r="BE141" i="3"/>
  <c r="AO141" i="3"/>
  <c r="Y141" i="3"/>
  <c r="BD141" i="3"/>
  <c r="AN141" i="3"/>
  <c r="X141" i="3"/>
  <c r="BS141" i="3"/>
  <c r="BC141" i="3"/>
  <c r="AM141" i="3"/>
  <c r="W141" i="3"/>
  <c r="BR141" i="3"/>
  <c r="BB141" i="3"/>
  <c r="AL141" i="3"/>
  <c r="V141" i="3"/>
  <c r="BQ141" i="3"/>
  <c r="BA141" i="3"/>
  <c r="AK141" i="3"/>
  <c r="U141" i="3"/>
  <c r="BP141" i="3"/>
  <c r="AZ141" i="3"/>
  <c r="AJ141" i="3"/>
  <c r="T141" i="3"/>
  <c r="BO141" i="3"/>
  <c r="AY141" i="3"/>
  <c r="AI141" i="3"/>
  <c r="S141" i="3"/>
  <c r="BN141" i="3"/>
  <c r="AX141" i="3"/>
  <c r="AH141" i="3"/>
  <c r="R141" i="3"/>
  <c r="AE141" i="3"/>
  <c r="AD141" i="3"/>
  <c r="AC141" i="3"/>
  <c r="Q141" i="3"/>
  <c r="BM141" i="3"/>
  <c r="P141" i="3"/>
  <c r="BL141" i="3"/>
  <c r="O141" i="3"/>
  <c r="BJ141" i="3"/>
  <c r="M141" i="3"/>
  <c r="BI141" i="3"/>
  <c r="AW141" i="3"/>
  <c r="AV141" i="3"/>
  <c r="AU141" i="3"/>
  <c r="AT141" i="3"/>
  <c r="AF141" i="3"/>
  <c r="N141" i="3"/>
  <c r="AS141" i="3"/>
  <c r="BK141" i="3"/>
  <c r="AG141" i="3"/>
  <c r="BA10" i="3"/>
  <c r="AM10" i="3"/>
  <c r="AS10" i="3"/>
  <c r="AX10" i="3"/>
  <c r="BD63" i="3"/>
  <c r="AA63" i="3"/>
  <c r="AE63" i="3"/>
  <c r="AI63" i="3"/>
  <c r="AP84" i="3"/>
  <c r="AA84" i="3"/>
  <c r="M84" i="3"/>
  <c r="V84" i="3"/>
  <c r="BQ48" i="3"/>
  <c r="BJ48" i="3"/>
  <c r="T48" i="3"/>
  <c r="AO48" i="3"/>
  <c r="BN177" i="3"/>
  <c r="V177" i="3"/>
  <c r="BF177" i="3"/>
  <c r="BJ177" i="3"/>
  <c r="AC199" i="3"/>
  <c r="M199" i="3"/>
  <c r="AY199" i="3"/>
  <c r="Z199" i="3"/>
  <c r="BL323" i="3"/>
  <c r="BA323" i="3"/>
  <c r="V323" i="3"/>
  <c r="BF323" i="3"/>
  <c r="R17" i="4"/>
  <c r="AO17" i="4"/>
  <c r="AW17" i="4"/>
  <c r="AZ17" i="4"/>
  <c r="BL17" i="4"/>
  <c r="T17" i="4"/>
  <c r="AD17" i="4"/>
  <c r="O17" i="4"/>
  <c r="AV17" i="4"/>
  <c r="BJ17" i="4"/>
  <c r="BT17" i="4"/>
  <c r="AY17" i="4"/>
  <c r="AF17" i="4"/>
  <c r="AM17" i="4"/>
  <c r="AC17" i="4"/>
  <c r="N17" i="4"/>
  <c r="P17" i="4"/>
  <c r="S17" i="4"/>
  <c r="BR17" i="4"/>
  <c r="AU17" i="4"/>
  <c r="BH17" i="4"/>
  <c r="BG17" i="4"/>
  <c r="AB17" i="4"/>
  <c r="AT17" i="4"/>
  <c r="BI17" i="4"/>
  <c r="AL17" i="4"/>
  <c r="BQ17" i="4"/>
  <c r="AS17" i="4"/>
  <c r="X17" i="4"/>
  <c r="AI17" i="4"/>
  <c r="BP17" i="4"/>
  <c r="AK17" i="4"/>
  <c r="AN17" i="4"/>
  <c r="BB17" i="4"/>
  <c r="BO17" i="4"/>
  <c r="V17" i="4"/>
  <c r="AG17" i="4"/>
  <c r="Y17" i="4"/>
  <c r="BM17" i="4"/>
  <c r="L17" i="4"/>
  <c r="BE17" i="4"/>
  <c r="BN17" i="4"/>
  <c r="AQ17" i="4"/>
  <c r="BA17" i="4"/>
  <c r="W17" i="4"/>
  <c r="AX17" i="4"/>
  <c r="U17" i="4"/>
  <c r="AE17" i="4"/>
  <c r="BD17" i="4"/>
  <c r="AH17" i="4"/>
  <c r="BK17" i="4"/>
  <c r="BS17" i="4"/>
  <c r="Q17" i="4"/>
  <c r="X217" i="3"/>
  <c r="AR217" i="3"/>
  <c r="AV217" i="3"/>
  <c r="AZ217" i="3"/>
  <c r="K63" i="8"/>
  <c r="S193" i="3"/>
  <c r="AC193" i="3"/>
  <c r="BG193" i="3"/>
  <c r="BR193" i="3"/>
  <c r="AA289" i="3"/>
  <c r="N289" i="3"/>
  <c r="R289" i="3"/>
  <c r="W289" i="3"/>
  <c r="BD297" i="3"/>
  <c r="R297" i="3"/>
  <c r="AL297" i="3"/>
  <c r="L297" i="3"/>
  <c r="AI339" i="3"/>
  <c r="BP339" i="3"/>
  <c r="AO339" i="3"/>
  <c r="W339" i="3"/>
  <c r="BA339" i="3"/>
  <c r="AV339" i="3"/>
  <c r="U339" i="3"/>
  <c r="P339" i="3"/>
  <c r="AG339" i="3"/>
  <c r="AC339" i="3"/>
  <c r="BF339" i="3"/>
  <c r="T339" i="3"/>
  <c r="O339" i="3"/>
  <c r="BN339" i="3"/>
  <c r="AL339" i="3"/>
  <c r="Q339" i="3"/>
  <c r="BS339" i="3"/>
  <c r="AU339" i="3"/>
  <c r="S339" i="3"/>
  <c r="AZ339" i="3"/>
  <c r="AB339" i="3"/>
  <c r="BE339" i="3"/>
  <c r="AF339" i="3"/>
  <c r="BM339" i="3"/>
  <c r="AK339" i="3"/>
  <c r="AQ339" i="3"/>
  <c r="BR339" i="3"/>
  <c r="Z339" i="3"/>
  <c r="BK339" i="3"/>
  <c r="K339" i="3"/>
  <c r="AE339" i="3"/>
  <c r="AS339" i="3"/>
  <c r="BC339" i="3"/>
  <c r="BD339" i="3"/>
  <c r="M339" i="3"/>
  <c r="Y339" i="3"/>
  <c r="BB339" i="3"/>
  <c r="AN339" i="3"/>
  <c r="BQ339" i="3"/>
  <c r="BJ339" i="3"/>
  <c r="AR339" i="3"/>
  <c r="X339" i="3"/>
  <c r="AW339" i="3"/>
  <c r="AP339" i="3"/>
  <c r="AM339" i="3"/>
  <c r="BO339" i="3"/>
  <c r="AD339" i="3"/>
  <c r="V339" i="3"/>
  <c r="AJ339" i="3"/>
  <c r="AY339" i="3"/>
  <c r="L339" i="3"/>
  <c r="BI339" i="3"/>
  <c r="AH339" i="3"/>
  <c r="W299" i="3"/>
  <c r="K299" i="3"/>
  <c r="AX299" i="3"/>
  <c r="AJ35" i="4"/>
  <c r="AM35" i="4"/>
  <c r="AE35" i="4"/>
  <c r="AS35" i="4"/>
  <c r="S35" i="4"/>
  <c r="Q35" i="4"/>
  <c r="BN35" i="4"/>
  <c r="BT35" i="4"/>
  <c r="BO35" i="4"/>
  <c r="BG35" i="4"/>
  <c r="AC35" i="4"/>
  <c r="BK35" i="4"/>
  <c r="AW35" i="4"/>
  <c r="AL35" i="4"/>
  <c r="BD35" i="4"/>
  <c r="AR35" i="4"/>
  <c r="AD35" i="4"/>
  <c r="O35" i="4"/>
  <c r="Z35" i="4"/>
  <c r="AQ35" i="4"/>
  <c r="L35" i="4"/>
  <c r="BF35" i="4"/>
  <c r="BC35" i="4"/>
  <c r="AO35" i="4"/>
  <c r="BM35" i="4"/>
  <c r="AK35" i="4"/>
  <c r="Y35" i="4"/>
  <c r="AA35" i="4"/>
  <c r="AB35" i="4"/>
  <c r="BE35" i="4"/>
  <c r="W35" i="4"/>
  <c r="BL35" i="4"/>
  <c r="AP35" i="4"/>
  <c r="M35" i="4"/>
  <c r="V35" i="4"/>
  <c r="AV35" i="4"/>
  <c r="X35" i="4"/>
  <c r="BS35" i="4"/>
  <c r="AY35" i="4"/>
  <c r="AF35" i="4"/>
  <c r="BJ35" i="4"/>
  <c r="AH35" i="4"/>
  <c r="U35" i="4"/>
  <c r="P35" i="4"/>
  <c r="AN35" i="4"/>
  <c r="BQ35" i="4"/>
  <c r="AX35" i="4"/>
  <c r="BR35" i="4"/>
  <c r="R35" i="4"/>
  <c r="AG35" i="4"/>
  <c r="T35" i="4"/>
  <c r="BA35" i="4"/>
  <c r="BI35" i="4"/>
  <c r="BP35" i="4"/>
  <c r="AU35" i="4"/>
  <c r="AS353" i="3"/>
  <c r="BE353" i="3"/>
  <c r="AD86" i="3"/>
  <c r="AW86" i="3"/>
  <c r="AJ239" i="3"/>
  <c r="AD239" i="3"/>
  <c r="X202" i="3"/>
  <c r="Q202" i="3"/>
  <c r="BF202" i="3"/>
  <c r="BP23" i="4"/>
  <c r="AX23" i="4"/>
  <c r="BD23" i="4"/>
  <c r="AT339" i="3"/>
  <c r="N216" i="3"/>
  <c r="AA17" i="4"/>
  <c r="BD135" i="3"/>
  <c r="AN135" i="3"/>
  <c r="X135" i="3"/>
  <c r="BS135" i="3"/>
  <c r="BC135" i="3"/>
  <c r="AM135" i="3"/>
  <c r="W135" i="3"/>
  <c r="BR135" i="3"/>
  <c r="BB135" i="3"/>
  <c r="AL135" i="3"/>
  <c r="V135" i="3"/>
  <c r="BQ135" i="3"/>
  <c r="BA135" i="3"/>
  <c r="AK135" i="3"/>
  <c r="U135" i="3"/>
  <c r="BP135" i="3"/>
  <c r="AZ135" i="3"/>
  <c r="AJ135" i="3"/>
  <c r="T135" i="3"/>
  <c r="BN135" i="3"/>
  <c r="AX135" i="3"/>
  <c r="AH135" i="3"/>
  <c r="R135" i="3"/>
  <c r="BE135" i="3"/>
  <c r="AC135" i="3"/>
  <c r="AY135" i="3"/>
  <c r="AB135" i="3"/>
  <c r="AW135" i="3"/>
  <c r="AA135" i="3"/>
  <c r="AV135" i="3"/>
  <c r="Z135" i="3"/>
  <c r="AU135" i="3"/>
  <c r="Y135" i="3"/>
  <c r="AT135" i="3"/>
  <c r="S135" i="3"/>
  <c r="BO135" i="3"/>
  <c r="AR135" i="3"/>
  <c r="P135" i="3"/>
  <c r="BM135" i="3"/>
  <c r="AQ135" i="3"/>
  <c r="O135" i="3"/>
  <c r="BL135" i="3"/>
  <c r="AP135" i="3"/>
  <c r="N135" i="3"/>
  <c r="BK135" i="3"/>
  <c r="AO135" i="3"/>
  <c r="M135" i="3"/>
  <c r="BJ135" i="3"/>
  <c r="AI135" i="3"/>
  <c r="L135" i="3"/>
  <c r="BI135" i="3"/>
  <c r="AG135" i="3"/>
  <c r="K135" i="3"/>
  <c r="AE135" i="3"/>
  <c r="AD135" i="3"/>
  <c r="Q135" i="3"/>
  <c r="AS135" i="3"/>
  <c r="BH135" i="3"/>
  <c r="BG135" i="3"/>
  <c r="BF135" i="3"/>
  <c r="AF135" i="3"/>
  <c r="BP11" i="3"/>
  <c r="AZ11" i="3"/>
  <c r="AJ11" i="3"/>
  <c r="T11" i="3"/>
  <c r="AY11" i="3"/>
  <c r="AI11" i="3"/>
  <c r="BO11" i="3"/>
  <c r="S11" i="3"/>
  <c r="BN11" i="3"/>
  <c r="AX11" i="3"/>
  <c r="AH11" i="3"/>
  <c r="R11" i="3"/>
  <c r="BM11" i="3"/>
  <c r="AW11" i="3"/>
  <c r="AG11" i="3"/>
  <c r="Q11" i="3"/>
  <c r="BK11" i="3"/>
  <c r="AU11" i="3"/>
  <c r="AE11" i="3"/>
  <c r="BI11" i="3"/>
  <c r="AS11" i="3"/>
  <c r="AC11" i="3"/>
  <c r="M11" i="3"/>
  <c r="BD11" i="3"/>
  <c r="AB11" i="3"/>
  <c r="AV11" i="3"/>
  <c r="L11" i="3"/>
  <c r="BC11" i="3"/>
  <c r="AA11" i="3"/>
  <c r="BH11" i="3"/>
  <c r="BB11" i="3"/>
  <c r="Z11" i="3"/>
  <c r="BA11" i="3"/>
  <c r="Y11" i="3"/>
  <c r="X11" i="3"/>
  <c r="AT11" i="3"/>
  <c r="W11" i="3"/>
  <c r="AM11" i="3"/>
  <c r="AR11" i="3"/>
  <c r="V11" i="3"/>
  <c r="BS11" i="3"/>
  <c r="AQ11" i="3"/>
  <c r="U11" i="3"/>
  <c r="BR11" i="3"/>
  <c r="AP11" i="3"/>
  <c r="P11" i="3"/>
  <c r="BQ11" i="3"/>
  <c r="AO11" i="3"/>
  <c r="O11" i="3"/>
  <c r="BL11" i="3"/>
  <c r="AN11" i="3"/>
  <c r="N11" i="3"/>
  <c r="BJ11" i="3"/>
  <c r="AL11" i="3"/>
  <c r="K11" i="3"/>
  <c r="BG11" i="3"/>
  <c r="AK11" i="3"/>
  <c r="BF11" i="3"/>
  <c r="AF11" i="3"/>
  <c r="BE11" i="3"/>
  <c r="AD11" i="3"/>
  <c r="AV8" i="3"/>
  <c r="BF8" i="3"/>
  <c r="Z8" i="3"/>
  <c r="BB8" i="3"/>
  <c r="K8" i="3"/>
  <c r="AZ8" i="3"/>
  <c r="AR8" i="3"/>
  <c r="V8" i="3"/>
  <c r="AN8" i="3"/>
  <c r="AK8" i="3"/>
  <c r="N8" i="3"/>
  <c r="J8" i="3"/>
  <c r="AW8" i="3" s="1"/>
  <c r="BM156" i="3"/>
  <c r="AW156" i="3"/>
  <c r="AG156" i="3"/>
  <c r="Q156" i="3"/>
  <c r="BE156" i="3"/>
  <c r="AN156" i="3"/>
  <c r="W156" i="3"/>
  <c r="BD156" i="3"/>
  <c r="AM156" i="3"/>
  <c r="V156" i="3"/>
  <c r="BC156" i="3"/>
  <c r="AL156" i="3"/>
  <c r="U156" i="3"/>
  <c r="BS156" i="3"/>
  <c r="BB156" i="3"/>
  <c r="AK156" i="3"/>
  <c r="T156" i="3"/>
  <c r="BR156" i="3"/>
  <c r="BA156" i="3"/>
  <c r="AJ156" i="3"/>
  <c r="S156" i="3"/>
  <c r="BQ156" i="3"/>
  <c r="AZ156" i="3"/>
  <c r="AI156" i="3"/>
  <c r="R156" i="3"/>
  <c r="BP156" i="3"/>
  <c r="AY156" i="3"/>
  <c r="AH156" i="3"/>
  <c r="P156" i="3"/>
  <c r="BO156" i="3"/>
  <c r="AX156" i="3"/>
  <c r="AF156" i="3"/>
  <c r="O156" i="3"/>
  <c r="BN156" i="3"/>
  <c r="AV156" i="3"/>
  <c r="AE156" i="3"/>
  <c r="N156" i="3"/>
  <c r="BL156" i="3"/>
  <c r="AU156" i="3"/>
  <c r="AD156" i="3"/>
  <c r="M156" i="3"/>
  <c r="BK156" i="3"/>
  <c r="AT156" i="3"/>
  <c r="AC156" i="3"/>
  <c r="L156" i="3"/>
  <c r="BG156" i="3"/>
  <c r="AP156" i="3"/>
  <c r="Y156" i="3"/>
  <c r="BI156" i="3"/>
  <c r="BH156" i="3"/>
  <c r="BF156" i="3"/>
  <c r="AS156" i="3"/>
  <c r="AR156" i="3"/>
  <c r="AQ156" i="3"/>
  <c r="AB156" i="3"/>
  <c r="AA156" i="3"/>
  <c r="Z156" i="3"/>
  <c r="X156" i="3"/>
  <c r="K156" i="3"/>
  <c r="AO156" i="3"/>
  <c r="BJ156" i="3"/>
  <c r="AG167" i="3"/>
  <c r="T167" i="3"/>
  <c r="AU167" i="3"/>
  <c r="BD167" i="3"/>
  <c r="K90" i="3"/>
  <c r="BF90" i="3"/>
  <c r="AP90" i="3"/>
  <c r="Z90" i="3"/>
  <c r="BE90" i="3"/>
  <c r="AO90" i="3"/>
  <c r="AN90" i="3"/>
  <c r="X90" i="3"/>
  <c r="BC90" i="3"/>
  <c r="AM90" i="3"/>
  <c r="AL90" i="3"/>
  <c r="V90" i="3"/>
  <c r="BQ90" i="3"/>
  <c r="BA90" i="3"/>
  <c r="AK90" i="3"/>
  <c r="U90" i="3"/>
  <c r="AJ90" i="3"/>
  <c r="T90" i="3"/>
  <c r="AY90" i="3"/>
  <c r="AI90" i="3"/>
  <c r="AH90" i="3"/>
  <c r="R90" i="3"/>
  <c r="BM90" i="3"/>
  <c r="AW90" i="3"/>
  <c r="AG90" i="3"/>
  <c r="Q90" i="3"/>
  <c r="AB90" i="3"/>
  <c r="P90" i="3"/>
  <c r="O90" i="3"/>
  <c r="BK90" i="3"/>
  <c r="BI90" i="3"/>
  <c r="L90" i="3"/>
  <c r="BH90" i="3"/>
  <c r="AV90" i="3"/>
  <c r="AU90" i="3"/>
  <c r="AF90" i="3"/>
  <c r="AR90" i="3"/>
  <c r="AE90" i="3"/>
  <c r="J90" i="3"/>
  <c r="Y90" i="3" s="1"/>
  <c r="M163" i="3"/>
  <c r="AO163" i="3"/>
  <c r="Z163" i="3"/>
  <c r="AK163" i="3"/>
  <c r="BK43" i="3"/>
  <c r="K43" i="3"/>
  <c r="AI43" i="3"/>
  <c r="AM43" i="3"/>
  <c r="AT9" i="3"/>
  <c r="AC9" i="3"/>
  <c r="O9" i="3"/>
  <c r="AC10" i="3"/>
  <c r="BI10" i="3"/>
  <c r="BR10" i="3"/>
  <c r="BN10" i="3"/>
  <c r="AQ84" i="3"/>
  <c r="AV84" i="3"/>
  <c r="AH84" i="3"/>
  <c r="AL84" i="3"/>
  <c r="AB48" i="3"/>
  <c r="M48" i="3"/>
  <c r="AJ48" i="3"/>
  <c r="BE48" i="3"/>
  <c r="R177" i="3"/>
  <c r="AL177" i="3"/>
  <c r="K177" i="3"/>
  <c r="O177" i="3"/>
  <c r="BI199" i="3"/>
  <c r="AS199" i="3"/>
  <c r="BO199" i="3"/>
  <c r="AP199" i="3"/>
  <c r="BM323" i="3"/>
  <c r="Q323" i="3"/>
  <c r="AN323" i="3"/>
  <c r="W217" i="3"/>
  <c r="BH217" i="3"/>
  <c r="BL217" i="3"/>
  <c r="BQ217" i="3"/>
  <c r="AN193" i="3"/>
  <c r="AW193" i="3"/>
  <c r="R193" i="3"/>
  <c r="AJ289" i="3"/>
  <c r="AD289" i="3"/>
  <c r="AH289" i="3"/>
  <c r="AM289" i="3"/>
  <c r="E13" i="1"/>
  <c r="C13" i="1"/>
  <c r="BR43" i="4"/>
  <c r="AX43" i="4"/>
  <c r="BQ43" i="4"/>
  <c r="X43" i="4"/>
  <c r="AV297" i="3"/>
  <c r="AH297" i="3"/>
  <c r="BB297" i="3"/>
  <c r="AB297" i="3"/>
  <c r="AE299" i="3"/>
  <c r="AB299" i="3"/>
  <c r="BO299" i="3"/>
  <c r="BN86" i="3"/>
  <c r="S86" i="3"/>
  <c r="AF346" i="3"/>
  <c r="Q346" i="3"/>
  <c r="BH346" i="3"/>
  <c r="AN346" i="3"/>
  <c r="P346" i="3"/>
  <c r="BN346" i="3"/>
  <c r="AQ346" i="3"/>
  <c r="AM346" i="3"/>
  <c r="BC346" i="3"/>
  <c r="AW346" i="3"/>
  <c r="Z346" i="3"/>
  <c r="AG346" i="3"/>
  <c r="AL346" i="3"/>
  <c r="AE346" i="3"/>
  <c r="BG346" i="3"/>
  <c r="BR346" i="3"/>
  <c r="U346" i="3"/>
  <c r="N346" i="3"/>
  <c r="W346" i="3"/>
  <c r="AD346" i="3"/>
  <c r="BS346" i="3"/>
  <c r="BK346" i="3"/>
  <c r="BF346" i="3"/>
  <c r="BO346" i="3"/>
  <c r="BB346" i="3"/>
  <c r="AT346" i="3"/>
  <c r="V346" i="3"/>
  <c r="BM346" i="3"/>
  <c r="AZ346" i="3"/>
  <c r="AS346" i="3"/>
  <c r="O346" i="3"/>
  <c r="X346" i="3"/>
  <c r="AI346" i="3"/>
  <c r="R346" i="3"/>
  <c r="K346" i="3"/>
  <c r="M346" i="3"/>
  <c r="BP346" i="3"/>
  <c r="BI346" i="3"/>
  <c r="AX346" i="3"/>
  <c r="BL346" i="3"/>
  <c r="AY346" i="3"/>
  <c r="AR346" i="3"/>
  <c r="AU346" i="3"/>
  <c r="M23" i="4"/>
  <c r="Z23" i="4"/>
  <c r="Y346" i="3"/>
  <c r="AK346" i="3"/>
  <c r="AX339" i="3"/>
  <c r="AT216" i="3"/>
  <c r="M17" i="4"/>
  <c r="J18" i="4"/>
  <c r="BM18" i="4" s="1"/>
  <c r="AK299" i="3"/>
  <c r="AS299" i="3"/>
  <c r="Q299" i="3"/>
  <c r="AF86" i="3"/>
  <c r="AI86" i="3"/>
  <c r="AR239" i="3"/>
  <c r="BJ239" i="3"/>
  <c r="W338" i="3"/>
  <c r="BA338" i="3"/>
  <c r="AV338" i="3"/>
  <c r="AC338" i="3"/>
  <c r="BH338" i="3"/>
  <c r="AI338" i="3"/>
  <c r="AD338" i="3"/>
  <c r="Y338" i="3"/>
  <c r="AO338" i="3"/>
  <c r="Q338" i="3"/>
  <c r="L338" i="3"/>
  <c r="X338" i="3"/>
  <c r="V338" i="3"/>
  <c r="BR338" i="3"/>
  <c r="BL338" i="3"/>
  <c r="N338" i="3"/>
  <c r="BG338" i="3"/>
  <c r="AZ338" i="3"/>
  <c r="AT338" i="3"/>
  <c r="BP338" i="3"/>
  <c r="AN338" i="3"/>
  <c r="AH338" i="3"/>
  <c r="AB338" i="3"/>
  <c r="BM338" i="3"/>
  <c r="U338" i="3"/>
  <c r="P338" i="3"/>
  <c r="BK338" i="3"/>
  <c r="K338" i="3"/>
  <c r="BE338" i="3"/>
  <c r="BQ338" i="3"/>
  <c r="AS338" i="3"/>
  <c r="AL338" i="3"/>
  <c r="AY338" i="3"/>
  <c r="AA338" i="3"/>
  <c r="T338" i="3"/>
  <c r="AG338" i="3"/>
  <c r="BJ338" i="3"/>
  <c r="BF338" i="3"/>
  <c r="BD338" i="3"/>
  <c r="O338" i="3"/>
  <c r="BI338" i="3"/>
  <c r="AP338" i="3"/>
  <c r="AK338" i="3"/>
  <c r="BO338" i="3"/>
  <c r="AX338" i="3"/>
  <c r="Z338" i="3"/>
  <c r="S338" i="3"/>
  <c r="AW338" i="3"/>
  <c r="AU338" i="3"/>
  <c r="BS338" i="3"/>
  <c r="BB338" i="3"/>
  <c r="AE338" i="3"/>
  <c r="AR338" i="3"/>
  <c r="BC338" i="3"/>
  <c r="AJ338" i="3"/>
  <c r="M338" i="3"/>
  <c r="AQ338" i="3"/>
  <c r="AM338" i="3"/>
  <c r="R338" i="3"/>
  <c r="BN338" i="3"/>
  <c r="AF338" i="3"/>
  <c r="AJ346" i="3"/>
  <c r="AV346" i="3"/>
  <c r="R216" i="3"/>
  <c r="BC17" i="4"/>
  <c r="AU55" i="3"/>
  <c r="AQ55" i="3"/>
  <c r="BR55" i="3"/>
  <c r="S55" i="3"/>
  <c r="AW84" i="3"/>
  <c r="AM299" i="3"/>
  <c r="BJ299" i="3"/>
  <c r="AH299" i="3"/>
  <c r="BP86" i="3"/>
  <c r="BA86" i="3"/>
  <c r="W239" i="3"/>
  <c r="O239" i="3"/>
  <c r="BJ330" i="3"/>
  <c r="Z330" i="3"/>
  <c r="BM330" i="3"/>
  <c r="AH330" i="3"/>
  <c r="AT330" i="3"/>
  <c r="BE330" i="3"/>
  <c r="T330" i="3"/>
  <c r="BS330" i="3"/>
  <c r="AD330" i="3"/>
  <c r="AO330" i="3"/>
  <c r="BL330" i="3"/>
  <c r="AC330" i="3"/>
  <c r="N330" i="3"/>
  <c r="Y330" i="3"/>
  <c r="S330" i="3"/>
  <c r="BP330" i="3"/>
  <c r="BI330" i="3"/>
  <c r="BD330" i="3"/>
  <c r="BC330" i="3"/>
  <c r="BN330" i="3"/>
  <c r="AS330" i="3"/>
  <c r="AN330" i="3"/>
  <c r="R330" i="3"/>
  <c r="AG330" i="3"/>
  <c r="BH330" i="3"/>
  <c r="X330" i="3"/>
  <c r="AZ330" i="3"/>
  <c r="AF330" i="3"/>
  <c r="AR330" i="3"/>
  <c r="AB330" i="3"/>
  <c r="BB330" i="3"/>
  <c r="AX330" i="3"/>
  <c r="U330" i="3"/>
  <c r="L330" i="3"/>
  <c r="BG330" i="3"/>
  <c r="V330" i="3"/>
  <c r="AW330" i="3"/>
  <c r="AQ330" i="3"/>
  <c r="BQ330" i="3"/>
  <c r="M330" i="3"/>
  <c r="BK330" i="3"/>
  <c r="AA330" i="3"/>
  <c r="BA330" i="3"/>
  <c r="AV330" i="3"/>
  <c r="AU330" i="3"/>
  <c r="K330" i="3"/>
  <c r="BO330" i="3"/>
  <c r="AM330" i="3"/>
  <c r="AE330" i="3"/>
  <c r="BF330" i="3"/>
  <c r="AY330" i="3"/>
  <c r="AK330" i="3"/>
  <c r="O330" i="3"/>
  <c r="AP330" i="3"/>
  <c r="AI330" i="3"/>
  <c r="AJ330" i="3"/>
  <c r="BE23" i="4"/>
  <c r="AA23" i="4"/>
  <c r="AO346" i="3"/>
  <c r="AA339" i="3"/>
  <c r="BF17" i="4"/>
  <c r="BJ21" i="3"/>
  <c r="W330" i="3"/>
  <c r="BJ109" i="3"/>
  <c r="BP109" i="3"/>
  <c r="BL109" i="3"/>
  <c r="V109" i="3"/>
  <c r="BS43" i="3"/>
  <c r="AH167" i="3"/>
  <c r="AK167" i="3"/>
  <c r="BE167" i="3"/>
  <c r="L131" i="3"/>
  <c r="Q131" i="3"/>
  <c r="AB131" i="3"/>
  <c r="U131" i="3"/>
  <c r="AF163" i="3"/>
  <c r="AP163" i="3"/>
  <c r="AV163" i="3"/>
  <c r="V163" i="3"/>
  <c r="AG38" i="4"/>
  <c r="AV38" i="4"/>
  <c r="O38" i="4"/>
  <c r="BG38" i="4"/>
  <c r="Q38" i="4"/>
  <c r="Y38" i="4"/>
  <c r="BA38" i="4"/>
  <c r="AA38" i="4"/>
  <c r="BJ38" i="4"/>
  <c r="BR38" i="4"/>
  <c r="N38" i="4"/>
  <c r="BE38" i="4"/>
  <c r="AS38" i="4"/>
  <c r="AT38" i="4"/>
  <c r="AZ38" i="4"/>
  <c r="Z38" i="4"/>
  <c r="AB38" i="4"/>
  <c r="W38" i="4"/>
  <c r="L38" i="4"/>
  <c r="R38" i="4"/>
  <c r="BP38" i="4"/>
  <c r="BQ38" i="4"/>
  <c r="AY38" i="4"/>
  <c r="P38" i="4"/>
  <c r="AX38" i="4"/>
  <c r="AR38" i="4"/>
  <c r="AN38" i="4"/>
  <c r="BD38" i="4"/>
  <c r="AE38" i="4"/>
  <c r="V38" i="4"/>
  <c r="AL38" i="4"/>
  <c r="BC38" i="4"/>
  <c r="M38" i="4"/>
  <c r="BO38" i="4"/>
  <c r="AJ38" i="4"/>
  <c r="BB38" i="4"/>
  <c r="BN38" i="4"/>
  <c r="AQ38" i="4"/>
  <c r="AI38" i="4"/>
  <c r="AM38" i="4"/>
  <c r="AU38" i="4"/>
  <c r="U38" i="4"/>
  <c r="BT38" i="4"/>
  <c r="S38" i="4"/>
  <c r="AC38" i="4"/>
  <c r="BL38" i="4"/>
  <c r="AH38" i="4"/>
  <c r="BH38" i="4"/>
  <c r="AO38" i="4"/>
  <c r="BK38" i="4"/>
  <c r="AP38" i="4"/>
  <c r="T38" i="4"/>
  <c r="AF38" i="4"/>
  <c r="BM38" i="4"/>
  <c r="X38" i="4"/>
  <c r="BF38" i="4"/>
  <c r="BI38" i="4"/>
  <c r="AW38" i="4"/>
  <c r="BS38" i="4"/>
  <c r="AK38" i="4"/>
  <c r="AD38" i="4"/>
  <c r="AK213" i="3"/>
  <c r="BF213" i="3"/>
  <c r="BJ213" i="3"/>
  <c r="BN213" i="3"/>
  <c r="AT43" i="3"/>
  <c r="L43" i="3"/>
  <c r="T43" i="3"/>
  <c r="Z44" i="3"/>
  <c r="AG44" i="3"/>
  <c r="BL44" i="3"/>
  <c r="BA44" i="3"/>
  <c r="S9" i="3"/>
  <c r="AY9" i="3"/>
  <c r="AK9" i="3"/>
  <c r="BK9" i="3"/>
  <c r="AF195" i="3"/>
  <c r="AO195" i="3"/>
  <c r="BO195" i="3"/>
  <c r="BR195" i="3"/>
  <c r="AE10" i="3"/>
  <c r="BK10" i="3"/>
  <c r="AR10" i="3"/>
  <c r="AY10" i="3"/>
  <c r="BL84" i="3"/>
  <c r="AC84" i="3"/>
  <c r="S84" i="3"/>
  <c r="W84" i="3"/>
  <c r="AY48" i="3"/>
  <c r="N48" i="3"/>
  <c r="V48" i="3"/>
  <c r="BF48" i="3"/>
  <c r="BP177" i="3"/>
  <c r="W177" i="3"/>
  <c r="BG177" i="3"/>
  <c r="BK177" i="3"/>
  <c r="AG199" i="3"/>
  <c r="Q199" i="3"/>
  <c r="BB199" i="3"/>
  <c r="BQ323" i="3"/>
  <c r="BN323" i="3"/>
  <c r="R323" i="3"/>
  <c r="AQ323" i="3"/>
  <c r="AO217" i="3"/>
  <c r="AS217" i="3"/>
  <c r="AW217" i="3"/>
  <c r="BA217" i="3"/>
  <c r="T193" i="3"/>
  <c r="AR193" i="3"/>
  <c r="BC193" i="3"/>
  <c r="BN193" i="3"/>
  <c r="AR289" i="3"/>
  <c r="O289" i="3"/>
  <c r="S289" i="3"/>
  <c r="X289" i="3"/>
  <c r="BQ44" i="4"/>
  <c r="BA44" i="4"/>
  <c r="AK44" i="4"/>
  <c r="U44" i="4"/>
  <c r="BS44" i="4"/>
  <c r="BB44" i="4"/>
  <c r="AJ44" i="4"/>
  <c r="S44" i="4"/>
  <c r="BI44" i="4"/>
  <c r="AQ44" i="4"/>
  <c r="Y44" i="4"/>
  <c r="BG44" i="4"/>
  <c r="AO44" i="4"/>
  <c r="W44" i="4"/>
  <c r="BE44" i="4"/>
  <c r="BC44" i="4"/>
  <c r="AI44" i="4"/>
  <c r="Q44" i="4"/>
  <c r="BR44" i="4"/>
  <c r="BP44" i="4"/>
  <c r="AT44" i="4"/>
  <c r="X44" i="4"/>
  <c r="BO44" i="4"/>
  <c r="AS44" i="4"/>
  <c r="V44" i="4"/>
  <c r="BN44" i="4"/>
  <c r="AR44" i="4"/>
  <c r="T44" i="4"/>
  <c r="BM44" i="4"/>
  <c r="AP44" i="4"/>
  <c r="R44" i="4"/>
  <c r="BL44" i="4"/>
  <c r="AN44" i="4"/>
  <c r="P44" i="4"/>
  <c r="BF44" i="4"/>
  <c r="AG44" i="4"/>
  <c r="L44" i="4"/>
  <c r="BD44" i="4"/>
  <c r="AF44" i="4"/>
  <c r="AH44" i="4"/>
  <c r="AE44" i="4"/>
  <c r="AD44" i="4"/>
  <c r="AC44" i="4"/>
  <c r="BK44" i="4"/>
  <c r="AA44" i="4"/>
  <c r="BJ44" i="4"/>
  <c r="Z44" i="4"/>
  <c r="BH44" i="4"/>
  <c r="O44" i="4"/>
  <c r="AZ44" i="4"/>
  <c r="N44" i="4"/>
  <c r="AY44" i="4"/>
  <c r="M44" i="4"/>
  <c r="AX44" i="4"/>
  <c r="AW44" i="4"/>
  <c r="AV44" i="4"/>
  <c r="AU44" i="4"/>
  <c r="AL44" i="4"/>
  <c r="AB44" i="4"/>
  <c r="BT44" i="4"/>
  <c r="AM44" i="4"/>
  <c r="J43" i="4"/>
  <c r="BO43" i="4" s="1"/>
  <c r="BF137" i="3"/>
  <c r="BE137" i="3"/>
  <c r="Y137" i="3"/>
  <c r="BD137" i="3"/>
  <c r="X137" i="3"/>
  <c r="W137" i="3"/>
  <c r="BB137" i="3"/>
  <c r="V137" i="3"/>
  <c r="AK137" i="3"/>
  <c r="BP137" i="3"/>
  <c r="AZ137" i="3"/>
  <c r="T137" i="3"/>
  <c r="S137" i="3"/>
  <c r="AX137" i="3"/>
  <c r="R137" i="3"/>
  <c r="AG137" i="3"/>
  <c r="BL137" i="3"/>
  <c r="AV137" i="3"/>
  <c r="P137" i="3"/>
  <c r="BJ137" i="3"/>
  <c r="BI137" i="3"/>
  <c r="BH137" i="3"/>
  <c r="AT137" i="3"/>
  <c r="AR137" i="3"/>
  <c r="AQ137" i="3"/>
  <c r="AD137" i="3"/>
  <c r="AC137" i="3"/>
  <c r="J137" i="3"/>
  <c r="BS137" i="3" s="1"/>
  <c r="BL297" i="3"/>
  <c r="S297" i="3"/>
  <c r="AM297" i="3"/>
  <c r="M297" i="3"/>
  <c r="AV310" i="3"/>
  <c r="P310" i="3"/>
  <c r="BO310" i="3"/>
  <c r="AG310" i="3"/>
  <c r="O310" i="3"/>
  <c r="BN310" i="3"/>
  <c r="AE310" i="3"/>
  <c r="N310" i="3"/>
  <c r="BM310" i="3"/>
  <c r="AD310" i="3"/>
  <c r="M310" i="3"/>
  <c r="AT310" i="3"/>
  <c r="L310" i="3"/>
  <c r="BJ310" i="3"/>
  <c r="AB310" i="3"/>
  <c r="K310" i="3"/>
  <c r="BB310" i="3"/>
  <c r="BA310" i="3"/>
  <c r="Y310" i="3"/>
  <c r="AZ310" i="3"/>
  <c r="AY310" i="3"/>
  <c r="W310" i="3"/>
  <c r="V310" i="3"/>
  <c r="AQ310" i="3"/>
  <c r="U310" i="3"/>
  <c r="AP310" i="3"/>
  <c r="T310" i="3"/>
  <c r="BQ310" i="3"/>
  <c r="S310" i="3"/>
  <c r="BP310" i="3"/>
  <c r="AN310" i="3"/>
  <c r="BI310" i="3"/>
  <c r="AM310" i="3"/>
  <c r="BH310" i="3"/>
  <c r="BG310" i="3"/>
  <c r="AK310" i="3"/>
  <c r="AJ310" i="3"/>
  <c r="BE310" i="3"/>
  <c r="BD310" i="3"/>
  <c r="AH310" i="3"/>
  <c r="AA310" i="3"/>
  <c r="BC310" i="3"/>
  <c r="J310" i="3"/>
  <c r="AW310" i="3" s="1"/>
  <c r="AN299" i="3"/>
  <c r="L299" i="3"/>
  <c r="AY299" i="3"/>
  <c r="T353" i="3"/>
  <c r="AG353" i="3"/>
  <c r="AT353" i="3"/>
  <c r="BM353" i="3"/>
  <c r="BS353" i="3"/>
  <c r="M353" i="3"/>
  <c r="Y353" i="3"/>
  <c r="W353" i="3"/>
  <c r="BA353" i="3"/>
  <c r="AZ353" i="3"/>
  <c r="BL353" i="3"/>
  <c r="O353" i="3"/>
  <c r="AA353" i="3"/>
  <c r="BH353" i="3"/>
  <c r="AP353" i="3"/>
  <c r="AH86" i="3"/>
  <c r="BQ86" i="3"/>
  <c r="AN239" i="3"/>
  <c r="P23" i="4"/>
  <c r="AP346" i="3"/>
  <c r="BG339" i="3"/>
  <c r="AP17" i="4"/>
  <c r="BK21" i="3"/>
  <c r="P330" i="3"/>
  <c r="AX58" i="3"/>
  <c r="AU58" i="3"/>
  <c r="AT58" i="3"/>
  <c r="AQ58" i="3"/>
  <c r="AP58" i="3"/>
  <c r="AY58" i="3"/>
  <c r="AJ58" i="3"/>
  <c r="AW167" i="3"/>
  <c r="AD25" i="3"/>
  <c r="Z25" i="3"/>
  <c r="BA25" i="3"/>
  <c r="S25" i="3"/>
  <c r="BJ47" i="3"/>
  <c r="AR47" i="3"/>
  <c r="AX47" i="3"/>
  <c r="AL47" i="3"/>
  <c r="BI167" i="3"/>
  <c r="AA167" i="3"/>
  <c r="BA167" i="3"/>
  <c r="BH22" i="3"/>
  <c r="AB22" i="3"/>
  <c r="L22" i="3"/>
  <c r="BG22" i="3"/>
  <c r="AA22" i="3"/>
  <c r="K22" i="3"/>
  <c r="Z22" i="3"/>
  <c r="BE22" i="3"/>
  <c r="AO22" i="3"/>
  <c r="BD22" i="3"/>
  <c r="AN22" i="3"/>
  <c r="X22" i="3"/>
  <c r="BC22" i="3"/>
  <c r="AM22" i="3"/>
  <c r="W22" i="3"/>
  <c r="BB22" i="3"/>
  <c r="AL22" i="3"/>
  <c r="BQ22" i="3"/>
  <c r="AK22" i="3"/>
  <c r="U22" i="3"/>
  <c r="AZ22" i="3"/>
  <c r="AJ22" i="3"/>
  <c r="T22" i="3"/>
  <c r="AY22" i="3"/>
  <c r="AI22" i="3"/>
  <c r="S22" i="3"/>
  <c r="AW22" i="3"/>
  <c r="AG22" i="3"/>
  <c r="AE22" i="3"/>
  <c r="AC22" i="3"/>
  <c r="R22" i="3"/>
  <c r="P22" i="3"/>
  <c r="BL22" i="3"/>
  <c r="O22" i="3"/>
  <c r="N22" i="3"/>
  <c r="BJ22" i="3"/>
  <c r="M22" i="3"/>
  <c r="AX22" i="3"/>
  <c r="AV22" i="3"/>
  <c r="AT22" i="3"/>
  <c r="AH22" i="3"/>
  <c r="AF22" i="3"/>
  <c r="AU53" i="3"/>
  <c r="BL53" i="3"/>
  <c r="BR53" i="3"/>
  <c r="AQ53" i="3"/>
  <c r="M131" i="3"/>
  <c r="AO131" i="3"/>
  <c r="AV131" i="3"/>
  <c r="AK131" i="3"/>
  <c r="J22" i="3"/>
  <c r="AR22" i="3" s="1"/>
  <c r="AG163" i="3"/>
  <c r="BK163" i="3"/>
  <c r="AB163" i="3"/>
  <c r="AL163" i="3"/>
  <c r="AH317" i="3"/>
  <c r="AM317" i="3"/>
  <c r="BJ317" i="3"/>
  <c r="AL317" i="3"/>
  <c r="BN182" i="3"/>
  <c r="BM182" i="3"/>
  <c r="P182" i="3"/>
  <c r="BJ182" i="3"/>
  <c r="BI182" i="3"/>
  <c r="L182" i="3"/>
  <c r="BF182" i="3"/>
  <c r="AO182" i="3"/>
  <c r="AJ182" i="3"/>
  <c r="S182" i="3"/>
  <c r="BO182" i="3"/>
  <c r="AL182" i="3"/>
  <c r="J182" i="3"/>
  <c r="AX182" i="3" s="1"/>
  <c r="AL213" i="3"/>
  <c r="K213" i="3"/>
  <c r="O213" i="3"/>
  <c r="S213" i="3"/>
  <c r="AE198" i="3"/>
  <c r="BM198" i="3"/>
  <c r="AW198" i="3"/>
  <c r="BR198" i="3"/>
  <c r="AJ322" i="3"/>
  <c r="BH322" i="3"/>
  <c r="BM322" i="3"/>
  <c r="Y322" i="3"/>
  <c r="Z43" i="3"/>
  <c r="AG43" i="3"/>
  <c r="AJ43" i="3"/>
  <c r="AA44" i="3"/>
  <c r="BG44" i="3"/>
  <c r="R44" i="3"/>
  <c r="BQ44" i="3"/>
  <c r="AN9" i="3"/>
  <c r="Z9" i="3"/>
  <c r="BF9" i="3"/>
  <c r="P9" i="3"/>
  <c r="BD85" i="3"/>
  <c r="AN85" i="3"/>
  <c r="X85" i="3"/>
  <c r="BS85" i="3"/>
  <c r="BC85" i="3"/>
  <c r="AM85" i="3"/>
  <c r="W85" i="3"/>
  <c r="BR85" i="3"/>
  <c r="BB85" i="3"/>
  <c r="AL85" i="3"/>
  <c r="V85" i="3"/>
  <c r="BQ85" i="3"/>
  <c r="BA85" i="3"/>
  <c r="AK85" i="3"/>
  <c r="U85" i="3"/>
  <c r="BP85" i="3"/>
  <c r="AZ85" i="3"/>
  <c r="AJ85" i="3"/>
  <c r="T85" i="3"/>
  <c r="BN85" i="3"/>
  <c r="AX85" i="3"/>
  <c r="BJ85" i="3"/>
  <c r="AT85" i="3"/>
  <c r="AD85" i="3"/>
  <c r="N85" i="3"/>
  <c r="AV85" i="3"/>
  <c r="Y85" i="3"/>
  <c r="AU85" i="3"/>
  <c r="S85" i="3"/>
  <c r="AS85" i="3"/>
  <c r="R85" i="3"/>
  <c r="AR85" i="3"/>
  <c r="Q85" i="3"/>
  <c r="AQ85" i="3"/>
  <c r="P85" i="3"/>
  <c r="BO85" i="3"/>
  <c r="AP85" i="3"/>
  <c r="O85" i="3"/>
  <c r="BM85" i="3"/>
  <c r="AO85" i="3"/>
  <c r="M85" i="3"/>
  <c r="BL85" i="3"/>
  <c r="AI85" i="3"/>
  <c r="L85" i="3"/>
  <c r="BK85" i="3"/>
  <c r="AH85" i="3"/>
  <c r="K85" i="3"/>
  <c r="BI85" i="3"/>
  <c r="AG85" i="3"/>
  <c r="BH85" i="3"/>
  <c r="AF85" i="3"/>
  <c r="AY85" i="3"/>
  <c r="AA85" i="3"/>
  <c r="AE85" i="3"/>
  <c r="AC85" i="3"/>
  <c r="AB85" i="3"/>
  <c r="Z85" i="3"/>
  <c r="BG85" i="3"/>
  <c r="BF85" i="3"/>
  <c r="BE85" i="3"/>
  <c r="AW85" i="3"/>
  <c r="AW195" i="3"/>
  <c r="BJ195" i="3"/>
  <c r="Z195" i="3"/>
  <c r="W195" i="3"/>
  <c r="BQ244" i="3"/>
  <c r="AK244" i="3"/>
  <c r="U244" i="3"/>
  <c r="AZ244" i="3"/>
  <c r="T244" i="3"/>
  <c r="BH244" i="3"/>
  <c r="X244" i="3"/>
  <c r="BF244" i="3"/>
  <c r="AN244" i="3"/>
  <c r="V244" i="3"/>
  <c r="AM244" i="3"/>
  <c r="S244" i="3"/>
  <c r="AL244" i="3"/>
  <c r="BC244" i="3"/>
  <c r="AI244" i="3"/>
  <c r="BB244" i="3"/>
  <c r="AY244" i="3"/>
  <c r="AG244" i="3"/>
  <c r="O244" i="3"/>
  <c r="AX244" i="3"/>
  <c r="AF244" i="3"/>
  <c r="BO244" i="3"/>
  <c r="AE244" i="3"/>
  <c r="M244" i="3"/>
  <c r="AV244" i="3"/>
  <c r="AU244" i="3"/>
  <c r="AC244" i="3"/>
  <c r="K244" i="3"/>
  <c r="Z244" i="3"/>
  <c r="Y244" i="3"/>
  <c r="BK244" i="3"/>
  <c r="BI244" i="3"/>
  <c r="AT244" i="3"/>
  <c r="AR244" i="3"/>
  <c r="BD10" i="3"/>
  <c r="AN10" i="3"/>
  <c r="BH10" i="3"/>
  <c r="BO10" i="3"/>
  <c r="X63" i="3"/>
  <c r="AR63" i="3"/>
  <c r="AV63" i="3"/>
  <c r="AZ63" i="3"/>
  <c r="BM84" i="3"/>
  <c r="AX84" i="3"/>
  <c r="AI84" i="3"/>
  <c r="AM84" i="3"/>
  <c r="AD48" i="3"/>
  <c r="AK48" i="3"/>
  <c r="AL48" i="3"/>
  <c r="T177" i="3"/>
  <c r="AM177" i="3"/>
  <c r="L177" i="3"/>
  <c r="AY99" i="3"/>
  <c r="AN99" i="3"/>
  <c r="M99" i="3"/>
  <c r="Q99" i="3"/>
  <c r="BM199" i="3"/>
  <c r="AW199" i="3"/>
  <c r="BR199" i="3"/>
  <c r="BS323" i="3"/>
  <c r="M323" i="3"/>
  <c r="AJ323" i="3"/>
  <c r="BK323" i="3"/>
  <c r="BM239" i="3"/>
  <c r="BI239" i="3"/>
  <c r="X239" i="3"/>
  <c r="BP239" i="3"/>
  <c r="AW239" i="3"/>
  <c r="AS239" i="3"/>
  <c r="BS239" i="3"/>
  <c r="S239" i="3"/>
  <c r="AG239" i="3"/>
  <c r="AC239" i="3"/>
  <c r="BC239" i="3"/>
  <c r="BO239" i="3"/>
  <c r="Q239" i="3"/>
  <c r="M239" i="3"/>
  <c r="AM239" i="3"/>
  <c r="L239" i="3"/>
  <c r="AF239" i="3"/>
  <c r="AA239" i="3"/>
  <c r="AL239" i="3"/>
  <c r="BA239" i="3"/>
  <c r="BL335" i="3"/>
  <c r="AS335" i="3"/>
  <c r="AX335" i="3"/>
  <c r="BC335" i="3"/>
  <c r="AP217" i="3"/>
  <c r="BI217" i="3"/>
  <c r="BM217" i="3"/>
  <c r="BR217" i="3"/>
  <c r="V193" i="3"/>
  <c r="BM193" i="3"/>
  <c r="M193" i="3"/>
  <c r="AI193" i="3"/>
  <c r="AZ289" i="3"/>
  <c r="AE289" i="3"/>
  <c r="AI289" i="3"/>
  <c r="AN289" i="3"/>
  <c r="AC23" i="4"/>
  <c r="V23" i="4"/>
  <c r="BH23" i="4"/>
  <c r="AB23" i="4"/>
  <c r="L23" i="4"/>
  <c r="BR23" i="4"/>
  <c r="AJ23" i="4"/>
  <c r="AG23" i="4"/>
  <c r="BG23" i="4"/>
  <c r="AS23" i="4"/>
  <c r="BF23" i="4"/>
  <c r="AF23" i="4"/>
  <c r="AP23" i="4"/>
  <c r="U23" i="4"/>
  <c r="AI23" i="4"/>
  <c r="BS23" i="4"/>
  <c r="AQ23" i="4"/>
  <c r="AH23" i="4"/>
  <c r="BT23" i="4"/>
  <c r="AY23" i="4"/>
  <c r="S23" i="4"/>
  <c r="T23" i="4"/>
  <c r="N297" i="3"/>
  <c r="AI297" i="3"/>
  <c r="BC297" i="3"/>
  <c r="AC297" i="3"/>
  <c r="L72" i="3"/>
  <c r="AF72" i="3"/>
  <c r="BL72" i="3"/>
  <c r="AO72" i="3"/>
  <c r="BC72" i="3"/>
  <c r="BQ72" i="3"/>
  <c r="AP72" i="3"/>
  <c r="AN72" i="3"/>
  <c r="AQ72" i="3"/>
  <c r="AG72" i="3"/>
  <c r="AT72" i="3"/>
  <c r="AV299" i="3"/>
  <c r="AC299" i="3"/>
  <c r="BP299" i="3"/>
  <c r="L353" i="3"/>
  <c r="AU353" i="3"/>
  <c r="P353" i="3"/>
  <c r="BF353" i="3"/>
  <c r="P86" i="3"/>
  <c r="AJ86" i="3"/>
  <c r="V86" i="3"/>
  <c r="AY239" i="3"/>
  <c r="BD239" i="3"/>
  <c r="AU239" i="3"/>
  <c r="BL202" i="3"/>
  <c r="AH202" i="3"/>
  <c r="AS202" i="3"/>
  <c r="BA261" i="3"/>
  <c r="AC261" i="3"/>
  <c r="AL23" i="4"/>
  <c r="BQ23" i="4"/>
  <c r="Z253" i="3"/>
  <c r="AU253" i="3"/>
  <c r="P253" i="3"/>
  <c r="AZ253" i="3"/>
  <c r="BE253" i="3"/>
  <c r="U253" i="3"/>
  <c r="BJ253" i="3"/>
  <c r="AE253" i="3"/>
  <c r="AO253" i="3"/>
  <c r="BO253" i="3"/>
  <c r="AJ253" i="3"/>
  <c r="BQ253" i="3"/>
  <c r="Y253" i="3"/>
  <c r="AT253" i="3"/>
  <c r="O253" i="3"/>
  <c r="AY253" i="3"/>
  <c r="BD253" i="3"/>
  <c r="T253" i="3"/>
  <c r="AN253" i="3"/>
  <c r="BN253" i="3"/>
  <c r="AI253" i="3"/>
  <c r="AW253" i="3"/>
  <c r="X253" i="3"/>
  <c r="AS253" i="3"/>
  <c r="N253" i="3"/>
  <c r="AV253" i="3"/>
  <c r="W253" i="3"/>
  <c r="R253" i="3"/>
  <c r="BG253" i="3"/>
  <c r="AA253" i="3"/>
  <c r="BB253" i="3"/>
  <c r="AQ253" i="3"/>
  <c r="L253" i="3"/>
  <c r="BF253" i="3"/>
  <c r="V253" i="3"/>
  <c r="BK253" i="3"/>
  <c r="AF253" i="3"/>
  <c r="BM253" i="3"/>
  <c r="BA346" i="3"/>
  <c r="AF21" i="3"/>
  <c r="Q330" i="3"/>
  <c r="BM57" i="3"/>
  <c r="AW57" i="3"/>
  <c r="AG57" i="3"/>
  <c r="Q57" i="3"/>
  <c r="BL57" i="3"/>
  <c r="AV57" i="3"/>
  <c r="AF57" i="3"/>
  <c r="P57" i="3"/>
  <c r="BK57" i="3"/>
  <c r="AU57" i="3"/>
  <c r="AE57" i="3"/>
  <c r="O57" i="3"/>
  <c r="BJ57" i="3"/>
  <c r="AT57" i="3"/>
  <c r="AD57" i="3"/>
  <c r="N57" i="3"/>
  <c r="BI57" i="3"/>
  <c r="AS57" i="3"/>
  <c r="AC57" i="3"/>
  <c r="M57" i="3"/>
  <c r="BH57" i="3"/>
  <c r="AR57" i="3"/>
  <c r="AB57" i="3"/>
  <c r="L57" i="3"/>
  <c r="BG57" i="3"/>
  <c r="AQ57" i="3"/>
  <c r="AA57" i="3"/>
  <c r="K57" i="3"/>
  <c r="BF57" i="3"/>
  <c r="AP57" i="3"/>
  <c r="Z57" i="3"/>
  <c r="BE57" i="3"/>
  <c r="AO57" i="3"/>
  <c r="Y57" i="3"/>
  <c r="BD57" i="3"/>
  <c r="AN57" i="3"/>
  <c r="X57" i="3"/>
  <c r="BS57" i="3"/>
  <c r="BC57" i="3"/>
  <c r="AM57" i="3"/>
  <c r="W57" i="3"/>
  <c r="BQ57" i="3"/>
  <c r="T57" i="3"/>
  <c r="BP57" i="3"/>
  <c r="S57" i="3"/>
  <c r="BO57" i="3"/>
  <c r="R57" i="3"/>
  <c r="BN57" i="3"/>
  <c r="BB57" i="3"/>
  <c r="BA57" i="3"/>
  <c r="AZ57" i="3"/>
  <c r="AY57" i="3"/>
  <c r="AX57" i="3"/>
  <c r="AL57" i="3"/>
  <c r="AK57" i="3"/>
  <c r="AJ57" i="3"/>
  <c r="BR57" i="3"/>
  <c r="AI57" i="3"/>
  <c r="AH57" i="3"/>
  <c r="V57" i="3"/>
  <c r="U57" i="3"/>
  <c r="BK47" i="3"/>
  <c r="BM47" i="3"/>
  <c r="AD47" i="3"/>
  <c r="BB47" i="3"/>
  <c r="P167" i="3"/>
  <c r="AX167" i="3"/>
  <c r="BQ167" i="3"/>
  <c r="J23" i="3"/>
  <c r="BI23" i="3" s="1"/>
  <c r="X131" i="3"/>
  <c r="BJ131" i="3"/>
  <c r="AC131" i="3"/>
  <c r="BA131" i="3"/>
  <c r="BI92" i="3"/>
  <c r="AS92" i="3"/>
  <c r="AC92" i="3"/>
  <c r="M92" i="3"/>
  <c r="BH92" i="3"/>
  <c r="AR92" i="3"/>
  <c r="AB92" i="3"/>
  <c r="L92" i="3"/>
  <c r="BG92" i="3"/>
  <c r="AQ92" i="3"/>
  <c r="AA92" i="3"/>
  <c r="K92" i="3"/>
  <c r="BF92" i="3"/>
  <c r="AP92" i="3"/>
  <c r="Z92" i="3"/>
  <c r="BE92" i="3"/>
  <c r="AO92" i="3"/>
  <c r="Y92" i="3"/>
  <c r="BD92" i="3"/>
  <c r="AN92" i="3"/>
  <c r="X92" i="3"/>
  <c r="BS92" i="3"/>
  <c r="BC92" i="3"/>
  <c r="AM92" i="3"/>
  <c r="W92" i="3"/>
  <c r="BR92" i="3"/>
  <c r="BB92" i="3"/>
  <c r="AL92" i="3"/>
  <c r="V92" i="3"/>
  <c r="BQ92" i="3"/>
  <c r="BA92" i="3"/>
  <c r="AK92" i="3"/>
  <c r="U92" i="3"/>
  <c r="BP92" i="3"/>
  <c r="AZ92" i="3"/>
  <c r="AJ92" i="3"/>
  <c r="T92" i="3"/>
  <c r="BO92" i="3"/>
  <c r="AY92" i="3"/>
  <c r="AI92" i="3"/>
  <c r="S92" i="3"/>
  <c r="BJ92" i="3"/>
  <c r="AX92" i="3"/>
  <c r="AW92" i="3"/>
  <c r="AV92" i="3"/>
  <c r="AU92" i="3"/>
  <c r="AT92" i="3"/>
  <c r="AH92" i="3"/>
  <c r="AG92" i="3"/>
  <c r="AF92" i="3"/>
  <c r="AE92" i="3"/>
  <c r="AD92" i="3"/>
  <c r="BL92" i="3"/>
  <c r="O92" i="3"/>
  <c r="BN92" i="3"/>
  <c r="BM92" i="3"/>
  <c r="BK92" i="3"/>
  <c r="R92" i="3"/>
  <c r="Q92" i="3"/>
  <c r="P92" i="3"/>
  <c r="N92" i="3"/>
  <c r="BD163" i="3"/>
  <c r="R163" i="3"/>
  <c r="AW163" i="3"/>
  <c r="BB163" i="3"/>
  <c r="AV317" i="3"/>
  <c r="BE317" i="3"/>
  <c r="AA317" i="3"/>
  <c r="BB317" i="3"/>
  <c r="AM213" i="3"/>
  <c r="AA213" i="3"/>
  <c r="AE213" i="3"/>
  <c r="AI213" i="3"/>
  <c r="AY198" i="3"/>
  <c r="L198" i="3"/>
  <c r="N198" i="3"/>
  <c r="W198" i="3"/>
  <c r="AK322" i="3"/>
  <c r="W322" i="3"/>
  <c r="L322" i="3"/>
  <c r="AO322" i="3"/>
  <c r="AU43" i="3"/>
  <c r="BG43" i="3"/>
  <c r="AZ43" i="3"/>
  <c r="AB44" i="3"/>
  <c r="M44" i="3"/>
  <c r="AR44" i="3"/>
  <c r="V44" i="3"/>
  <c r="BJ9" i="3"/>
  <c r="AZ9" i="3"/>
  <c r="M9" i="3"/>
  <c r="AF9" i="3"/>
  <c r="AY195" i="3"/>
  <c r="P195" i="3"/>
  <c r="AU195" i="3"/>
  <c r="AM195" i="3"/>
  <c r="J244" i="3"/>
  <c r="BG244" i="3" s="1"/>
  <c r="AJ10" i="3"/>
  <c r="U10" i="3"/>
  <c r="P10" i="3"/>
  <c r="Y63" i="3"/>
  <c r="BH63" i="3"/>
  <c r="BL63" i="3"/>
  <c r="BP63" i="3"/>
  <c r="BN84" i="3"/>
  <c r="AD84" i="3"/>
  <c r="AY84" i="3"/>
  <c r="BC84" i="3"/>
  <c r="BA48" i="3"/>
  <c r="BL48" i="3"/>
  <c r="BB48" i="3"/>
  <c r="AF177" i="3"/>
  <c r="BC177" i="3"/>
  <c r="AB177" i="3"/>
  <c r="AG231" i="3"/>
  <c r="Q231" i="3"/>
  <c r="BD231" i="3"/>
  <c r="BA99" i="3"/>
  <c r="BD99" i="3"/>
  <c r="AC99" i="3"/>
  <c r="AG99" i="3"/>
  <c r="BL145" i="3"/>
  <c r="AV145" i="3"/>
  <c r="AF145" i="3"/>
  <c r="P145" i="3"/>
  <c r="BK145" i="3"/>
  <c r="AU145" i="3"/>
  <c r="AE145" i="3"/>
  <c r="O145" i="3"/>
  <c r="BJ145" i="3"/>
  <c r="AT145" i="3"/>
  <c r="AD145" i="3"/>
  <c r="N145" i="3"/>
  <c r="BI145" i="3"/>
  <c r="AS145" i="3"/>
  <c r="AC145" i="3"/>
  <c r="M145" i="3"/>
  <c r="BH145" i="3"/>
  <c r="AR145" i="3"/>
  <c r="AB145" i="3"/>
  <c r="L145" i="3"/>
  <c r="BG145" i="3"/>
  <c r="AQ145" i="3"/>
  <c r="AA145" i="3"/>
  <c r="K145" i="3"/>
  <c r="BF145" i="3"/>
  <c r="AP145" i="3"/>
  <c r="Z145" i="3"/>
  <c r="BE145" i="3"/>
  <c r="AO145" i="3"/>
  <c r="Y145" i="3"/>
  <c r="BD145" i="3"/>
  <c r="AN145" i="3"/>
  <c r="X145" i="3"/>
  <c r="BS145" i="3"/>
  <c r="BC145" i="3"/>
  <c r="AM145" i="3"/>
  <c r="W145" i="3"/>
  <c r="BR145" i="3"/>
  <c r="BB145" i="3"/>
  <c r="AL145" i="3"/>
  <c r="V145" i="3"/>
  <c r="BN145" i="3"/>
  <c r="AX145" i="3"/>
  <c r="AH145" i="3"/>
  <c r="R145" i="3"/>
  <c r="AY145" i="3"/>
  <c r="AW145" i="3"/>
  <c r="AK145" i="3"/>
  <c r="AJ145" i="3"/>
  <c r="AI145" i="3"/>
  <c r="AG145" i="3"/>
  <c r="T145" i="3"/>
  <c r="S145" i="3"/>
  <c r="Q145" i="3"/>
  <c r="BQ145" i="3"/>
  <c r="BP145" i="3"/>
  <c r="BO145" i="3"/>
  <c r="BM145" i="3"/>
  <c r="BA145" i="3"/>
  <c r="AZ145" i="3"/>
  <c r="U145" i="3"/>
  <c r="R199" i="3"/>
  <c r="AH199" i="3"/>
  <c r="O199" i="3"/>
  <c r="W199" i="3"/>
  <c r="J274" i="3"/>
  <c r="AE274" i="3" s="1"/>
  <c r="K323" i="3"/>
  <c r="AE323" i="3"/>
  <c r="BD323" i="3"/>
  <c r="AY323" i="3"/>
  <c r="M335" i="3"/>
  <c r="BJ335" i="3"/>
  <c r="BO335" i="3"/>
  <c r="V335" i="3"/>
  <c r="BC217" i="3"/>
  <c r="N217" i="3"/>
  <c r="R217" i="3"/>
  <c r="V217" i="3"/>
  <c r="W193" i="3"/>
  <c r="Y193" i="3"/>
  <c r="AE193" i="3"/>
  <c r="AY193" i="3"/>
  <c r="BF289" i="3"/>
  <c r="AU289" i="3"/>
  <c r="AY289" i="3"/>
  <c r="BD289" i="3"/>
  <c r="I102" i="7"/>
  <c r="I98" i="7"/>
  <c r="O297" i="3"/>
  <c r="AY297" i="3"/>
  <c r="BS297" i="3"/>
  <c r="AS297" i="3"/>
  <c r="BD72" i="3"/>
  <c r="BM72" i="3"/>
  <c r="AZ72" i="3"/>
  <c r="BJ72" i="3"/>
  <c r="X299" i="3"/>
  <c r="AT299" i="3"/>
  <c r="R299" i="3"/>
  <c r="BN353" i="3"/>
  <c r="BP353" i="3"/>
  <c r="AM353" i="3"/>
  <c r="R86" i="3"/>
  <c r="AP86" i="3"/>
  <c r="AL86" i="3"/>
  <c r="AZ239" i="3"/>
  <c r="Y239" i="3"/>
  <c r="BK239" i="3"/>
  <c r="AG202" i="3"/>
  <c r="AX202" i="3"/>
  <c r="BI202" i="3"/>
  <c r="R261" i="3"/>
  <c r="BJ23" i="4"/>
  <c r="AD23" i="4"/>
  <c r="AB253" i="3"/>
  <c r="S253" i="3"/>
  <c r="BD346" i="3"/>
  <c r="W344" i="3"/>
  <c r="V344" i="3"/>
  <c r="L344" i="3"/>
  <c r="M344" i="3"/>
  <c r="BC344" i="3"/>
  <c r="AV344" i="3"/>
  <c r="BL344" i="3"/>
  <c r="AL344" i="3"/>
  <c r="T344" i="3"/>
  <c r="AH344" i="3"/>
  <c r="U344" i="3"/>
  <c r="AU344" i="3"/>
  <c r="K344" i="3"/>
  <c r="BJ344" i="3"/>
  <c r="BR344" i="3"/>
  <c r="S344" i="3"/>
  <c r="BG344" i="3"/>
  <c r="AT344" i="3"/>
  <c r="BA344" i="3"/>
  <c r="BS344" i="3"/>
  <c r="AF344" i="3"/>
  <c r="AD344" i="3"/>
  <c r="AJ344" i="3"/>
  <c r="AS344" i="3"/>
  <c r="BF344" i="3"/>
  <c r="N344" i="3"/>
  <c r="BQ344" i="3"/>
  <c r="Q344" i="3"/>
  <c r="AE344" i="3"/>
  <c r="BI344" i="3"/>
  <c r="AZ344" i="3"/>
  <c r="BP344" i="3"/>
  <c r="BN344" i="3"/>
  <c r="AR344" i="3"/>
  <c r="AI344" i="3"/>
  <c r="AP344" i="3"/>
  <c r="BK344" i="3"/>
  <c r="AA344" i="3"/>
  <c r="R344" i="3"/>
  <c r="P344" i="3"/>
  <c r="BD344" i="3"/>
  <c r="BH344" i="3"/>
  <c r="AY344" i="3"/>
  <c r="BO344" i="3"/>
  <c r="BB344" i="3"/>
  <c r="AQ344" i="3"/>
  <c r="Y344" i="3"/>
  <c r="AO344" i="3"/>
  <c r="AM344" i="3"/>
  <c r="Z344" i="3"/>
  <c r="AX344" i="3"/>
  <c r="O344" i="3"/>
  <c r="AG344" i="3"/>
  <c r="BE344" i="3"/>
  <c r="X344" i="3"/>
  <c r="BM344" i="3"/>
  <c r="AC344" i="3"/>
  <c r="AN344" i="3"/>
  <c r="AW344" i="3"/>
  <c r="AK344" i="3"/>
  <c r="AB344" i="3"/>
  <c r="BL21" i="3"/>
  <c r="AL330" i="3"/>
  <c r="BQ117" i="3"/>
  <c r="AK117" i="3"/>
  <c r="U117" i="3"/>
  <c r="AZ117" i="3"/>
  <c r="AJ117" i="3"/>
  <c r="T117" i="3"/>
  <c r="BO117" i="3"/>
  <c r="AY117" i="3"/>
  <c r="AI117" i="3"/>
  <c r="S117" i="3"/>
  <c r="BN117" i="3"/>
  <c r="AH117" i="3"/>
  <c r="R117" i="3"/>
  <c r="BM117" i="3"/>
  <c r="AG117" i="3"/>
  <c r="Q117" i="3"/>
  <c r="AV117" i="3"/>
  <c r="AF117" i="3"/>
  <c r="P117" i="3"/>
  <c r="BJ117" i="3"/>
  <c r="BH117" i="3"/>
  <c r="AR117" i="3"/>
  <c r="AB117" i="3"/>
  <c r="BG117" i="3"/>
  <c r="AP117" i="3"/>
  <c r="Z117" i="3"/>
  <c r="BE117" i="3"/>
  <c r="AD117" i="3"/>
  <c r="BR117" i="3"/>
  <c r="BK117" i="3"/>
  <c r="AA117" i="3"/>
  <c r="BI117" i="3"/>
  <c r="Y117" i="3"/>
  <c r="BD117" i="3"/>
  <c r="X117" i="3"/>
  <c r="BC117" i="3"/>
  <c r="W117" i="3"/>
  <c r="V117" i="3"/>
  <c r="AU117" i="3"/>
  <c r="O117" i="3"/>
  <c r="N117" i="3"/>
  <c r="AS117" i="3"/>
  <c r="AQ117" i="3"/>
  <c r="L117" i="3"/>
  <c r="AL117" i="3"/>
  <c r="K117" i="3"/>
  <c r="AM117" i="3"/>
  <c r="AO117" i="3"/>
  <c r="AN117" i="3"/>
  <c r="AE117" i="3"/>
  <c r="J117" i="3"/>
  <c r="AX117" i="3" s="1"/>
  <c r="Y43" i="3"/>
  <c r="BJ84" i="3"/>
  <c r="X193" i="3"/>
  <c r="AX193" i="3"/>
  <c r="J58" i="3"/>
  <c r="AE58" i="3" s="1"/>
  <c r="AJ167" i="3"/>
  <c r="AB167" i="3"/>
  <c r="V167" i="3"/>
  <c r="J287" i="3"/>
  <c r="T287" i="3" s="1"/>
  <c r="AE131" i="3"/>
  <c r="R131" i="3"/>
  <c r="AW131" i="3"/>
  <c r="BQ131" i="3"/>
  <c r="BR12" i="3"/>
  <c r="BQ12" i="3"/>
  <c r="BA12" i="3"/>
  <c r="AK12" i="3"/>
  <c r="U12" i="3"/>
  <c r="AZ12" i="3"/>
  <c r="T12" i="3"/>
  <c r="BP12" i="3"/>
  <c r="AJ12" i="3"/>
  <c r="BO12" i="3"/>
  <c r="AY12" i="3"/>
  <c r="AI12" i="3"/>
  <c r="S12" i="3"/>
  <c r="BN12" i="3"/>
  <c r="AX12" i="3"/>
  <c r="AH12" i="3"/>
  <c r="R12" i="3"/>
  <c r="BL12" i="3"/>
  <c r="AV12" i="3"/>
  <c r="AF12" i="3"/>
  <c r="P12" i="3"/>
  <c r="BJ12" i="3"/>
  <c r="AT12" i="3"/>
  <c r="AD12" i="3"/>
  <c r="N12" i="3"/>
  <c r="AQ12" i="3"/>
  <c r="Q12" i="3"/>
  <c r="BI12" i="3"/>
  <c r="BS12" i="3"/>
  <c r="AP12" i="3"/>
  <c r="O12" i="3"/>
  <c r="Z12" i="3"/>
  <c r="BM12" i="3"/>
  <c r="AO12" i="3"/>
  <c r="M12" i="3"/>
  <c r="K12" i="3"/>
  <c r="BK12" i="3"/>
  <c r="AN12" i="3"/>
  <c r="L12" i="3"/>
  <c r="AM12" i="3"/>
  <c r="BH12" i="3"/>
  <c r="AL12" i="3"/>
  <c r="BG12" i="3"/>
  <c r="AG12" i="3"/>
  <c r="BF12" i="3"/>
  <c r="AE12" i="3"/>
  <c r="BE12" i="3"/>
  <c r="AC12" i="3"/>
  <c r="BD12" i="3"/>
  <c r="AB12" i="3"/>
  <c r="BC12" i="3"/>
  <c r="AA12" i="3"/>
  <c r="BB12" i="3"/>
  <c r="AW12" i="3"/>
  <c r="Y12" i="3"/>
  <c r="AU12" i="3"/>
  <c r="X12" i="3"/>
  <c r="AS12" i="3"/>
  <c r="W12" i="3"/>
  <c r="AR12" i="3"/>
  <c r="V12" i="3"/>
  <c r="J93" i="3"/>
  <c r="AS93" i="3" s="1"/>
  <c r="BF163" i="3"/>
  <c r="AQ163" i="3"/>
  <c r="AC163" i="3"/>
  <c r="BR163" i="3"/>
  <c r="AW317" i="3"/>
  <c r="T317" i="3"/>
  <c r="AS317" i="3"/>
  <c r="BR317" i="3"/>
  <c r="AN213" i="3"/>
  <c r="AQ213" i="3"/>
  <c r="AU213" i="3"/>
  <c r="AY213" i="3"/>
  <c r="BF198" i="3"/>
  <c r="AP198" i="3"/>
  <c r="AD198" i="3"/>
  <c r="AM198" i="3"/>
  <c r="BM43" i="3"/>
  <c r="AA43" i="3"/>
  <c r="M43" i="3"/>
  <c r="BP43" i="3"/>
  <c r="AC44" i="3"/>
  <c r="AH44" i="3"/>
  <c r="BM44" i="3"/>
  <c r="AL44" i="3"/>
  <c r="T9" i="3"/>
  <c r="AB9" i="3"/>
  <c r="AL9" i="3"/>
  <c r="AV9" i="3"/>
  <c r="BR83" i="3"/>
  <c r="BB83" i="3"/>
  <c r="AL83" i="3"/>
  <c r="V83" i="3"/>
  <c r="BQ83" i="3"/>
  <c r="BA83" i="3"/>
  <c r="AK83" i="3"/>
  <c r="U83" i="3"/>
  <c r="BP83" i="3"/>
  <c r="AZ83" i="3"/>
  <c r="AJ83" i="3"/>
  <c r="T83" i="3"/>
  <c r="BO83" i="3"/>
  <c r="AY83" i="3"/>
  <c r="AI83" i="3"/>
  <c r="S83" i="3"/>
  <c r="BN83" i="3"/>
  <c r="AX83" i="3"/>
  <c r="AH83" i="3"/>
  <c r="R83" i="3"/>
  <c r="BC83" i="3"/>
  <c r="AC83" i="3"/>
  <c r="AW83" i="3"/>
  <c r="AB83" i="3"/>
  <c r="AV83" i="3"/>
  <c r="AA83" i="3"/>
  <c r="AU83" i="3"/>
  <c r="Z83" i="3"/>
  <c r="AT83" i="3"/>
  <c r="Y83" i="3"/>
  <c r="BS83" i="3"/>
  <c r="AS83" i="3"/>
  <c r="X83" i="3"/>
  <c r="BM83" i="3"/>
  <c r="AR83" i="3"/>
  <c r="W83" i="3"/>
  <c r="BL83" i="3"/>
  <c r="AQ83" i="3"/>
  <c r="Q83" i="3"/>
  <c r="BK83" i="3"/>
  <c r="AP83" i="3"/>
  <c r="P83" i="3"/>
  <c r="BJ83" i="3"/>
  <c r="AO83" i="3"/>
  <c r="O83" i="3"/>
  <c r="BI83" i="3"/>
  <c r="AN83" i="3"/>
  <c r="N83" i="3"/>
  <c r="BE83" i="3"/>
  <c r="AE83" i="3"/>
  <c r="BH83" i="3"/>
  <c r="BG83" i="3"/>
  <c r="BF83" i="3"/>
  <c r="BD83" i="3"/>
  <c r="AM83" i="3"/>
  <c r="AG83" i="3"/>
  <c r="AF83" i="3"/>
  <c r="AD83" i="3"/>
  <c r="M83" i="3"/>
  <c r="L83" i="3"/>
  <c r="K83" i="3"/>
  <c r="BE195" i="3"/>
  <c r="AP195" i="3"/>
  <c r="AA195" i="3"/>
  <c r="BC195" i="3"/>
  <c r="BE10" i="3"/>
  <c r="AP10" i="3"/>
  <c r="AF10" i="3"/>
  <c r="Z63" i="3"/>
  <c r="M63" i="3"/>
  <c r="Q63" i="3"/>
  <c r="U63" i="3"/>
  <c r="O84" i="3"/>
  <c r="BD84" i="3"/>
  <c r="BO84" i="3"/>
  <c r="BS84" i="3"/>
  <c r="AE48" i="3"/>
  <c r="O48" i="3"/>
  <c r="BR48" i="3"/>
  <c r="AG177" i="3"/>
  <c r="BS177" i="3"/>
  <c r="AR177" i="3"/>
  <c r="AA199" i="3"/>
  <c r="BN199" i="3"/>
  <c r="AE199" i="3"/>
  <c r="AM199" i="3"/>
  <c r="BQ298" i="3"/>
  <c r="BA298" i="3"/>
  <c r="AK298" i="3"/>
  <c r="U298" i="3"/>
  <c r="BM298" i="3"/>
  <c r="AV298" i="3"/>
  <c r="AE298" i="3"/>
  <c r="N298" i="3"/>
  <c r="BL298" i="3"/>
  <c r="AU298" i="3"/>
  <c r="AD298" i="3"/>
  <c r="M298" i="3"/>
  <c r="BK298" i="3"/>
  <c r="AT298" i="3"/>
  <c r="AC298" i="3"/>
  <c r="L298" i="3"/>
  <c r="BJ298" i="3"/>
  <c r="AS298" i="3"/>
  <c r="AB298" i="3"/>
  <c r="K298" i="3"/>
  <c r="BI298" i="3"/>
  <c r="AR298" i="3"/>
  <c r="AA298" i="3"/>
  <c r="BG298" i="3"/>
  <c r="AP298" i="3"/>
  <c r="Y298" i="3"/>
  <c r="BF298" i="3"/>
  <c r="AO298" i="3"/>
  <c r="X298" i="3"/>
  <c r="BE298" i="3"/>
  <c r="AN298" i="3"/>
  <c r="W298" i="3"/>
  <c r="BD298" i="3"/>
  <c r="AM298" i="3"/>
  <c r="V298" i="3"/>
  <c r="BC298" i="3"/>
  <c r="AL298" i="3"/>
  <c r="T298" i="3"/>
  <c r="BS298" i="3"/>
  <c r="BB298" i="3"/>
  <c r="AJ298" i="3"/>
  <c r="S298" i="3"/>
  <c r="BR298" i="3"/>
  <c r="AZ298" i="3"/>
  <c r="AI298" i="3"/>
  <c r="R298" i="3"/>
  <c r="AQ298" i="3"/>
  <c r="AH298" i="3"/>
  <c r="AG298" i="3"/>
  <c r="AF298" i="3"/>
  <c r="Z298" i="3"/>
  <c r="Q298" i="3"/>
  <c r="P298" i="3"/>
  <c r="O298" i="3"/>
  <c r="BP298" i="3"/>
  <c r="BO298" i="3"/>
  <c r="BN298" i="3"/>
  <c r="AY298" i="3"/>
  <c r="BH298" i="3"/>
  <c r="AX298" i="3"/>
  <c r="AW298" i="3"/>
  <c r="L323" i="3"/>
  <c r="AW323" i="3"/>
  <c r="S323" i="3"/>
  <c r="BO323" i="3"/>
  <c r="BD217" i="3"/>
  <c r="AD217" i="3"/>
  <c r="AH217" i="3"/>
  <c r="AL217" i="3"/>
  <c r="Q193" i="3"/>
  <c r="AS193" i="3"/>
  <c r="BD193" i="3"/>
  <c r="BO193" i="3"/>
  <c r="BG289" i="3"/>
  <c r="BK289" i="3"/>
  <c r="BO289" i="3"/>
  <c r="Y289" i="3"/>
  <c r="BP79" i="3"/>
  <c r="AZ79" i="3"/>
  <c r="AJ79" i="3"/>
  <c r="T79" i="3"/>
  <c r="BO79" i="3"/>
  <c r="AY79" i="3"/>
  <c r="AI79" i="3"/>
  <c r="S79" i="3"/>
  <c r="BN79" i="3"/>
  <c r="AX79" i="3"/>
  <c r="AH79" i="3"/>
  <c r="R79" i="3"/>
  <c r="BM79" i="3"/>
  <c r="AW79" i="3"/>
  <c r="AG79" i="3"/>
  <c r="Q79" i="3"/>
  <c r="BL79" i="3"/>
  <c r="AV79" i="3"/>
  <c r="AF79" i="3"/>
  <c r="P79" i="3"/>
  <c r="BE79" i="3"/>
  <c r="AE79" i="3"/>
  <c r="BD79" i="3"/>
  <c r="AD79" i="3"/>
  <c r="BC79" i="3"/>
  <c r="AC79" i="3"/>
  <c r="BB79" i="3"/>
  <c r="AB79" i="3"/>
  <c r="BA79" i="3"/>
  <c r="AA79" i="3"/>
  <c r="AU79" i="3"/>
  <c r="Z79" i="3"/>
  <c r="AT79" i="3"/>
  <c r="Y79" i="3"/>
  <c r="BS79" i="3"/>
  <c r="AS79" i="3"/>
  <c r="X79" i="3"/>
  <c r="BR79" i="3"/>
  <c r="AR79" i="3"/>
  <c r="W79" i="3"/>
  <c r="BQ79" i="3"/>
  <c r="AQ79" i="3"/>
  <c r="V79" i="3"/>
  <c r="BK79" i="3"/>
  <c r="AP79" i="3"/>
  <c r="U79" i="3"/>
  <c r="BG79" i="3"/>
  <c r="AL79" i="3"/>
  <c r="L79" i="3"/>
  <c r="BJ79" i="3"/>
  <c r="BI79" i="3"/>
  <c r="BH79" i="3"/>
  <c r="BF79" i="3"/>
  <c r="AO79" i="3"/>
  <c r="AN79" i="3"/>
  <c r="AM79" i="3"/>
  <c r="AK79" i="3"/>
  <c r="O79" i="3"/>
  <c r="N79" i="3"/>
  <c r="M79" i="3"/>
  <c r="K79" i="3"/>
  <c r="P297" i="3"/>
  <c r="BO297" i="3"/>
  <c r="Y297" i="3"/>
  <c r="BI297" i="3"/>
  <c r="AO299" i="3"/>
  <c r="BK299" i="3"/>
  <c r="AI299" i="3"/>
  <c r="R353" i="3"/>
  <c r="AB353" i="3"/>
  <c r="BI353" i="3"/>
  <c r="T86" i="3"/>
  <c r="L86" i="3"/>
  <c r="BB86" i="3"/>
  <c r="BB239" i="3"/>
  <c r="AO239" i="3"/>
  <c r="P239" i="3"/>
  <c r="BM202" i="3"/>
  <c r="BN202" i="3"/>
  <c r="Q23" i="4"/>
  <c r="Y23" i="4"/>
  <c r="S346" i="3"/>
  <c r="AZ35" i="4"/>
  <c r="AK21" i="3"/>
  <c r="BR330" i="3"/>
  <c r="BF43" i="3"/>
  <c r="BR84" i="3"/>
  <c r="AN217" i="3"/>
  <c r="AC217" i="3"/>
  <c r="AG217" i="3"/>
  <c r="AK217" i="3"/>
  <c r="BJ54" i="3"/>
  <c r="BF54" i="3"/>
  <c r="V54" i="3"/>
  <c r="AG54" i="3"/>
  <c r="BP218" i="3"/>
  <c r="AZ218" i="3"/>
  <c r="AJ218" i="3"/>
  <c r="T218" i="3"/>
  <c r="BG218" i="3"/>
  <c r="AP218" i="3"/>
  <c r="Y218" i="3"/>
  <c r="BF218" i="3"/>
  <c r="AO218" i="3"/>
  <c r="X218" i="3"/>
  <c r="BE218" i="3"/>
  <c r="AN218" i="3"/>
  <c r="W218" i="3"/>
  <c r="BD218" i="3"/>
  <c r="AM218" i="3"/>
  <c r="V218" i="3"/>
  <c r="BC218" i="3"/>
  <c r="AL218" i="3"/>
  <c r="U218" i="3"/>
  <c r="BS218" i="3"/>
  <c r="BB218" i="3"/>
  <c r="AK218" i="3"/>
  <c r="S218" i="3"/>
  <c r="BR218" i="3"/>
  <c r="BA218" i="3"/>
  <c r="AI218" i="3"/>
  <c r="R218" i="3"/>
  <c r="BQ218" i="3"/>
  <c r="AY218" i="3"/>
  <c r="AH218" i="3"/>
  <c r="Q218" i="3"/>
  <c r="BO218" i="3"/>
  <c r="AX218" i="3"/>
  <c r="AG218" i="3"/>
  <c r="P218" i="3"/>
  <c r="BN218" i="3"/>
  <c r="AW218" i="3"/>
  <c r="AF218" i="3"/>
  <c r="O218" i="3"/>
  <c r="BM218" i="3"/>
  <c r="AV218" i="3"/>
  <c r="AE218" i="3"/>
  <c r="N218" i="3"/>
  <c r="BL218" i="3"/>
  <c r="AU218" i="3"/>
  <c r="AD218" i="3"/>
  <c r="M218" i="3"/>
  <c r="K218" i="3"/>
  <c r="BK218" i="3"/>
  <c r="BJ218" i="3"/>
  <c r="BI218" i="3"/>
  <c r="BH218" i="3"/>
  <c r="AT218" i="3"/>
  <c r="AS218" i="3"/>
  <c r="AR218" i="3"/>
  <c r="AQ218" i="3"/>
  <c r="Z218" i="3"/>
  <c r="AC218" i="3"/>
  <c r="AB218" i="3"/>
  <c r="AA218" i="3"/>
  <c r="L218" i="3"/>
  <c r="AQ167" i="3"/>
  <c r="J55" i="3"/>
  <c r="AR55" i="3" s="1"/>
  <c r="BK110" i="3"/>
  <c r="AU110" i="3"/>
  <c r="AE110" i="3"/>
  <c r="O110" i="3"/>
  <c r="BG110" i="3"/>
  <c r="AP110" i="3"/>
  <c r="Y110" i="3"/>
  <c r="BF110" i="3"/>
  <c r="AO110" i="3"/>
  <c r="X110" i="3"/>
  <c r="BE110" i="3"/>
  <c r="AN110" i="3"/>
  <c r="W110" i="3"/>
  <c r="BD110" i="3"/>
  <c r="AM110" i="3"/>
  <c r="V110" i="3"/>
  <c r="BC110" i="3"/>
  <c r="AL110" i="3"/>
  <c r="U110" i="3"/>
  <c r="BS110" i="3"/>
  <c r="BB110" i="3"/>
  <c r="AK110" i="3"/>
  <c r="T110" i="3"/>
  <c r="BR110" i="3"/>
  <c r="BA110" i="3"/>
  <c r="AJ110" i="3"/>
  <c r="S110" i="3"/>
  <c r="BQ110" i="3"/>
  <c r="AZ110" i="3"/>
  <c r="AI110" i="3"/>
  <c r="R110" i="3"/>
  <c r="BP110" i="3"/>
  <c r="AY110" i="3"/>
  <c r="AH110" i="3"/>
  <c r="Q110" i="3"/>
  <c r="BO110" i="3"/>
  <c r="AX110" i="3"/>
  <c r="AG110" i="3"/>
  <c r="P110" i="3"/>
  <c r="BN110" i="3"/>
  <c r="AW110" i="3"/>
  <c r="AF110" i="3"/>
  <c r="N110" i="3"/>
  <c r="BI110" i="3"/>
  <c r="AR110" i="3"/>
  <c r="AA110" i="3"/>
  <c r="K110" i="3"/>
  <c r="BM110" i="3"/>
  <c r="BL110" i="3"/>
  <c r="BJ110" i="3"/>
  <c r="BH110" i="3"/>
  <c r="AV110" i="3"/>
  <c r="AT110" i="3"/>
  <c r="AS110" i="3"/>
  <c r="AQ110" i="3"/>
  <c r="AD110" i="3"/>
  <c r="M110" i="3"/>
  <c r="AC110" i="3"/>
  <c r="AB110" i="3"/>
  <c r="Z110" i="3"/>
  <c r="L110" i="3"/>
  <c r="J109" i="3"/>
  <c r="BQ109" i="3" s="1"/>
  <c r="N47" i="3"/>
  <c r="AS47" i="3"/>
  <c r="AE47" i="3"/>
  <c r="W47" i="3"/>
  <c r="BO189" i="3"/>
  <c r="AY189" i="3"/>
  <c r="AI189" i="3"/>
  <c r="S189" i="3"/>
  <c r="BL189" i="3"/>
  <c r="AV189" i="3"/>
  <c r="AF189" i="3"/>
  <c r="BH189" i="3"/>
  <c r="AP189" i="3"/>
  <c r="X189" i="3"/>
  <c r="BG189" i="3"/>
  <c r="AO189" i="3"/>
  <c r="W189" i="3"/>
  <c r="BF189" i="3"/>
  <c r="AN189" i="3"/>
  <c r="V189" i="3"/>
  <c r="BE189" i="3"/>
  <c r="AM189" i="3"/>
  <c r="U189" i="3"/>
  <c r="BD189" i="3"/>
  <c r="AL189" i="3"/>
  <c r="T189" i="3"/>
  <c r="BC189" i="3"/>
  <c r="AK189" i="3"/>
  <c r="R189" i="3"/>
  <c r="BB189" i="3"/>
  <c r="AJ189" i="3"/>
  <c r="Q189" i="3"/>
  <c r="BS189" i="3"/>
  <c r="BA189" i="3"/>
  <c r="AH189" i="3"/>
  <c r="P189" i="3"/>
  <c r="BR189" i="3"/>
  <c r="AZ189" i="3"/>
  <c r="AG189" i="3"/>
  <c r="O189" i="3"/>
  <c r="BQ189" i="3"/>
  <c r="AX189" i="3"/>
  <c r="AE189" i="3"/>
  <c r="N189" i="3"/>
  <c r="BP189" i="3"/>
  <c r="AW189" i="3"/>
  <c r="AD189" i="3"/>
  <c r="M189" i="3"/>
  <c r="BJ189" i="3"/>
  <c r="AR189" i="3"/>
  <c r="Z189" i="3"/>
  <c r="AT189" i="3"/>
  <c r="AS189" i="3"/>
  <c r="AQ189" i="3"/>
  <c r="AC189" i="3"/>
  <c r="AB189" i="3"/>
  <c r="AA189" i="3"/>
  <c r="Y189" i="3"/>
  <c r="L189" i="3"/>
  <c r="K189" i="3"/>
  <c r="BI189" i="3"/>
  <c r="BN189" i="3"/>
  <c r="BM189" i="3"/>
  <c r="BK189" i="3"/>
  <c r="AU189" i="3"/>
  <c r="AP167" i="3"/>
  <c r="BN167" i="3"/>
  <c r="AY167" i="3"/>
  <c r="AL167" i="3"/>
  <c r="O53" i="3"/>
  <c r="AF53" i="3"/>
  <c r="BC53" i="3"/>
  <c r="AF131" i="3"/>
  <c r="AP131" i="3"/>
  <c r="AD131" i="3"/>
  <c r="V131" i="3"/>
  <c r="BG163" i="3"/>
  <c r="BL163" i="3"/>
  <c r="AX163" i="3"/>
  <c r="W163" i="3"/>
  <c r="AX317" i="3"/>
  <c r="AN317" i="3"/>
  <c r="BK317" i="3"/>
  <c r="BQ263" i="3"/>
  <c r="Z263" i="3"/>
  <c r="AD263" i="3"/>
  <c r="BA213" i="3"/>
  <c r="BG213" i="3"/>
  <c r="BK213" i="3"/>
  <c r="BO213" i="3"/>
  <c r="BG198" i="3"/>
  <c r="BO198" i="3"/>
  <c r="AT198" i="3"/>
  <c r="BC198" i="3"/>
  <c r="AZ322" i="3"/>
  <c r="BI322" i="3"/>
  <c r="J113" i="3"/>
  <c r="AF113" i="3" s="1"/>
  <c r="BN43" i="3"/>
  <c r="AV43" i="3"/>
  <c r="AH43" i="3"/>
  <c r="U43" i="3"/>
  <c r="AU44" i="3"/>
  <c r="BH44" i="3"/>
  <c r="S44" i="3"/>
  <c r="BB44" i="3"/>
  <c r="AO9" i="3"/>
  <c r="BA9" i="3"/>
  <c r="BH9" i="3"/>
  <c r="BL9" i="3"/>
  <c r="J82" i="3"/>
  <c r="AI82" i="3" s="1"/>
  <c r="AC195" i="3"/>
  <c r="BK195" i="3"/>
  <c r="AV195" i="3"/>
  <c r="BS195" i="3"/>
  <c r="K10" i="3"/>
  <c r="BP10" i="3"/>
  <c r="AV10" i="3"/>
  <c r="AL63" i="3"/>
  <c r="AC63" i="3"/>
  <c r="AG63" i="3"/>
  <c r="AK63" i="3"/>
  <c r="AO84" i="3"/>
  <c r="AE84" i="3"/>
  <c r="T84" i="3"/>
  <c r="R48" i="3"/>
  <c r="BG48" i="3"/>
  <c r="AQ48" i="3"/>
  <c r="W48" i="3"/>
  <c r="AW177" i="3"/>
  <c r="AH177" i="3"/>
  <c r="X177" i="3"/>
  <c r="BH177" i="3"/>
  <c r="W231" i="3"/>
  <c r="AI231" i="3"/>
  <c r="BS231" i="3"/>
  <c r="BC99" i="3"/>
  <c r="AO99" i="3"/>
  <c r="BI99" i="3"/>
  <c r="BM99" i="3"/>
  <c r="AB199" i="3"/>
  <c r="AJ199" i="3"/>
  <c r="AU199" i="3"/>
  <c r="BC199" i="3"/>
  <c r="X323" i="3"/>
  <c r="N323" i="3"/>
  <c r="AK323" i="3"/>
  <c r="BP323" i="3"/>
  <c r="X335" i="3"/>
  <c r="AC335" i="3"/>
  <c r="AH335" i="3"/>
  <c r="BD335" i="3"/>
  <c r="BE217" i="3"/>
  <c r="AT217" i="3"/>
  <c r="AX217" i="3"/>
  <c r="BB217" i="3"/>
  <c r="AM193" i="3"/>
  <c r="BS193" i="3"/>
  <c r="N193" i="3"/>
  <c r="AZ193" i="3"/>
  <c r="BH289" i="3"/>
  <c r="P289" i="3"/>
  <c r="U289" i="3"/>
  <c r="AO289" i="3"/>
  <c r="BM76" i="3"/>
  <c r="AW76" i="3"/>
  <c r="AG76" i="3"/>
  <c r="Q76" i="3"/>
  <c r="BL76" i="3"/>
  <c r="AV76" i="3"/>
  <c r="AF76" i="3"/>
  <c r="P76" i="3"/>
  <c r="BJ76" i="3"/>
  <c r="AT76" i="3"/>
  <c r="AD76" i="3"/>
  <c r="N76" i="3"/>
  <c r="BI76" i="3"/>
  <c r="AP76" i="3"/>
  <c r="W76" i="3"/>
  <c r="BH76" i="3"/>
  <c r="AO76" i="3"/>
  <c r="V76" i="3"/>
  <c r="BG76" i="3"/>
  <c r="AN76" i="3"/>
  <c r="U76" i="3"/>
  <c r="BF76" i="3"/>
  <c r="AM76" i="3"/>
  <c r="T76" i="3"/>
  <c r="BE76" i="3"/>
  <c r="AL76" i="3"/>
  <c r="S76" i="3"/>
  <c r="BD76" i="3"/>
  <c r="AK76" i="3"/>
  <c r="R76" i="3"/>
  <c r="BC76" i="3"/>
  <c r="AJ76" i="3"/>
  <c r="O76" i="3"/>
  <c r="BB76" i="3"/>
  <c r="AI76" i="3"/>
  <c r="M76" i="3"/>
  <c r="BA76" i="3"/>
  <c r="AH76" i="3"/>
  <c r="L76" i="3"/>
  <c r="BS76" i="3"/>
  <c r="AZ76" i="3"/>
  <c r="AE76" i="3"/>
  <c r="K76" i="3"/>
  <c r="BR76" i="3"/>
  <c r="AY76" i="3"/>
  <c r="AC76" i="3"/>
  <c r="BN76" i="3"/>
  <c r="AR76" i="3"/>
  <c r="Y76" i="3"/>
  <c r="BQ76" i="3"/>
  <c r="BP76" i="3"/>
  <c r="BO76" i="3"/>
  <c r="BK76" i="3"/>
  <c r="AX76" i="3"/>
  <c r="AU76" i="3"/>
  <c r="AS76" i="3"/>
  <c r="AQ76" i="3"/>
  <c r="AB76" i="3"/>
  <c r="AA76" i="3"/>
  <c r="Z76" i="3"/>
  <c r="X76" i="3"/>
  <c r="BL75" i="3"/>
  <c r="AV75" i="3"/>
  <c r="AF75" i="3"/>
  <c r="P75" i="3"/>
  <c r="BK75" i="3"/>
  <c r="AU75" i="3"/>
  <c r="AE75" i="3"/>
  <c r="O75" i="3"/>
  <c r="BI75" i="3"/>
  <c r="AS75" i="3"/>
  <c r="AC75" i="3"/>
  <c r="M75" i="3"/>
  <c r="BO75" i="3"/>
  <c r="AT75" i="3"/>
  <c r="Z75" i="3"/>
  <c r="BN75" i="3"/>
  <c r="AR75" i="3"/>
  <c r="Y75" i="3"/>
  <c r="BM75" i="3"/>
  <c r="AQ75" i="3"/>
  <c r="X75" i="3"/>
  <c r="BJ75" i="3"/>
  <c r="AP75" i="3"/>
  <c r="W75" i="3"/>
  <c r="BH75" i="3"/>
  <c r="AO75" i="3"/>
  <c r="V75" i="3"/>
  <c r="BG75" i="3"/>
  <c r="AN75" i="3"/>
  <c r="U75" i="3"/>
  <c r="BF75" i="3"/>
  <c r="AM75" i="3"/>
  <c r="T75" i="3"/>
  <c r="BE75" i="3"/>
  <c r="AL75" i="3"/>
  <c r="S75" i="3"/>
  <c r="BD75" i="3"/>
  <c r="AK75" i="3"/>
  <c r="R75" i="3"/>
  <c r="BC75" i="3"/>
  <c r="AJ75" i="3"/>
  <c r="Q75" i="3"/>
  <c r="BB75" i="3"/>
  <c r="AI75" i="3"/>
  <c r="N75" i="3"/>
  <c r="BQ75" i="3"/>
  <c r="AX75" i="3"/>
  <c r="AB75" i="3"/>
  <c r="BP75" i="3"/>
  <c r="BA75" i="3"/>
  <c r="AZ75" i="3"/>
  <c r="AY75" i="3"/>
  <c r="AW75" i="3"/>
  <c r="AH75" i="3"/>
  <c r="AG75" i="3"/>
  <c r="AD75" i="3"/>
  <c r="AA75" i="3"/>
  <c r="L75" i="3"/>
  <c r="K75" i="3"/>
  <c r="BS75" i="3"/>
  <c r="BR75" i="3"/>
  <c r="X297" i="3"/>
  <c r="T297" i="3"/>
  <c r="AO297" i="3"/>
  <c r="J307" i="3"/>
  <c r="AC307" i="3" s="1"/>
  <c r="BF299" i="3"/>
  <c r="M299" i="3"/>
  <c r="V353" i="3"/>
  <c r="AV353" i="3"/>
  <c r="Q353" i="3"/>
  <c r="Z86" i="3"/>
  <c r="AS86" i="3"/>
  <c r="BR86" i="3"/>
  <c r="BH239" i="3"/>
  <c r="BE239" i="3"/>
  <c r="AV239" i="3"/>
  <c r="AJ202" i="3"/>
  <c r="S202" i="3"/>
  <c r="AV261" i="3"/>
  <c r="AR261" i="3"/>
  <c r="W261" i="3"/>
  <c r="AQ261" i="3"/>
  <c r="AF261" i="3"/>
  <c r="AB261" i="3"/>
  <c r="BR261" i="3"/>
  <c r="AK261" i="3"/>
  <c r="P261" i="3"/>
  <c r="L261" i="3"/>
  <c r="BB261" i="3"/>
  <c r="AJ261" i="3"/>
  <c r="BK261" i="3"/>
  <c r="BG261" i="3"/>
  <c r="AL261" i="3"/>
  <c r="AI261" i="3"/>
  <c r="AE261" i="3"/>
  <c r="AP261" i="3"/>
  <c r="BN261" i="3"/>
  <c r="BP261" i="3"/>
  <c r="O261" i="3"/>
  <c r="Z261" i="3"/>
  <c r="S261" i="3"/>
  <c r="BO261" i="3"/>
  <c r="V261" i="3"/>
  <c r="N261" i="3"/>
  <c r="AM23" i="4"/>
  <c r="AT23" i="4"/>
  <c r="AD253" i="3"/>
  <c r="AL253" i="3"/>
  <c r="BE346" i="3"/>
  <c r="BB35" i="4"/>
  <c r="BQ21" i="3"/>
  <c r="AJ216" i="3"/>
  <c r="AF216" i="3"/>
  <c r="AB216" i="3"/>
  <c r="AN216" i="3"/>
  <c r="T216" i="3"/>
  <c r="P216" i="3"/>
  <c r="L216" i="3"/>
  <c r="AM216" i="3"/>
  <c r="BO216" i="3"/>
  <c r="BK216" i="3"/>
  <c r="BG216" i="3"/>
  <c r="AL216" i="3"/>
  <c r="AY216" i="3"/>
  <c r="AU216" i="3"/>
  <c r="AQ216" i="3"/>
  <c r="V216" i="3"/>
  <c r="AI216" i="3"/>
  <c r="AE216" i="3"/>
  <c r="AA216" i="3"/>
  <c r="Y216" i="3"/>
  <c r="S216" i="3"/>
  <c r="O216" i="3"/>
  <c r="K216" i="3"/>
  <c r="X216" i="3"/>
  <c r="BN216" i="3"/>
  <c r="BJ216" i="3"/>
  <c r="BF216" i="3"/>
  <c r="W216" i="3"/>
  <c r="AH216" i="3"/>
  <c r="AD216" i="3"/>
  <c r="Z216" i="3"/>
  <c r="BQ216" i="3"/>
  <c r="BM216" i="3"/>
  <c r="BI216" i="3"/>
  <c r="BR216" i="3"/>
  <c r="BA216" i="3"/>
  <c r="AW216" i="3"/>
  <c r="AS216" i="3"/>
  <c r="BE216" i="3"/>
  <c r="AK216" i="3"/>
  <c r="AG216" i="3"/>
  <c r="AC216" i="3"/>
  <c r="BD216" i="3"/>
  <c r="U216" i="3"/>
  <c r="Q216" i="3"/>
  <c r="M216" i="3"/>
  <c r="BC216" i="3"/>
  <c r="BP216" i="3"/>
  <c r="BL216" i="3"/>
  <c r="BH216" i="3"/>
  <c r="BB216" i="3"/>
  <c r="AZ216" i="3"/>
  <c r="AV216" i="3"/>
  <c r="AR216" i="3"/>
  <c r="AO216" i="3"/>
  <c r="O47" i="3"/>
  <c r="BN47" i="3"/>
  <c r="AZ47" i="3"/>
  <c r="AM47" i="3"/>
  <c r="BH167" i="3"/>
  <c r="Q167" i="3"/>
  <c r="AC167" i="3"/>
  <c r="BB167" i="3"/>
  <c r="BQ299" i="3"/>
  <c r="BL299" i="3"/>
  <c r="AQ299" i="3"/>
  <c r="N299" i="3"/>
  <c r="AZ299" i="3"/>
  <c r="AU299" i="3"/>
  <c r="Z299" i="3"/>
  <c r="BE299" i="3"/>
  <c r="AG131" i="3"/>
  <c r="BK131" i="3"/>
  <c r="BC131" i="3"/>
  <c r="AL131" i="3"/>
  <c r="BH163" i="3"/>
  <c r="S163" i="3"/>
  <c r="AI163" i="3"/>
  <c r="AM163" i="3"/>
  <c r="AY317" i="3"/>
  <c r="BF317" i="3"/>
  <c r="AB317" i="3"/>
  <c r="BB213" i="3"/>
  <c r="L213" i="3"/>
  <c r="P213" i="3"/>
  <c r="T213" i="3"/>
  <c r="BH198" i="3"/>
  <c r="M198" i="3"/>
  <c r="BJ198" i="3"/>
  <c r="BS198" i="3"/>
  <c r="P43" i="3"/>
  <c r="AB43" i="3"/>
  <c r="BH43" i="3"/>
  <c r="AK43" i="3"/>
  <c r="AV44" i="3"/>
  <c r="N44" i="3"/>
  <c r="AS44" i="3"/>
  <c r="BR44" i="3"/>
  <c r="BO9" i="3"/>
  <c r="BB9" i="3"/>
  <c r="BQ9" i="3"/>
  <c r="Q9" i="3"/>
  <c r="AX195" i="3"/>
  <c r="Q195" i="3"/>
  <c r="T195" i="3"/>
  <c r="X195" i="3"/>
  <c r="AT10" i="3"/>
  <c r="AK10" i="3"/>
  <c r="BB10" i="3"/>
  <c r="BL10" i="3"/>
  <c r="AN63" i="3"/>
  <c r="AS63" i="3"/>
  <c r="AW63" i="3"/>
  <c r="BA63" i="3"/>
  <c r="BK84" i="3"/>
  <c r="BE84" i="3"/>
  <c r="AJ84" i="3"/>
  <c r="S48" i="3"/>
  <c r="AF48" i="3"/>
  <c r="BM48" i="3"/>
  <c r="AM48" i="3"/>
  <c r="AY177" i="3"/>
  <c r="AI177" i="3"/>
  <c r="AN177" i="3"/>
  <c r="M177" i="3"/>
  <c r="BO99" i="3"/>
  <c r="BE99" i="3"/>
  <c r="N99" i="3"/>
  <c r="R99" i="3"/>
  <c r="AX199" i="3"/>
  <c r="BP199" i="3"/>
  <c r="BK199" i="3"/>
  <c r="BS199" i="3"/>
  <c r="AA323" i="3"/>
  <c r="AF323" i="3"/>
  <c r="BG323" i="3"/>
  <c r="BB323" i="3"/>
  <c r="BF217" i="3"/>
  <c r="BJ217" i="3"/>
  <c r="BN217" i="3"/>
  <c r="BS217" i="3"/>
  <c r="AO193" i="3"/>
  <c r="Z193" i="3"/>
  <c r="AF193" i="3"/>
  <c r="BP193" i="3"/>
  <c r="BP289" i="3"/>
  <c r="AF289" i="3"/>
  <c r="AK289" i="3"/>
  <c r="BE289" i="3"/>
  <c r="AD297" i="3"/>
  <c r="AJ297" i="3"/>
  <c r="BM311" i="3"/>
  <c r="AW311" i="3"/>
  <c r="AG311" i="3"/>
  <c r="Q311" i="3"/>
  <c r="BC311" i="3"/>
  <c r="AL311" i="3"/>
  <c r="U311" i="3"/>
  <c r="BS311" i="3"/>
  <c r="BB311" i="3"/>
  <c r="AK311" i="3"/>
  <c r="T311" i="3"/>
  <c r="BR311" i="3"/>
  <c r="BA311" i="3"/>
  <c r="AJ311" i="3"/>
  <c r="S311" i="3"/>
  <c r="BQ311" i="3"/>
  <c r="AZ311" i="3"/>
  <c r="AI311" i="3"/>
  <c r="R311" i="3"/>
  <c r="BP311" i="3"/>
  <c r="AY311" i="3"/>
  <c r="AH311" i="3"/>
  <c r="P311" i="3"/>
  <c r="BK311" i="3"/>
  <c r="AO311" i="3"/>
  <c r="M311" i="3"/>
  <c r="BJ311" i="3"/>
  <c r="AN311" i="3"/>
  <c r="L311" i="3"/>
  <c r="BI311" i="3"/>
  <c r="AM311" i="3"/>
  <c r="K311" i="3"/>
  <c r="BH311" i="3"/>
  <c r="AF311" i="3"/>
  <c r="BG311" i="3"/>
  <c r="AE311" i="3"/>
  <c r="BF311" i="3"/>
  <c r="AD311" i="3"/>
  <c r="BE311" i="3"/>
  <c r="AC311" i="3"/>
  <c r="BD311" i="3"/>
  <c r="AB311" i="3"/>
  <c r="AX311" i="3"/>
  <c r="AA311" i="3"/>
  <c r="AV311" i="3"/>
  <c r="Z311" i="3"/>
  <c r="AU311" i="3"/>
  <c r="Y311" i="3"/>
  <c r="AT311" i="3"/>
  <c r="X311" i="3"/>
  <c r="AS311" i="3"/>
  <c r="W311" i="3"/>
  <c r="BO311" i="3"/>
  <c r="BN311" i="3"/>
  <c r="BL311" i="3"/>
  <c r="AR311" i="3"/>
  <c r="AQ311" i="3"/>
  <c r="AP311" i="3"/>
  <c r="V311" i="3"/>
  <c r="O311" i="3"/>
  <c r="N311" i="3"/>
  <c r="Y299" i="3"/>
  <c r="AD299" i="3"/>
  <c r="AJ299" i="3"/>
  <c r="X353" i="3"/>
  <c r="BQ353" i="3"/>
  <c r="AN353" i="3"/>
  <c r="AT86" i="3"/>
  <c r="O86" i="3"/>
  <c r="W86" i="3"/>
  <c r="T239" i="3"/>
  <c r="Z239" i="3"/>
  <c r="BL239" i="3"/>
  <c r="BP202" i="3"/>
  <c r="AY202" i="3"/>
  <c r="BL23" i="4"/>
  <c r="BK23" i="4"/>
  <c r="AA346" i="3"/>
  <c r="AI35" i="4"/>
  <c r="BE21" i="3"/>
  <c r="BP190" i="3"/>
  <c r="AJ190" i="3"/>
  <c r="T190" i="3"/>
  <c r="AW190" i="3"/>
  <c r="AG190" i="3"/>
  <c r="Q190" i="3"/>
  <c r="BS190" i="3"/>
  <c r="BA190" i="3"/>
  <c r="AH190" i="3"/>
  <c r="O190" i="3"/>
  <c r="BR190" i="3"/>
  <c r="AF190" i="3"/>
  <c r="N190" i="3"/>
  <c r="BQ190" i="3"/>
  <c r="AE190" i="3"/>
  <c r="M190" i="3"/>
  <c r="AV190" i="3"/>
  <c r="AD190" i="3"/>
  <c r="L190" i="3"/>
  <c r="BN190" i="3"/>
  <c r="AU190" i="3"/>
  <c r="AC190" i="3"/>
  <c r="K190" i="3"/>
  <c r="BL190" i="3"/>
  <c r="AB190" i="3"/>
  <c r="BK190" i="3"/>
  <c r="AS190" i="3"/>
  <c r="BJ190" i="3"/>
  <c r="AR190" i="3"/>
  <c r="BI190" i="3"/>
  <c r="AQ190" i="3"/>
  <c r="Y190" i="3"/>
  <c r="BH190" i="3"/>
  <c r="AP190" i="3"/>
  <c r="X190" i="3"/>
  <c r="BG190" i="3"/>
  <c r="AO190" i="3"/>
  <c r="BC190" i="3"/>
  <c r="AK190" i="3"/>
  <c r="R190" i="3"/>
  <c r="BD190" i="3"/>
  <c r="BB190" i="3"/>
  <c r="AM190" i="3"/>
  <c r="AL190" i="3"/>
  <c r="AI190" i="3"/>
  <c r="V190" i="3"/>
  <c r="U190" i="3"/>
  <c r="S190" i="3"/>
  <c r="P190" i="3"/>
  <c r="BF190" i="3"/>
  <c r="J190" i="3"/>
  <c r="AY190" i="3" s="1"/>
  <c r="BJ167" i="3"/>
  <c r="AR167" i="3"/>
  <c r="AZ167" i="3"/>
  <c r="BR167" i="3"/>
  <c r="BJ24" i="3"/>
  <c r="AT24" i="3"/>
  <c r="AD24" i="3"/>
  <c r="N24" i="3"/>
  <c r="BI24" i="3"/>
  <c r="AS24" i="3"/>
  <c r="AC24" i="3"/>
  <c r="M24" i="3"/>
  <c r="BH24" i="3"/>
  <c r="AB24" i="3"/>
  <c r="L24" i="3"/>
  <c r="AR24" i="3"/>
  <c r="BG24" i="3"/>
  <c r="AQ24" i="3"/>
  <c r="AA24" i="3"/>
  <c r="K24" i="3"/>
  <c r="BF24" i="3"/>
  <c r="AP24" i="3"/>
  <c r="Z24" i="3"/>
  <c r="BE24" i="3"/>
  <c r="AO24" i="3"/>
  <c r="Y24" i="3"/>
  <c r="BD24" i="3"/>
  <c r="AN24" i="3"/>
  <c r="X24" i="3"/>
  <c r="BS24" i="3"/>
  <c r="BC24" i="3"/>
  <c r="AM24" i="3"/>
  <c r="W24" i="3"/>
  <c r="BR24" i="3"/>
  <c r="BB24" i="3"/>
  <c r="AL24" i="3"/>
  <c r="V24" i="3"/>
  <c r="BQ24" i="3"/>
  <c r="BA24" i="3"/>
  <c r="AK24" i="3"/>
  <c r="U24" i="3"/>
  <c r="BO24" i="3"/>
  <c r="AY24" i="3"/>
  <c r="AI24" i="3"/>
  <c r="S24" i="3"/>
  <c r="BK24" i="3"/>
  <c r="AZ24" i="3"/>
  <c r="AV24" i="3"/>
  <c r="AX24" i="3"/>
  <c r="AW24" i="3"/>
  <c r="AU24" i="3"/>
  <c r="AJ24" i="3"/>
  <c r="AH24" i="3"/>
  <c r="AG24" i="3"/>
  <c r="AF24" i="3"/>
  <c r="AE24" i="3"/>
  <c r="T24" i="3"/>
  <c r="BP24" i="3"/>
  <c r="R24" i="3"/>
  <c r="BN24" i="3"/>
  <c r="Q24" i="3"/>
  <c r="BM24" i="3"/>
  <c r="P24" i="3"/>
  <c r="BL24" i="3"/>
  <c r="O24" i="3"/>
  <c r="BE297" i="3"/>
  <c r="AZ297" i="3"/>
  <c r="AF297" i="3"/>
  <c r="AR131" i="3"/>
  <c r="W131" i="3"/>
  <c r="AX131" i="3"/>
  <c r="BB131" i="3"/>
  <c r="J7" i="3"/>
  <c r="O7" i="3" s="1"/>
  <c r="J54" i="3"/>
  <c r="AB54" i="3" s="1"/>
  <c r="K163" i="3"/>
  <c r="AR163" i="3"/>
  <c r="AY163" i="3"/>
  <c r="BC163" i="3"/>
  <c r="BC213" i="3"/>
  <c r="AB213" i="3"/>
  <c r="AF213" i="3"/>
  <c r="AJ213" i="3"/>
  <c r="BJ122" i="3"/>
  <c r="AT122" i="3"/>
  <c r="AD122" i="3"/>
  <c r="N122" i="3"/>
  <c r="BR122" i="3"/>
  <c r="BA122" i="3"/>
  <c r="AJ122" i="3"/>
  <c r="S122" i="3"/>
  <c r="BQ122" i="3"/>
  <c r="AZ122" i="3"/>
  <c r="AI122" i="3"/>
  <c r="R122" i="3"/>
  <c r="BP122" i="3"/>
  <c r="AY122" i="3"/>
  <c r="AH122" i="3"/>
  <c r="Q122" i="3"/>
  <c r="BO122" i="3"/>
  <c r="AX122" i="3"/>
  <c r="AG122" i="3"/>
  <c r="P122" i="3"/>
  <c r="BN122" i="3"/>
  <c r="AW122" i="3"/>
  <c r="AF122" i="3"/>
  <c r="O122" i="3"/>
  <c r="BM122" i="3"/>
  <c r="AV122" i="3"/>
  <c r="AE122" i="3"/>
  <c r="M122" i="3"/>
  <c r="BK122" i="3"/>
  <c r="AS122" i="3"/>
  <c r="AB122" i="3"/>
  <c r="K122" i="3"/>
  <c r="BI122" i="3"/>
  <c r="AR122" i="3"/>
  <c r="AA122" i="3"/>
  <c r="BH122" i="3"/>
  <c r="AQ122" i="3"/>
  <c r="Z122" i="3"/>
  <c r="BG122" i="3"/>
  <c r="AP122" i="3"/>
  <c r="Y122" i="3"/>
  <c r="BF122" i="3"/>
  <c r="AO122" i="3"/>
  <c r="X122" i="3"/>
  <c r="BE122" i="3"/>
  <c r="AN122" i="3"/>
  <c r="W122" i="3"/>
  <c r="U122" i="3"/>
  <c r="T122" i="3"/>
  <c r="L122" i="3"/>
  <c r="BS122" i="3"/>
  <c r="BL122" i="3"/>
  <c r="BD122" i="3"/>
  <c r="BC122" i="3"/>
  <c r="BB122" i="3"/>
  <c r="AU122" i="3"/>
  <c r="AC122" i="3"/>
  <c r="AK122" i="3"/>
  <c r="V122" i="3"/>
  <c r="AM122" i="3"/>
  <c r="AL122" i="3"/>
  <c r="Q43" i="3"/>
  <c r="AW43" i="3"/>
  <c r="N43" i="3"/>
  <c r="BA43" i="3"/>
  <c r="AW44" i="3"/>
  <c r="AI44" i="3"/>
  <c r="BN44" i="3"/>
  <c r="W44" i="3"/>
  <c r="U9" i="3"/>
  <c r="AS9" i="3"/>
  <c r="N9" i="3"/>
  <c r="AG9" i="3"/>
  <c r="L195" i="3"/>
  <c r="AQ195" i="3"/>
  <c r="AJ195" i="3"/>
  <c r="AN195" i="3"/>
  <c r="BS10" i="3"/>
  <c r="BF10" i="3"/>
  <c r="BJ10" i="3"/>
  <c r="Q10" i="3"/>
  <c r="X84" i="3"/>
  <c r="K84" i="3"/>
  <c r="AZ84" i="3"/>
  <c r="U48" i="3"/>
  <c r="BH48" i="3"/>
  <c r="P48" i="3"/>
  <c r="BC48" i="3"/>
  <c r="AZ177" i="3"/>
  <c r="AJ177" i="3"/>
  <c r="BD177" i="3"/>
  <c r="AC177" i="3"/>
  <c r="U199" i="3"/>
  <c r="AK199" i="3"/>
  <c r="P199" i="3"/>
  <c r="X199" i="3"/>
  <c r="AC323" i="3"/>
  <c r="AX323" i="3"/>
  <c r="T323" i="3"/>
  <c r="BR323" i="3"/>
  <c r="K217" i="3"/>
  <c r="O217" i="3"/>
  <c r="S217" i="3"/>
  <c r="BO217" i="3"/>
  <c r="AP193" i="3"/>
  <c r="AT193" i="3"/>
  <c r="BE193" i="3"/>
  <c r="U193" i="3"/>
  <c r="K289" i="3"/>
  <c r="AV289" i="3"/>
  <c r="BA289" i="3"/>
  <c r="AE297" i="3"/>
  <c r="BP297" i="3"/>
  <c r="AP297" i="3"/>
  <c r="AP299" i="3"/>
  <c r="O299" i="3"/>
  <c r="BA299" i="3"/>
  <c r="AD353" i="3"/>
  <c r="AC353" i="3"/>
  <c r="BJ353" i="3"/>
  <c r="AZ86" i="3"/>
  <c r="AE86" i="3"/>
  <c r="AM86" i="3"/>
  <c r="BQ239" i="3"/>
  <c r="AP239" i="3"/>
  <c r="R239" i="3"/>
  <c r="AK202" i="3"/>
  <c r="BO202" i="3"/>
  <c r="AK23" i="4"/>
  <c r="R23" i="4"/>
  <c r="N23" i="4"/>
  <c r="AB346" i="3"/>
  <c r="N35" i="4"/>
  <c r="BO59" i="3"/>
  <c r="AY59" i="3"/>
  <c r="AI59" i="3"/>
  <c r="S59" i="3"/>
  <c r="BN59" i="3"/>
  <c r="AX59" i="3"/>
  <c r="AH59" i="3"/>
  <c r="R59" i="3"/>
  <c r="BM59" i="3"/>
  <c r="AW59" i="3"/>
  <c r="AG59" i="3"/>
  <c r="Q59" i="3"/>
  <c r="BL59" i="3"/>
  <c r="AV59" i="3"/>
  <c r="AF59" i="3"/>
  <c r="P59" i="3"/>
  <c r="BK59" i="3"/>
  <c r="AU59" i="3"/>
  <c r="AE59" i="3"/>
  <c r="O59" i="3"/>
  <c r="BJ59" i="3"/>
  <c r="AT59" i="3"/>
  <c r="AD59" i="3"/>
  <c r="N59" i="3"/>
  <c r="BI59" i="3"/>
  <c r="AS59" i="3"/>
  <c r="AC59" i="3"/>
  <c r="M59" i="3"/>
  <c r="BH59" i="3"/>
  <c r="AR59" i="3"/>
  <c r="AB59" i="3"/>
  <c r="L59" i="3"/>
  <c r="BG59" i="3"/>
  <c r="AQ59" i="3"/>
  <c r="AA59" i="3"/>
  <c r="K59" i="3"/>
  <c r="BF59" i="3"/>
  <c r="AP59" i="3"/>
  <c r="Z59" i="3"/>
  <c r="BE59" i="3"/>
  <c r="AO59" i="3"/>
  <c r="Y59" i="3"/>
  <c r="AZ59" i="3"/>
  <c r="AN59" i="3"/>
  <c r="AM59" i="3"/>
  <c r="AL59" i="3"/>
  <c r="AK59" i="3"/>
  <c r="AJ59" i="3"/>
  <c r="X59" i="3"/>
  <c r="W59" i="3"/>
  <c r="BS59" i="3"/>
  <c r="V59" i="3"/>
  <c r="BR59" i="3"/>
  <c r="U59" i="3"/>
  <c r="BQ59" i="3"/>
  <c r="T59" i="3"/>
  <c r="BP59" i="3"/>
  <c r="BD59" i="3"/>
  <c r="BC59" i="3"/>
  <c r="BB59" i="3"/>
  <c r="BA59" i="3"/>
  <c r="BL184" i="3"/>
  <c r="AV184" i="3"/>
  <c r="AF184" i="3"/>
  <c r="P184" i="3"/>
  <c r="BC184" i="3"/>
  <c r="AL184" i="3"/>
  <c r="U184" i="3"/>
  <c r="BS184" i="3"/>
  <c r="BB184" i="3"/>
  <c r="AK184" i="3"/>
  <c r="T184" i="3"/>
  <c r="BR184" i="3"/>
  <c r="BA184" i="3"/>
  <c r="AJ184" i="3"/>
  <c r="S184" i="3"/>
  <c r="BQ184" i="3"/>
  <c r="AZ184" i="3"/>
  <c r="AI184" i="3"/>
  <c r="R184" i="3"/>
  <c r="BP184" i="3"/>
  <c r="AY184" i="3"/>
  <c r="AH184" i="3"/>
  <c r="Q184" i="3"/>
  <c r="BO184" i="3"/>
  <c r="AX184" i="3"/>
  <c r="AG184" i="3"/>
  <c r="O184" i="3"/>
  <c r="BN184" i="3"/>
  <c r="AW184" i="3"/>
  <c r="AE184" i="3"/>
  <c r="N184" i="3"/>
  <c r="BM184" i="3"/>
  <c r="AU184" i="3"/>
  <c r="AD184" i="3"/>
  <c r="M184" i="3"/>
  <c r="BK184" i="3"/>
  <c r="AT184" i="3"/>
  <c r="AC184" i="3"/>
  <c r="L184" i="3"/>
  <c r="BJ184" i="3"/>
  <c r="AS184" i="3"/>
  <c r="AB184" i="3"/>
  <c r="K184" i="3"/>
  <c r="BI184" i="3"/>
  <c r="AR184" i="3"/>
  <c r="AA184" i="3"/>
  <c r="BE184" i="3"/>
  <c r="AN184" i="3"/>
  <c r="W184" i="3"/>
  <c r="Z184" i="3"/>
  <c r="Y184" i="3"/>
  <c r="X184" i="3"/>
  <c r="V184" i="3"/>
  <c r="BH184" i="3"/>
  <c r="BG184" i="3"/>
  <c r="BF184" i="3"/>
  <c r="AO184" i="3"/>
  <c r="BD184" i="3"/>
  <c r="AQ184" i="3"/>
  <c r="AP184" i="3"/>
  <c r="AM184" i="3"/>
  <c r="BO43" i="3"/>
  <c r="BI84" i="3"/>
  <c r="BN77" i="3"/>
  <c r="AX77" i="3"/>
  <c r="AH77" i="3"/>
  <c r="R77" i="3"/>
  <c r="BM77" i="3"/>
  <c r="AW77" i="3"/>
  <c r="AG77" i="3"/>
  <c r="Q77" i="3"/>
  <c r="BL77" i="3"/>
  <c r="AV77" i="3"/>
  <c r="AF77" i="3"/>
  <c r="BK77" i="3"/>
  <c r="AU77" i="3"/>
  <c r="AE77" i="3"/>
  <c r="O77" i="3"/>
  <c r="BJ77" i="3"/>
  <c r="AT77" i="3"/>
  <c r="AD77" i="3"/>
  <c r="N77" i="3"/>
  <c r="BP77" i="3"/>
  <c r="AP77" i="3"/>
  <c r="U77" i="3"/>
  <c r="BO77" i="3"/>
  <c r="AO77" i="3"/>
  <c r="T77" i="3"/>
  <c r="BI77" i="3"/>
  <c r="AN77" i="3"/>
  <c r="S77" i="3"/>
  <c r="BH77" i="3"/>
  <c r="AM77" i="3"/>
  <c r="P77" i="3"/>
  <c r="BG77" i="3"/>
  <c r="AL77" i="3"/>
  <c r="M77" i="3"/>
  <c r="BF77" i="3"/>
  <c r="AK77" i="3"/>
  <c r="L77" i="3"/>
  <c r="BE77" i="3"/>
  <c r="AJ77" i="3"/>
  <c r="K77" i="3"/>
  <c r="BD77" i="3"/>
  <c r="AI77" i="3"/>
  <c r="BC77" i="3"/>
  <c r="AC77" i="3"/>
  <c r="BB77" i="3"/>
  <c r="AB77" i="3"/>
  <c r="BA77" i="3"/>
  <c r="AA77" i="3"/>
  <c r="BR77" i="3"/>
  <c r="AR77" i="3"/>
  <c r="W77" i="3"/>
  <c r="V77" i="3"/>
  <c r="BS77" i="3"/>
  <c r="BQ77" i="3"/>
  <c r="AZ77" i="3"/>
  <c r="AY77" i="3"/>
  <c r="AS77" i="3"/>
  <c r="AQ77" i="3"/>
  <c r="Z77" i="3"/>
  <c r="Y77" i="3"/>
  <c r="X77" i="3"/>
  <c r="J108" i="3"/>
  <c r="O108" i="3" s="1"/>
  <c r="AH47" i="3"/>
  <c r="AT47" i="3"/>
  <c r="AF47" i="3"/>
  <c r="BS47" i="3"/>
  <c r="BK144" i="3"/>
  <c r="AU144" i="3"/>
  <c r="AE144" i="3"/>
  <c r="O144" i="3"/>
  <c r="BJ144" i="3"/>
  <c r="AT144" i="3"/>
  <c r="AD144" i="3"/>
  <c r="N144" i="3"/>
  <c r="BI144" i="3"/>
  <c r="AS144" i="3"/>
  <c r="AC144" i="3"/>
  <c r="M144" i="3"/>
  <c r="BH144" i="3"/>
  <c r="AR144" i="3"/>
  <c r="AB144" i="3"/>
  <c r="L144" i="3"/>
  <c r="BG144" i="3"/>
  <c r="AQ144" i="3"/>
  <c r="AA144" i="3"/>
  <c r="K144" i="3"/>
  <c r="BF144" i="3"/>
  <c r="AP144" i="3"/>
  <c r="Z144" i="3"/>
  <c r="BE144" i="3"/>
  <c r="AO144" i="3"/>
  <c r="Y144" i="3"/>
  <c r="BD144" i="3"/>
  <c r="AN144" i="3"/>
  <c r="X144" i="3"/>
  <c r="BS144" i="3"/>
  <c r="BC144" i="3"/>
  <c r="AM144" i="3"/>
  <c r="W144" i="3"/>
  <c r="BR144" i="3"/>
  <c r="BB144" i="3"/>
  <c r="AL144" i="3"/>
  <c r="V144" i="3"/>
  <c r="BQ144" i="3"/>
  <c r="BA144" i="3"/>
  <c r="AK144" i="3"/>
  <c r="U144" i="3"/>
  <c r="BM144" i="3"/>
  <c r="AW144" i="3"/>
  <c r="AX144" i="3"/>
  <c r="AV144" i="3"/>
  <c r="AJ144" i="3"/>
  <c r="AI144" i="3"/>
  <c r="AH144" i="3"/>
  <c r="AG144" i="3"/>
  <c r="T144" i="3"/>
  <c r="S144" i="3"/>
  <c r="R144" i="3"/>
  <c r="BP144" i="3"/>
  <c r="Q144" i="3"/>
  <c r="BO144" i="3"/>
  <c r="P144" i="3"/>
  <c r="BN144" i="3"/>
  <c r="AY144" i="3"/>
  <c r="AF144" i="3"/>
  <c r="BL144" i="3"/>
  <c r="AZ144" i="3"/>
  <c r="BL167" i="3"/>
  <c r="BO167" i="3"/>
  <c r="AD167" i="3"/>
  <c r="W167" i="3"/>
  <c r="J25" i="3"/>
  <c r="AE25" i="3" s="1"/>
  <c r="N131" i="3"/>
  <c r="AQ131" i="3"/>
  <c r="BN131" i="3"/>
  <c r="BR131" i="3"/>
  <c r="BI121" i="3"/>
  <c r="AS121" i="3"/>
  <c r="AC121" i="3"/>
  <c r="M121" i="3"/>
  <c r="BM121" i="3"/>
  <c r="AV121" i="3"/>
  <c r="AE121" i="3"/>
  <c r="N121" i="3"/>
  <c r="BL121" i="3"/>
  <c r="AU121" i="3"/>
  <c r="AD121" i="3"/>
  <c r="L121" i="3"/>
  <c r="BK121" i="3"/>
  <c r="AT121" i="3"/>
  <c r="AB121" i="3"/>
  <c r="K121" i="3"/>
  <c r="BJ121" i="3"/>
  <c r="AR121" i="3"/>
  <c r="AA121" i="3"/>
  <c r="BH121" i="3"/>
  <c r="AQ121" i="3"/>
  <c r="Z121" i="3"/>
  <c r="BG121" i="3"/>
  <c r="AP121" i="3"/>
  <c r="Y121" i="3"/>
  <c r="BE121" i="3"/>
  <c r="AN121" i="3"/>
  <c r="W121" i="3"/>
  <c r="BD121" i="3"/>
  <c r="AM121" i="3"/>
  <c r="V121" i="3"/>
  <c r="BC121" i="3"/>
  <c r="AL121" i="3"/>
  <c r="U121" i="3"/>
  <c r="BS121" i="3"/>
  <c r="BB121" i="3"/>
  <c r="AK121" i="3"/>
  <c r="T121" i="3"/>
  <c r="BR121" i="3"/>
  <c r="BA121" i="3"/>
  <c r="AJ121" i="3"/>
  <c r="S121" i="3"/>
  <c r="BQ121" i="3"/>
  <c r="AZ121" i="3"/>
  <c r="AI121" i="3"/>
  <c r="R121" i="3"/>
  <c r="P121" i="3"/>
  <c r="O121" i="3"/>
  <c r="BP121" i="3"/>
  <c r="BO121" i="3"/>
  <c r="BN121" i="3"/>
  <c r="BF121" i="3"/>
  <c r="AY121" i="3"/>
  <c r="AX121" i="3"/>
  <c r="AW121" i="3"/>
  <c r="AO121" i="3"/>
  <c r="X121" i="3"/>
  <c r="AH121" i="3"/>
  <c r="AG121" i="3"/>
  <c r="AF121" i="3"/>
  <c r="Q121" i="3"/>
  <c r="AE163" i="3"/>
  <c r="BM163" i="3"/>
  <c r="BO163" i="3"/>
  <c r="BS163" i="3"/>
  <c r="M317" i="3"/>
  <c r="BN317" i="3"/>
  <c r="AO317" i="3"/>
  <c r="BL317" i="3"/>
  <c r="BD213" i="3"/>
  <c r="AR213" i="3"/>
  <c r="AV213" i="3"/>
  <c r="AZ213" i="3"/>
  <c r="AZ198" i="3"/>
  <c r="BP198" i="3"/>
  <c r="AH198" i="3"/>
  <c r="AN198" i="3"/>
  <c r="R43" i="3"/>
  <c r="AC43" i="3"/>
  <c r="AN43" i="3"/>
  <c r="BQ43" i="3"/>
  <c r="AX44" i="3"/>
  <c r="BI44" i="3"/>
  <c r="Y44" i="3"/>
  <c r="AM44" i="3"/>
  <c r="AP9" i="3"/>
  <c r="BR9" i="3"/>
  <c r="AM9" i="3"/>
  <c r="AW9" i="3"/>
  <c r="AG195" i="3"/>
  <c r="BL195" i="3"/>
  <c r="AZ195" i="3"/>
  <c r="BD195" i="3"/>
  <c r="X10" i="3"/>
  <c r="M10" i="3"/>
  <c r="V10" i="3"/>
  <c r="AG10" i="3"/>
  <c r="W63" i="3"/>
  <c r="N63" i="3"/>
  <c r="R63" i="3"/>
  <c r="N84" i="3"/>
  <c r="AS84" i="3"/>
  <c r="AF84" i="3"/>
  <c r="BP84" i="3"/>
  <c r="AA48" i="3"/>
  <c r="K48" i="3"/>
  <c r="AR48" i="3"/>
  <c r="BS48" i="3"/>
  <c r="BL177" i="3"/>
  <c r="AV177" i="3"/>
  <c r="Y177" i="3"/>
  <c r="AS177" i="3"/>
  <c r="BR99" i="3"/>
  <c r="AP99" i="3"/>
  <c r="AT99" i="3"/>
  <c r="AX99" i="3"/>
  <c r="BA199" i="3"/>
  <c r="BQ199" i="3"/>
  <c r="AF199" i="3"/>
  <c r="AN199" i="3"/>
  <c r="AD323" i="3"/>
  <c r="O323" i="3"/>
  <c r="AL323" i="3"/>
  <c r="Y323" i="3"/>
  <c r="AA217" i="3"/>
  <c r="AE217" i="3"/>
  <c r="AI217" i="3"/>
  <c r="AQ193" i="3"/>
  <c r="AA193" i="3"/>
  <c r="O193" i="3"/>
  <c r="AK193" i="3"/>
  <c r="L289" i="3"/>
  <c r="BL289" i="3"/>
  <c r="BQ289" i="3"/>
  <c r="AN297" i="3"/>
  <c r="U297" i="3"/>
  <c r="BF297" i="3"/>
  <c r="BC299" i="3"/>
  <c r="BG299" i="3"/>
  <c r="AF299" i="3"/>
  <c r="BS299" i="3"/>
  <c r="AF353" i="3"/>
  <c r="AW353" i="3"/>
  <c r="S353" i="3"/>
  <c r="BG86" i="3"/>
  <c r="AU86" i="3"/>
  <c r="U239" i="3"/>
  <c r="BF239" i="3"/>
  <c r="AH239" i="3"/>
  <c r="BQ202" i="3"/>
  <c r="Y202" i="3"/>
  <c r="AR23" i="4"/>
  <c r="AO23" i="4"/>
  <c r="AE23" i="4"/>
  <c r="BJ346" i="3"/>
  <c r="BH35" i="4"/>
  <c r="BO115" i="3"/>
  <c r="AY115" i="3"/>
  <c r="BN115" i="3"/>
  <c r="AX115" i="3"/>
  <c r="AH115" i="3"/>
  <c r="R115" i="3"/>
  <c r="BM115" i="3"/>
  <c r="AW115" i="3"/>
  <c r="AG115" i="3"/>
  <c r="Q115" i="3"/>
  <c r="BL115" i="3"/>
  <c r="AV115" i="3"/>
  <c r="AF115" i="3"/>
  <c r="P115" i="3"/>
  <c r="BK115" i="3"/>
  <c r="AU115" i="3"/>
  <c r="AE115" i="3"/>
  <c r="O115" i="3"/>
  <c r="BJ115" i="3"/>
  <c r="AT115" i="3"/>
  <c r="AD115" i="3"/>
  <c r="N115" i="3"/>
  <c r="AS115" i="3"/>
  <c r="X115" i="3"/>
  <c r="AR115" i="3"/>
  <c r="W115" i="3"/>
  <c r="BS115" i="3"/>
  <c r="AQ115" i="3"/>
  <c r="V115" i="3"/>
  <c r="BR115" i="3"/>
  <c r="AP115" i="3"/>
  <c r="U115" i="3"/>
  <c r="BQ115" i="3"/>
  <c r="AO115" i="3"/>
  <c r="T115" i="3"/>
  <c r="BP115" i="3"/>
  <c r="AN115" i="3"/>
  <c r="S115" i="3"/>
  <c r="BI115" i="3"/>
  <c r="AM115" i="3"/>
  <c r="M115" i="3"/>
  <c r="BH115" i="3"/>
  <c r="AL115" i="3"/>
  <c r="L115" i="3"/>
  <c r="BG115" i="3"/>
  <c r="AK115" i="3"/>
  <c r="K115" i="3"/>
  <c r="BF115" i="3"/>
  <c r="AJ115" i="3"/>
  <c r="BE115" i="3"/>
  <c r="AI115" i="3"/>
  <c r="BA115" i="3"/>
  <c r="Z115" i="3"/>
  <c r="AC115" i="3"/>
  <c r="AB115" i="3"/>
  <c r="AA115" i="3"/>
  <c r="Y115" i="3"/>
  <c r="BB115" i="3"/>
  <c r="BD115" i="3"/>
  <c r="BC115" i="3"/>
  <c r="AZ115" i="3"/>
  <c r="X43" i="3"/>
  <c r="AX43" i="3"/>
  <c r="BI43" i="3"/>
  <c r="V43" i="3"/>
  <c r="P84" i="3"/>
  <c r="Y84" i="3"/>
  <c r="BF84" i="3"/>
  <c r="U84" i="3"/>
  <c r="BE86" i="3"/>
  <c r="AK86" i="3"/>
  <c r="N86" i="3"/>
  <c r="AB86" i="3"/>
  <c r="AO86" i="3"/>
  <c r="U86" i="3"/>
  <c r="AR86" i="3"/>
  <c r="BH86" i="3"/>
  <c r="Y86" i="3"/>
  <c r="BO86" i="3"/>
  <c r="M86" i="3"/>
  <c r="AA86" i="3"/>
  <c r="BD86" i="3"/>
  <c r="AY86" i="3"/>
  <c r="AQ86" i="3"/>
  <c r="AX86" i="3"/>
  <c r="BS86" i="3"/>
  <c r="BM86" i="3"/>
  <c r="K86" i="3"/>
  <c r="BF86" i="3"/>
  <c r="AQ217" i="3"/>
  <c r="AU217" i="3"/>
  <c r="AY217" i="3"/>
  <c r="BH193" i="3"/>
  <c r="AU193" i="3"/>
  <c r="AG193" i="3"/>
  <c r="BA193" i="3"/>
  <c r="M289" i="3"/>
  <c r="Q289" i="3"/>
  <c r="V289" i="3"/>
  <c r="BO279" i="3"/>
  <c r="AY279" i="3"/>
  <c r="AI279" i="3"/>
  <c r="S279" i="3"/>
  <c r="BN279" i="3"/>
  <c r="AX279" i="3"/>
  <c r="AH279" i="3"/>
  <c r="R279" i="3"/>
  <c r="BH279" i="3"/>
  <c r="AP279" i="3"/>
  <c r="X279" i="3"/>
  <c r="BG279" i="3"/>
  <c r="AO279" i="3"/>
  <c r="W279" i="3"/>
  <c r="BF279" i="3"/>
  <c r="AN279" i="3"/>
  <c r="V279" i="3"/>
  <c r="BE279" i="3"/>
  <c r="AM279" i="3"/>
  <c r="U279" i="3"/>
  <c r="BD279" i="3"/>
  <c r="AL279" i="3"/>
  <c r="T279" i="3"/>
  <c r="BC279" i="3"/>
  <c r="AK279" i="3"/>
  <c r="Q279" i="3"/>
  <c r="BB279" i="3"/>
  <c r="AJ279" i="3"/>
  <c r="P279" i="3"/>
  <c r="BS279" i="3"/>
  <c r="BA279" i="3"/>
  <c r="AG279" i="3"/>
  <c r="O279" i="3"/>
  <c r="BR279" i="3"/>
  <c r="AZ279" i="3"/>
  <c r="AF279" i="3"/>
  <c r="N279" i="3"/>
  <c r="BQ279" i="3"/>
  <c r="AW279" i="3"/>
  <c r="AE279" i="3"/>
  <c r="M279" i="3"/>
  <c r="BP279" i="3"/>
  <c r="AV279" i="3"/>
  <c r="AD279" i="3"/>
  <c r="L279" i="3"/>
  <c r="BM279" i="3"/>
  <c r="AU279" i="3"/>
  <c r="AC279" i="3"/>
  <c r="K279" i="3"/>
  <c r="BK279" i="3"/>
  <c r="AS279" i="3"/>
  <c r="AA279" i="3"/>
  <c r="BL279" i="3"/>
  <c r="BJ279" i="3"/>
  <c r="BI279" i="3"/>
  <c r="AT279" i="3"/>
  <c r="AR279" i="3"/>
  <c r="AQ279" i="3"/>
  <c r="AB279" i="3"/>
  <c r="Z279" i="3"/>
  <c r="Y279" i="3"/>
  <c r="Q297" i="3"/>
  <c r="AK297" i="3"/>
  <c r="K297" i="3"/>
  <c r="BD299" i="3"/>
  <c r="BH299" i="3"/>
  <c r="AW299" i="3"/>
  <c r="V299" i="3"/>
  <c r="AI353" i="3"/>
  <c r="BR353" i="3"/>
  <c r="AJ353" i="3"/>
  <c r="Q86" i="3"/>
  <c r="BK86" i="3"/>
  <c r="X86" i="3"/>
  <c r="BR239" i="3"/>
  <c r="K239" i="3"/>
  <c r="AX239" i="3"/>
  <c r="AM202" i="3"/>
  <c r="AO202" i="3"/>
  <c r="AA261" i="3"/>
  <c r="X261" i="3"/>
  <c r="AU261" i="3"/>
  <c r="BA23" i="4"/>
  <c r="BN23" i="4"/>
  <c r="AV23" i="4"/>
  <c r="AG253" i="3"/>
  <c r="BS253" i="3"/>
  <c r="L346" i="3"/>
  <c r="AT35" i="4"/>
  <c r="AP43" i="3"/>
  <c r="AD43" i="3"/>
  <c r="O43" i="3"/>
  <c r="AL43" i="3"/>
  <c r="V9" i="3"/>
  <c r="BC9" i="3"/>
  <c r="K9" i="3"/>
  <c r="R9" i="3"/>
  <c r="AU10" i="3"/>
  <c r="BG10" i="3"/>
  <c r="BQ10" i="3"/>
  <c r="BM10" i="3"/>
  <c r="BC63" i="3"/>
  <c r="AT63" i="3"/>
  <c r="AX63" i="3"/>
  <c r="Q84" i="3"/>
  <c r="AT84" i="3"/>
  <c r="L84" i="3"/>
  <c r="AK84" i="3"/>
  <c r="AU48" i="3"/>
  <c r="BI48" i="3"/>
  <c r="Q48" i="3"/>
  <c r="AN48" i="3"/>
  <c r="P177" i="3"/>
  <c r="AK177" i="3"/>
  <c r="BE177" i="3"/>
  <c r="N177" i="3"/>
  <c r="S99" i="3"/>
  <c r="K99" i="3"/>
  <c r="O99" i="3"/>
  <c r="BH199" i="3"/>
  <c r="AQ199" i="3"/>
  <c r="BL199" i="3"/>
  <c r="Y199" i="3"/>
  <c r="AS323" i="3"/>
  <c r="AZ323" i="3"/>
  <c r="U323" i="3"/>
  <c r="BE323" i="3"/>
  <c r="Y335" i="3"/>
  <c r="AV335" i="3"/>
  <c r="BA335" i="3"/>
  <c r="BG217" i="3"/>
  <c r="BK217" i="3"/>
  <c r="BP217" i="3"/>
  <c r="BJ193" i="3"/>
  <c r="AB193" i="3"/>
  <c r="BF193" i="3"/>
  <c r="BQ193" i="3"/>
  <c r="T289" i="3"/>
  <c r="AC289" i="3"/>
  <c r="AG289" i="3"/>
  <c r="AL289" i="3"/>
  <c r="BO78" i="3"/>
  <c r="AY78" i="3"/>
  <c r="AI78" i="3"/>
  <c r="S78" i="3"/>
  <c r="BN78" i="3"/>
  <c r="AX78" i="3"/>
  <c r="AH78" i="3"/>
  <c r="R78" i="3"/>
  <c r="BM78" i="3"/>
  <c r="AW78" i="3"/>
  <c r="AG78" i="3"/>
  <c r="Q78" i="3"/>
  <c r="BL78" i="3"/>
  <c r="AV78" i="3"/>
  <c r="AF78" i="3"/>
  <c r="P78" i="3"/>
  <c r="BK78" i="3"/>
  <c r="AU78" i="3"/>
  <c r="AE78" i="3"/>
  <c r="O78" i="3"/>
  <c r="AZ78" i="3"/>
  <c r="Z78" i="3"/>
  <c r="AT78" i="3"/>
  <c r="Y78" i="3"/>
  <c r="BS78" i="3"/>
  <c r="AS78" i="3"/>
  <c r="X78" i="3"/>
  <c r="BR78" i="3"/>
  <c r="AR78" i="3"/>
  <c r="W78" i="3"/>
  <c r="BQ78" i="3"/>
  <c r="AQ78" i="3"/>
  <c r="V78" i="3"/>
  <c r="BP78" i="3"/>
  <c r="AP78" i="3"/>
  <c r="U78" i="3"/>
  <c r="BJ78" i="3"/>
  <c r="AO78" i="3"/>
  <c r="T78" i="3"/>
  <c r="BI78" i="3"/>
  <c r="AN78" i="3"/>
  <c r="N78" i="3"/>
  <c r="BH78" i="3"/>
  <c r="AM78" i="3"/>
  <c r="M78" i="3"/>
  <c r="BG78" i="3"/>
  <c r="AL78" i="3"/>
  <c r="L78" i="3"/>
  <c r="BF78" i="3"/>
  <c r="AK78" i="3"/>
  <c r="K78" i="3"/>
  <c r="BB78" i="3"/>
  <c r="AB78" i="3"/>
  <c r="BA78" i="3"/>
  <c r="AJ78" i="3"/>
  <c r="AD78" i="3"/>
  <c r="AC78" i="3"/>
  <c r="AA78" i="3"/>
  <c r="BE78" i="3"/>
  <c r="BD78" i="3"/>
  <c r="BC78" i="3"/>
  <c r="AG297" i="3"/>
  <c r="BA297" i="3"/>
  <c r="AA297" i="3"/>
  <c r="BK309" i="3"/>
  <c r="AU309" i="3"/>
  <c r="AE309" i="3"/>
  <c r="O309" i="3"/>
  <c r="BI309" i="3"/>
  <c r="AR309" i="3"/>
  <c r="AA309" i="3"/>
  <c r="BH309" i="3"/>
  <c r="AQ309" i="3"/>
  <c r="Z309" i="3"/>
  <c r="BG309" i="3"/>
  <c r="AP309" i="3"/>
  <c r="Y309" i="3"/>
  <c r="BF309" i="3"/>
  <c r="AO309" i="3"/>
  <c r="X309" i="3"/>
  <c r="BE309" i="3"/>
  <c r="AN309" i="3"/>
  <c r="W309" i="3"/>
  <c r="BO309" i="3"/>
  <c r="AM309" i="3"/>
  <c r="Q309" i="3"/>
  <c r="BN309" i="3"/>
  <c r="AL309" i="3"/>
  <c r="P309" i="3"/>
  <c r="BM309" i="3"/>
  <c r="AK309" i="3"/>
  <c r="N309" i="3"/>
  <c r="BL309" i="3"/>
  <c r="AJ309" i="3"/>
  <c r="M309" i="3"/>
  <c r="BJ309" i="3"/>
  <c r="AI309" i="3"/>
  <c r="L309" i="3"/>
  <c r="BD309" i="3"/>
  <c r="AH309" i="3"/>
  <c r="K309" i="3"/>
  <c r="BC309" i="3"/>
  <c r="AG309" i="3"/>
  <c r="BB309" i="3"/>
  <c r="AF309" i="3"/>
  <c r="BA309" i="3"/>
  <c r="AD309" i="3"/>
  <c r="AZ309" i="3"/>
  <c r="AC309" i="3"/>
  <c r="AY309" i="3"/>
  <c r="AB309" i="3"/>
  <c r="AX309" i="3"/>
  <c r="V309" i="3"/>
  <c r="BS309" i="3"/>
  <c r="AW309" i="3"/>
  <c r="U309" i="3"/>
  <c r="BR309" i="3"/>
  <c r="BQ309" i="3"/>
  <c r="BP309" i="3"/>
  <c r="AV309" i="3"/>
  <c r="AT309" i="3"/>
  <c r="AS309" i="3"/>
  <c r="T309" i="3"/>
  <c r="S309" i="3"/>
  <c r="R309" i="3"/>
  <c r="BJ308" i="3"/>
  <c r="AT308" i="3"/>
  <c r="AD308" i="3"/>
  <c r="N308" i="3"/>
  <c r="BD308" i="3"/>
  <c r="AM308" i="3"/>
  <c r="V308" i="3"/>
  <c r="BC308" i="3"/>
  <c r="AL308" i="3"/>
  <c r="U308" i="3"/>
  <c r="BS308" i="3"/>
  <c r="BB308" i="3"/>
  <c r="AK308" i="3"/>
  <c r="T308" i="3"/>
  <c r="BR308" i="3"/>
  <c r="BA308" i="3"/>
  <c r="AJ308" i="3"/>
  <c r="S308" i="3"/>
  <c r="BQ308" i="3"/>
  <c r="AZ308" i="3"/>
  <c r="AI308" i="3"/>
  <c r="R308" i="3"/>
  <c r="BE308" i="3"/>
  <c r="AC308" i="3"/>
  <c r="AY308" i="3"/>
  <c r="AB308" i="3"/>
  <c r="AX308" i="3"/>
  <c r="AA308" i="3"/>
  <c r="AW308" i="3"/>
  <c r="Z308" i="3"/>
  <c r="AV308" i="3"/>
  <c r="Y308" i="3"/>
  <c r="AU308" i="3"/>
  <c r="X308" i="3"/>
  <c r="BP308" i="3"/>
  <c r="AS308" i="3"/>
  <c r="W308" i="3"/>
  <c r="BO308" i="3"/>
  <c r="AR308" i="3"/>
  <c r="Q308" i="3"/>
  <c r="BN308" i="3"/>
  <c r="AQ308" i="3"/>
  <c r="P308" i="3"/>
  <c r="BM308" i="3"/>
  <c r="AP308" i="3"/>
  <c r="O308" i="3"/>
  <c r="BL308" i="3"/>
  <c r="AO308" i="3"/>
  <c r="M308" i="3"/>
  <c r="BK308" i="3"/>
  <c r="AN308" i="3"/>
  <c r="L308" i="3"/>
  <c r="BI308" i="3"/>
  <c r="AH308" i="3"/>
  <c r="K308" i="3"/>
  <c r="BH308" i="3"/>
  <c r="BG308" i="3"/>
  <c r="BF308" i="3"/>
  <c r="AF308" i="3"/>
  <c r="AG308" i="3"/>
  <c r="AE308" i="3"/>
  <c r="V72" i="3"/>
  <c r="AA72" i="3"/>
  <c r="BB72" i="3"/>
  <c r="BM299" i="3"/>
  <c r="AA299" i="3"/>
  <c r="BN299" i="3"/>
  <c r="AL299" i="3"/>
  <c r="AO353" i="3"/>
  <c r="K353" i="3"/>
  <c r="AK353" i="3"/>
  <c r="BI86" i="3"/>
  <c r="AV86" i="3"/>
  <c r="AN86" i="3"/>
  <c r="V239" i="3"/>
  <c r="AQ239" i="3"/>
  <c r="BN239" i="3"/>
  <c r="BS202" i="3"/>
  <c r="AG261" i="3"/>
  <c r="AN261" i="3"/>
  <c r="BL261" i="3"/>
  <c r="BB23" i="4"/>
  <c r="BO23" i="4"/>
  <c r="BM23" i="4"/>
  <c r="M253" i="3"/>
  <c r="AP253" i="3"/>
  <c r="AC346" i="3"/>
  <c r="BH339" i="3"/>
  <c r="AJ17" i="4"/>
  <c r="AF167" i="3"/>
  <c r="BP158" i="3"/>
  <c r="AZ158" i="3"/>
  <c r="AJ158" i="3"/>
  <c r="T158" i="3"/>
  <c r="BO158" i="3"/>
  <c r="AY158" i="3"/>
  <c r="AI158" i="3"/>
  <c r="S158" i="3"/>
  <c r="BM158" i="3"/>
  <c r="AW158" i="3"/>
  <c r="AG158" i="3"/>
  <c r="Q158" i="3"/>
  <c r="BK158" i="3"/>
  <c r="AR158" i="3"/>
  <c r="Y158" i="3"/>
  <c r="BJ158" i="3"/>
  <c r="AQ158" i="3"/>
  <c r="X158" i="3"/>
  <c r="BI158" i="3"/>
  <c r="AP158" i="3"/>
  <c r="W158" i="3"/>
  <c r="BH158" i="3"/>
  <c r="AO158" i="3"/>
  <c r="V158" i="3"/>
  <c r="BG158" i="3"/>
  <c r="AN158" i="3"/>
  <c r="U158" i="3"/>
  <c r="BF158" i="3"/>
  <c r="AM158" i="3"/>
  <c r="R158" i="3"/>
  <c r="BE158" i="3"/>
  <c r="AL158" i="3"/>
  <c r="P158" i="3"/>
  <c r="BD158" i="3"/>
  <c r="AK158" i="3"/>
  <c r="O158" i="3"/>
  <c r="BC158" i="3"/>
  <c r="AH158" i="3"/>
  <c r="N158" i="3"/>
  <c r="BB158" i="3"/>
  <c r="AF158" i="3"/>
  <c r="M158" i="3"/>
  <c r="BA158" i="3"/>
  <c r="AE158" i="3"/>
  <c r="L158" i="3"/>
  <c r="BN158" i="3"/>
  <c r="AT158" i="3"/>
  <c r="AA158" i="3"/>
  <c r="BS158" i="3"/>
  <c r="BR158" i="3"/>
  <c r="BQ158" i="3"/>
  <c r="AX158" i="3"/>
  <c r="AV158" i="3"/>
  <c r="AU158" i="3"/>
  <c r="AS158" i="3"/>
  <c r="AD158" i="3"/>
  <c r="AC158" i="3"/>
  <c r="AB158" i="3"/>
  <c r="BL158" i="3"/>
  <c r="Z158" i="3"/>
  <c r="K158" i="3"/>
  <c r="L167" i="3"/>
  <c r="AC142" i="3"/>
  <c r="M142" i="3"/>
  <c r="BH142" i="3"/>
  <c r="AB142" i="3"/>
  <c r="L142" i="3"/>
  <c r="BG142" i="3"/>
  <c r="AQ142" i="3"/>
  <c r="AA142" i="3"/>
  <c r="K142" i="3"/>
  <c r="Z142" i="3"/>
  <c r="BE142" i="3"/>
  <c r="BD142" i="3"/>
  <c r="AN142" i="3"/>
  <c r="X142" i="3"/>
  <c r="BC142" i="3"/>
  <c r="AM142" i="3"/>
  <c r="W142" i="3"/>
  <c r="BR142" i="3"/>
  <c r="BB142" i="3"/>
  <c r="AL142" i="3"/>
  <c r="BA142" i="3"/>
  <c r="AK142" i="3"/>
  <c r="AZ142" i="3"/>
  <c r="AJ142" i="3"/>
  <c r="T142" i="3"/>
  <c r="AY142" i="3"/>
  <c r="AI142" i="3"/>
  <c r="S142" i="3"/>
  <c r="BN142" i="3"/>
  <c r="Q142" i="3"/>
  <c r="BM142" i="3"/>
  <c r="O142" i="3"/>
  <c r="BK142" i="3"/>
  <c r="AX142" i="3"/>
  <c r="AV142" i="3"/>
  <c r="AU142" i="3"/>
  <c r="AH142" i="3"/>
  <c r="AG142" i="3"/>
  <c r="AF142" i="3"/>
  <c r="AW142" i="3"/>
  <c r="AE142" i="3"/>
  <c r="AD142" i="3"/>
  <c r="J142" i="3"/>
  <c r="BI142" i="3" s="1"/>
  <c r="O131" i="3"/>
  <c r="AS131" i="3"/>
  <c r="AY131" i="3"/>
  <c r="BP116" i="3"/>
  <c r="AZ116" i="3"/>
  <c r="AJ116" i="3"/>
  <c r="T116" i="3"/>
  <c r="BO116" i="3"/>
  <c r="AY116" i="3"/>
  <c r="AI116" i="3"/>
  <c r="S116" i="3"/>
  <c r="BN116" i="3"/>
  <c r="AX116" i="3"/>
  <c r="AH116" i="3"/>
  <c r="R116" i="3"/>
  <c r="BM116" i="3"/>
  <c r="AW116" i="3"/>
  <c r="AG116" i="3"/>
  <c r="Q116" i="3"/>
  <c r="BL116" i="3"/>
  <c r="AV116" i="3"/>
  <c r="AF116" i="3"/>
  <c r="P116" i="3"/>
  <c r="BK116" i="3"/>
  <c r="AU116" i="3"/>
  <c r="AE116" i="3"/>
  <c r="O116" i="3"/>
  <c r="BE116" i="3"/>
  <c r="AO116" i="3"/>
  <c r="BJ116" i="3"/>
  <c r="AL116" i="3"/>
  <c r="BI116" i="3"/>
  <c r="AK116" i="3"/>
  <c r="BH116" i="3"/>
  <c r="AD116" i="3"/>
  <c r="BG116" i="3"/>
  <c r="AC116" i="3"/>
  <c r="BF116" i="3"/>
  <c r="AB116" i="3"/>
  <c r="BD116" i="3"/>
  <c r="AA116" i="3"/>
  <c r="BC116" i="3"/>
  <c r="Z116" i="3"/>
  <c r="BB116" i="3"/>
  <c r="Y116" i="3"/>
  <c r="BA116" i="3"/>
  <c r="X116" i="3"/>
  <c r="AT116" i="3"/>
  <c r="W116" i="3"/>
  <c r="AS116" i="3"/>
  <c r="V116" i="3"/>
  <c r="BR116" i="3"/>
  <c r="AN116" i="3"/>
  <c r="L116" i="3"/>
  <c r="BS116" i="3"/>
  <c r="BQ116" i="3"/>
  <c r="AR116" i="3"/>
  <c r="AQ116" i="3"/>
  <c r="AP116" i="3"/>
  <c r="AM116" i="3"/>
  <c r="U116" i="3"/>
  <c r="N116" i="3"/>
  <c r="M116" i="3"/>
  <c r="K116" i="3"/>
  <c r="J194" i="3"/>
  <c r="BA194" i="3" s="1"/>
  <c r="AN163" i="3"/>
  <c r="BN163" i="3"/>
  <c r="AZ163" i="3"/>
  <c r="BQ41" i="3"/>
  <c r="BA41" i="3"/>
  <c r="AK41" i="3"/>
  <c r="U41" i="3"/>
  <c r="BP41" i="3"/>
  <c r="AZ41" i="3"/>
  <c r="AJ41" i="3"/>
  <c r="T41" i="3"/>
  <c r="BO41" i="3"/>
  <c r="AY41" i="3"/>
  <c r="AI41" i="3"/>
  <c r="S41" i="3"/>
  <c r="BN41" i="3"/>
  <c r="AX41" i="3"/>
  <c r="AH41" i="3"/>
  <c r="R41" i="3"/>
  <c r="BM41" i="3"/>
  <c r="AW41" i="3"/>
  <c r="AG41" i="3"/>
  <c r="AU41" i="3"/>
  <c r="Z41" i="3"/>
  <c r="AT41" i="3"/>
  <c r="Y41" i="3"/>
  <c r="BS41" i="3"/>
  <c r="AS41" i="3"/>
  <c r="X41" i="3"/>
  <c r="BR41" i="3"/>
  <c r="AR41" i="3"/>
  <c r="W41" i="3"/>
  <c r="BL41" i="3"/>
  <c r="AQ41" i="3"/>
  <c r="V41" i="3"/>
  <c r="BK41" i="3"/>
  <c r="AP41" i="3"/>
  <c r="Q41" i="3"/>
  <c r="BJ41" i="3"/>
  <c r="AO41" i="3"/>
  <c r="P41" i="3"/>
  <c r="BI41" i="3"/>
  <c r="AN41" i="3"/>
  <c r="O41" i="3"/>
  <c r="BH41" i="3"/>
  <c r="AM41" i="3"/>
  <c r="N41" i="3"/>
  <c r="BG41" i="3"/>
  <c r="AL41" i="3"/>
  <c r="M41" i="3"/>
  <c r="BF41" i="3"/>
  <c r="AF41" i="3"/>
  <c r="L41" i="3"/>
  <c r="BE41" i="3"/>
  <c r="AE41" i="3"/>
  <c r="K41" i="3"/>
  <c r="BD41" i="3"/>
  <c r="BC41" i="3"/>
  <c r="BB41" i="3"/>
  <c r="AV41" i="3"/>
  <c r="AD41" i="3"/>
  <c r="AC41" i="3"/>
  <c r="AB41" i="3"/>
  <c r="AA41" i="3"/>
  <c r="BR42" i="3"/>
  <c r="BB42" i="3"/>
  <c r="AL42" i="3"/>
  <c r="V42" i="3"/>
  <c r="BQ42" i="3"/>
  <c r="BA42" i="3"/>
  <c r="AK42" i="3"/>
  <c r="U42" i="3"/>
  <c r="BP42" i="3"/>
  <c r="AZ42" i="3"/>
  <c r="AJ42" i="3"/>
  <c r="T42" i="3"/>
  <c r="BO42" i="3"/>
  <c r="AY42" i="3"/>
  <c r="AI42" i="3"/>
  <c r="S42" i="3"/>
  <c r="BN42" i="3"/>
  <c r="AX42" i="3"/>
  <c r="AH42" i="3"/>
  <c r="R42" i="3"/>
  <c r="BE42" i="3"/>
  <c r="AE42" i="3"/>
  <c r="BD42" i="3"/>
  <c r="AD42" i="3"/>
  <c r="BC42" i="3"/>
  <c r="AC42" i="3"/>
  <c r="AW42" i="3"/>
  <c r="AB42" i="3"/>
  <c r="AV42" i="3"/>
  <c r="AA42" i="3"/>
  <c r="AU42" i="3"/>
  <c r="Z42" i="3"/>
  <c r="AT42" i="3"/>
  <c r="Y42" i="3"/>
  <c r="BS42" i="3"/>
  <c r="AS42" i="3"/>
  <c r="X42" i="3"/>
  <c r="BM42" i="3"/>
  <c r="AR42" i="3"/>
  <c r="W42" i="3"/>
  <c r="BL42" i="3"/>
  <c r="AQ42" i="3"/>
  <c r="Q42" i="3"/>
  <c r="BK42" i="3"/>
  <c r="AP42" i="3"/>
  <c r="P42" i="3"/>
  <c r="BJ42" i="3"/>
  <c r="AO42" i="3"/>
  <c r="O42" i="3"/>
  <c r="AG42" i="3"/>
  <c r="AF42" i="3"/>
  <c r="N42" i="3"/>
  <c r="M42" i="3"/>
  <c r="L42" i="3"/>
  <c r="K42" i="3"/>
  <c r="BI42" i="3"/>
  <c r="BH42" i="3"/>
  <c r="BG42" i="3"/>
  <c r="BF42" i="3"/>
  <c r="AN42" i="3"/>
  <c r="AM42" i="3"/>
  <c r="AQ43" i="3"/>
  <c r="BD43" i="3"/>
  <c r="AO43" i="3"/>
  <c r="BB43" i="3"/>
  <c r="AE44" i="3"/>
  <c r="BJ44" i="3"/>
  <c r="T44" i="3"/>
  <c r="X44" i="3"/>
  <c r="AR9" i="3"/>
  <c r="BD9" i="3"/>
  <c r="AA9" i="3"/>
  <c r="AH9" i="3"/>
  <c r="BR245" i="3"/>
  <c r="BB245" i="3"/>
  <c r="AL245" i="3"/>
  <c r="V245" i="3"/>
  <c r="BQ245" i="3"/>
  <c r="BA245" i="3"/>
  <c r="AK245" i="3"/>
  <c r="U245" i="3"/>
  <c r="BS245" i="3"/>
  <c r="AY245" i="3"/>
  <c r="AG245" i="3"/>
  <c r="O245" i="3"/>
  <c r="BP245" i="3"/>
  <c r="AX245" i="3"/>
  <c r="AF245" i="3"/>
  <c r="N245" i="3"/>
  <c r="BO245" i="3"/>
  <c r="AW245" i="3"/>
  <c r="AE245" i="3"/>
  <c r="M245" i="3"/>
  <c r="BN245" i="3"/>
  <c r="AV245" i="3"/>
  <c r="AD245" i="3"/>
  <c r="L245" i="3"/>
  <c r="BM245" i="3"/>
  <c r="AU245" i="3"/>
  <c r="AC245" i="3"/>
  <c r="K245" i="3"/>
  <c r="BL245" i="3"/>
  <c r="AT245" i="3"/>
  <c r="AB245" i="3"/>
  <c r="BK245" i="3"/>
  <c r="AS245" i="3"/>
  <c r="AA245" i="3"/>
  <c r="BJ245" i="3"/>
  <c r="AR245" i="3"/>
  <c r="Z245" i="3"/>
  <c r="BI245" i="3"/>
  <c r="AQ245" i="3"/>
  <c r="Y245" i="3"/>
  <c r="BH245" i="3"/>
  <c r="AP245" i="3"/>
  <c r="X245" i="3"/>
  <c r="BG245" i="3"/>
  <c r="AO245" i="3"/>
  <c r="W245" i="3"/>
  <c r="BF245" i="3"/>
  <c r="AN245" i="3"/>
  <c r="T245" i="3"/>
  <c r="AJ245" i="3"/>
  <c r="AI245" i="3"/>
  <c r="AH245" i="3"/>
  <c r="S245" i="3"/>
  <c r="R245" i="3"/>
  <c r="Q245" i="3"/>
  <c r="P245" i="3"/>
  <c r="BE245" i="3"/>
  <c r="BD245" i="3"/>
  <c r="BC245" i="3"/>
  <c r="AZ245" i="3"/>
  <c r="AM245" i="3"/>
  <c r="Z10" i="3"/>
  <c r="AA10" i="3"/>
  <c r="O10" i="3"/>
  <c r="AH10" i="3"/>
  <c r="R84" i="3"/>
  <c r="Z84" i="3"/>
  <c r="AG84" i="3"/>
  <c r="BA84" i="3"/>
  <c r="AV48" i="3"/>
  <c r="L48" i="3"/>
  <c r="AS48" i="3"/>
  <c r="BD48" i="3"/>
  <c r="BM177" i="3"/>
  <c r="BA177" i="3"/>
  <c r="Z177" i="3"/>
  <c r="AD177" i="3"/>
  <c r="T199" i="3"/>
  <c r="L199" i="3"/>
  <c r="S199" i="3"/>
  <c r="AO199" i="3"/>
  <c r="AU323" i="3"/>
  <c r="P323" i="3"/>
  <c r="AM323" i="3"/>
  <c r="Z323" i="3"/>
  <c r="Y7" i="4"/>
  <c r="AF7" i="4"/>
  <c r="AU7" i="4"/>
  <c r="BM7" i="4"/>
  <c r="BJ7" i="4"/>
  <c r="AZ7" i="4"/>
  <c r="U7" i="4"/>
  <c r="AQ7" i="4"/>
  <c r="AE7" i="4"/>
  <c r="BO7" i="4"/>
  <c r="X7" i="4"/>
  <c r="BT7" i="4"/>
  <c r="AO7" i="4"/>
  <c r="BH7" i="4"/>
  <c r="BE7" i="4"/>
  <c r="AY7" i="4"/>
  <c r="T7" i="4"/>
  <c r="AR7" i="4"/>
  <c r="AJ7" i="4"/>
  <c r="AD7" i="4"/>
  <c r="BG7" i="4"/>
  <c r="AB7" i="4"/>
  <c r="O7" i="4"/>
  <c r="BS7" i="4"/>
  <c r="AN7" i="4"/>
  <c r="L7" i="4"/>
  <c r="BD7" i="4"/>
  <c r="AX7" i="4"/>
  <c r="AM7" i="4"/>
  <c r="BF7" i="4"/>
  <c r="AI7" i="4"/>
  <c r="AC7" i="4"/>
  <c r="AL7" i="4"/>
  <c r="AP7" i="4"/>
  <c r="N7" i="4"/>
  <c r="BR7" i="4"/>
  <c r="AK7" i="4"/>
  <c r="Z7" i="4"/>
  <c r="BC7" i="4"/>
  <c r="AW7" i="4"/>
  <c r="S7" i="4"/>
  <c r="BL7" i="4"/>
  <c r="AH7" i="4"/>
  <c r="W7" i="4"/>
  <c r="R7" i="4"/>
  <c r="AT7" i="4"/>
  <c r="M7" i="4"/>
  <c r="BQ7" i="4"/>
  <c r="Q7" i="4"/>
  <c r="AA7" i="4"/>
  <c r="BB7" i="4"/>
  <c r="AV7" i="4"/>
  <c r="P7" i="4"/>
  <c r="BK7" i="4"/>
  <c r="AG7" i="4"/>
  <c r="V7" i="4"/>
  <c r="BN7" i="4"/>
  <c r="AS7" i="4"/>
  <c r="BA7" i="4"/>
  <c r="BP7" i="4"/>
  <c r="BI7" i="4"/>
  <c r="Y217" i="3"/>
  <c r="L217" i="3"/>
  <c r="P217" i="3"/>
  <c r="T217" i="3"/>
  <c r="BK193" i="3"/>
  <c r="AV193" i="3"/>
  <c r="P193" i="3"/>
  <c r="AL193" i="3"/>
  <c r="Z289" i="3"/>
  <c r="AS289" i="3"/>
  <c r="AW289" i="3"/>
  <c r="BB289" i="3"/>
  <c r="BN278" i="3"/>
  <c r="AX278" i="3"/>
  <c r="AH278" i="3"/>
  <c r="R278" i="3"/>
  <c r="BM278" i="3"/>
  <c r="AW278" i="3"/>
  <c r="AG278" i="3"/>
  <c r="Q278" i="3"/>
  <c r="BQ278" i="3"/>
  <c r="AY278" i="3"/>
  <c r="AE278" i="3"/>
  <c r="M278" i="3"/>
  <c r="BP278" i="3"/>
  <c r="AV278" i="3"/>
  <c r="AD278" i="3"/>
  <c r="L278" i="3"/>
  <c r="BO278" i="3"/>
  <c r="AU278" i="3"/>
  <c r="AC278" i="3"/>
  <c r="K278" i="3"/>
  <c r="BL278" i="3"/>
  <c r="AT278" i="3"/>
  <c r="AB278" i="3"/>
  <c r="BK278" i="3"/>
  <c r="AS278" i="3"/>
  <c r="AA278" i="3"/>
  <c r="BJ278" i="3"/>
  <c r="AR278" i="3"/>
  <c r="Z278" i="3"/>
  <c r="BI278" i="3"/>
  <c r="AQ278" i="3"/>
  <c r="Y278" i="3"/>
  <c r="BH278" i="3"/>
  <c r="AP278" i="3"/>
  <c r="X278" i="3"/>
  <c r="BG278" i="3"/>
  <c r="AO278" i="3"/>
  <c r="W278" i="3"/>
  <c r="BF278" i="3"/>
  <c r="AN278" i="3"/>
  <c r="V278" i="3"/>
  <c r="BE278" i="3"/>
  <c r="AM278" i="3"/>
  <c r="U278" i="3"/>
  <c r="BD278" i="3"/>
  <c r="AL278" i="3"/>
  <c r="T278" i="3"/>
  <c r="BB278" i="3"/>
  <c r="AJ278" i="3"/>
  <c r="P278" i="3"/>
  <c r="BA278" i="3"/>
  <c r="AZ278" i="3"/>
  <c r="AK278" i="3"/>
  <c r="AI278" i="3"/>
  <c r="AF278" i="3"/>
  <c r="S278" i="3"/>
  <c r="O278" i="3"/>
  <c r="N278" i="3"/>
  <c r="BS278" i="3"/>
  <c r="BR278" i="3"/>
  <c r="BC278" i="3"/>
  <c r="AT297" i="3"/>
  <c r="AW297" i="3"/>
  <c r="BQ297" i="3"/>
  <c r="AQ297" i="3"/>
  <c r="T299" i="3"/>
  <c r="AR299" i="3"/>
  <c r="P299" i="3"/>
  <c r="BB299" i="3"/>
  <c r="AC86" i="3"/>
  <c r="BL86" i="3"/>
  <c r="AB239" i="3"/>
  <c r="BG239" i="3"/>
  <c r="AC202" i="3"/>
  <c r="BR202" i="3"/>
  <c r="AV202" i="3"/>
  <c r="AF202" i="3"/>
  <c r="M202" i="3"/>
  <c r="BB202" i="3"/>
  <c r="P202" i="3"/>
  <c r="BC202" i="3"/>
  <c r="BH202" i="3"/>
  <c r="AL202" i="3"/>
  <c r="AU202" i="3"/>
  <c r="W202" i="3"/>
  <c r="AR202" i="3"/>
  <c r="V202" i="3"/>
  <c r="O202" i="3"/>
  <c r="BK202" i="3"/>
  <c r="L202" i="3"/>
  <c r="BG202" i="3"/>
  <c r="AI202" i="3"/>
  <c r="AN202" i="3"/>
  <c r="BA202" i="3"/>
  <c r="N202" i="3"/>
  <c r="Z202" i="3"/>
  <c r="BC23" i="4"/>
  <c r="AU23" i="4"/>
  <c r="X23" i="4"/>
  <c r="AH346" i="3"/>
  <c r="R339" i="3"/>
  <c r="BS216" i="3"/>
  <c r="AR17" i="4"/>
  <c r="BF152" i="3"/>
  <c r="AM152" i="3"/>
  <c r="BR152" i="3"/>
  <c r="R152" i="3"/>
  <c r="BN152" i="3"/>
  <c r="BH152" i="3"/>
  <c r="L152" i="3"/>
  <c r="J152" i="3"/>
  <c r="AE152" i="3" s="1"/>
  <c r="BC21" i="3"/>
  <c r="AY21" i="3"/>
  <c r="AE21" i="3"/>
  <c r="AM21" i="3"/>
  <c r="AI21" i="3"/>
  <c r="AC21" i="3"/>
  <c r="BG21" i="3"/>
  <c r="W21" i="3"/>
  <c r="S21" i="3"/>
  <c r="AB21" i="3"/>
  <c r="AQ21" i="3"/>
  <c r="BR21" i="3"/>
  <c r="BN21" i="3"/>
  <c r="Q21" i="3"/>
  <c r="AA21" i="3"/>
  <c r="BB21" i="3"/>
  <c r="AX21" i="3"/>
  <c r="BM21" i="3"/>
  <c r="K21" i="3"/>
  <c r="AL21" i="3"/>
  <c r="AH21" i="3"/>
  <c r="O21" i="3"/>
  <c r="BF21" i="3"/>
  <c r="V21" i="3"/>
  <c r="R21" i="3"/>
  <c r="L21" i="3"/>
  <c r="Z21" i="3"/>
  <c r="BA21" i="3"/>
  <c r="AV21" i="3"/>
  <c r="N21" i="3"/>
  <c r="Y21" i="3"/>
  <c r="U21" i="3"/>
  <c r="P21" i="3"/>
  <c r="M21" i="3"/>
  <c r="AO21" i="3"/>
  <c r="BP21" i="3"/>
  <c r="AS21" i="3"/>
  <c r="BH21" i="3"/>
  <c r="BD21" i="3"/>
  <c r="AZ21" i="3"/>
  <c r="AD21" i="3"/>
  <c r="AW21" i="3"/>
  <c r="AN21" i="3"/>
  <c r="AJ21" i="3"/>
  <c r="AR21" i="3"/>
  <c r="AU21" i="3"/>
  <c r="X21" i="3"/>
  <c r="T21" i="3"/>
  <c r="AG21" i="3"/>
  <c r="AT21" i="3"/>
  <c r="BS21" i="3"/>
  <c r="BO21" i="3"/>
  <c r="BI21" i="3"/>
  <c r="BL56" i="3"/>
  <c r="AV56" i="3"/>
  <c r="AF56" i="3"/>
  <c r="P56" i="3"/>
  <c r="BK56" i="3"/>
  <c r="AU56" i="3"/>
  <c r="AE56" i="3"/>
  <c r="O56" i="3"/>
  <c r="BJ56" i="3"/>
  <c r="AT56" i="3"/>
  <c r="AD56" i="3"/>
  <c r="N56" i="3"/>
  <c r="BI56" i="3"/>
  <c r="AS56" i="3"/>
  <c r="AC56" i="3"/>
  <c r="M56" i="3"/>
  <c r="BH56" i="3"/>
  <c r="AR56" i="3"/>
  <c r="AB56" i="3"/>
  <c r="L56" i="3"/>
  <c r="BG56" i="3"/>
  <c r="AQ56" i="3"/>
  <c r="AA56" i="3"/>
  <c r="K56" i="3"/>
  <c r="BF56" i="3"/>
  <c r="AP56" i="3"/>
  <c r="Z56" i="3"/>
  <c r="BE56" i="3"/>
  <c r="AO56" i="3"/>
  <c r="Y56" i="3"/>
  <c r="BD56" i="3"/>
  <c r="AN56" i="3"/>
  <c r="X56" i="3"/>
  <c r="BS56" i="3"/>
  <c r="BC56" i="3"/>
  <c r="AM56" i="3"/>
  <c r="W56" i="3"/>
  <c r="BR56" i="3"/>
  <c r="BB56" i="3"/>
  <c r="AL56" i="3"/>
  <c r="V56" i="3"/>
  <c r="AH56" i="3"/>
  <c r="AG56" i="3"/>
  <c r="U56" i="3"/>
  <c r="BQ56" i="3"/>
  <c r="T56" i="3"/>
  <c r="BP56" i="3"/>
  <c r="S56" i="3"/>
  <c r="BO56" i="3"/>
  <c r="R56" i="3"/>
  <c r="BN56" i="3"/>
  <c r="Q56" i="3"/>
  <c r="BM56" i="3"/>
  <c r="BA56" i="3"/>
  <c r="AZ56" i="3"/>
  <c r="AY56" i="3"/>
  <c r="AX56" i="3"/>
  <c r="AW56" i="3"/>
  <c r="AK56" i="3"/>
  <c r="AJ56" i="3"/>
  <c r="AI56" i="3"/>
  <c r="BH91" i="3"/>
  <c r="AR91" i="3"/>
  <c r="AB91" i="3"/>
  <c r="L91" i="3"/>
  <c r="BG91" i="3"/>
  <c r="AQ91" i="3"/>
  <c r="AA91" i="3"/>
  <c r="K91" i="3"/>
  <c r="BF91" i="3"/>
  <c r="AP91" i="3"/>
  <c r="Z91" i="3"/>
  <c r="BE91" i="3"/>
  <c r="AO91" i="3"/>
  <c r="Y91" i="3"/>
  <c r="BD91" i="3"/>
  <c r="AN91" i="3"/>
  <c r="X91" i="3"/>
  <c r="BS91" i="3"/>
  <c r="BC91" i="3"/>
  <c r="AM91" i="3"/>
  <c r="W91" i="3"/>
  <c r="BR91" i="3"/>
  <c r="BB91" i="3"/>
  <c r="AL91" i="3"/>
  <c r="V91" i="3"/>
  <c r="BQ91" i="3"/>
  <c r="BA91" i="3"/>
  <c r="AK91" i="3"/>
  <c r="U91" i="3"/>
  <c r="BP91" i="3"/>
  <c r="AZ91" i="3"/>
  <c r="AJ91" i="3"/>
  <c r="T91" i="3"/>
  <c r="BO91" i="3"/>
  <c r="AY91" i="3"/>
  <c r="AI91" i="3"/>
  <c r="S91" i="3"/>
  <c r="BN91" i="3"/>
  <c r="AX91" i="3"/>
  <c r="AH91" i="3"/>
  <c r="R91" i="3"/>
  <c r="BM91" i="3"/>
  <c r="P91" i="3"/>
  <c r="BL91" i="3"/>
  <c r="O91" i="3"/>
  <c r="BK91" i="3"/>
  <c r="N91" i="3"/>
  <c r="BJ91" i="3"/>
  <c r="M91" i="3"/>
  <c r="BI91" i="3"/>
  <c r="AW91" i="3"/>
  <c r="AV91" i="3"/>
  <c r="AU91" i="3"/>
  <c r="AT91" i="3"/>
  <c r="AS91" i="3"/>
  <c r="AG91" i="3"/>
  <c r="AC91" i="3"/>
  <c r="AE91" i="3"/>
  <c r="AD91" i="3"/>
  <c r="Q91" i="3"/>
  <c r="AF91" i="3"/>
  <c r="AS167" i="3"/>
  <c r="BC167" i="3"/>
  <c r="BP167" i="3"/>
  <c r="BG167" i="3"/>
  <c r="BS167" i="3"/>
  <c r="BP60" i="3"/>
  <c r="AZ60" i="3"/>
  <c r="AJ60" i="3"/>
  <c r="T60" i="3"/>
  <c r="BO60" i="3"/>
  <c r="AY60" i="3"/>
  <c r="AI60" i="3"/>
  <c r="S60" i="3"/>
  <c r="BN60" i="3"/>
  <c r="AX60" i="3"/>
  <c r="AH60" i="3"/>
  <c r="R60" i="3"/>
  <c r="BM60" i="3"/>
  <c r="AW60" i="3"/>
  <c r="AG60" i="3"/>
  <c r="Q60" i="3"/>
  <c r="BL60" i="3"/>
  <c r="AV60" i="3"/>
  <c r="AF60" i="3"/>
  <c r="P60" i="3"/>
  <c r="BK60" i="3"/>
  <c r="AU60" i="3"/>
  <c r="AE60" i="3"/>
  <c r="O60" i="3"/>
  <c r="BJ60" i="3"/>
  <c r="AT60" i="3"/>
  <c r="AD60" i="3"/>
  <c r="N60" i="3"/>
  <c r="BI60" i="3"/>
  <c r="AS60" i="3"/>
  <c r="AC60" i="3"/>
  <c r="M60" i="3"/>
  <c r="BH60" i="3"/>
  <c r="AR60" i="3"/>
  <c r="AB60" i="3"/>
  <c r="L60" i="3"/>
  <c r="BG60" i="3"/>
  <c r="AQ60" i="3"/>
  <c r="AA60" i="3"/>
  <c r="K60" i="3"/>
  <c r="BF60" i="3"/>
  <c r="AP60" i="3"/>
  <c r="Z60" i="3"/>
  <c r="BR60" i="3"/>
  <c r="BB60" i="3"/>
  <c r="AL60" i="3"/>
  <c r="V60" i="3"/>
  <c r="AN60" i="3"/>
  <c r="AM60" i="3"/>
  <c r="AK60" i="3"/>
  <c r="Y60" i="3"/>
  <c r="X60" i="3"/>
  <c r="W60" i="3"/>
  <c r="U60" i="3"/>
  <c r="BS60" i="3"/>
  <c r="BQ60" i="3"/>
  <c r="BE60" i="3"/>
  <c r="BD60" i="3"/>
  <c r="BC60" i="3"/>
  <c r="BA60" i="3"/>
  <c r="AO60" i="3"/>
  <c r="BH47" i="3"/>
  <c r="BP47" i="3"/>
  <c r="BG47" i="3"/>
  <c r="BL155" i="3"/>
  <c r="AV155" i="3"/>
  <c r="AF155" i="3"/>
  <c r="P155" i="3"/>
  <c r="BQ155" i="3"/>
  <c r="AZ155" i="3"/>
  <c r="AI155" i="3"/>
  <c r="R155" i="3"/>
  <c r="BP155" i="3"/>
  <c r="AY155" i="3"/>
  <c r="AH155" i="3"/>
  <c r="Q155" i="3"/>
  <c r="BO155" i="3"/>
  <c r="AX155" i="3"/>
  <c r="AG155" i="3"/>
  <c r="O155" i="3"/>
  <c r="BN155" i="3"/>
  <c r="AW155" i="3"/>
  <c r="AE155" i="3"/>
  <c r="N155" i="3"/>
  <c r="BM155" i="3"/>
  <c r="AU155" i="3"/>
  <c r="AD155" i="3"/>
  <c r="M155" i="3"/>
  <c r="BK155" i="3"/>
  <c r="AT155" i="3"/>
  <c r="AC155" i="3"/>
  <c r="L155" i="3"/>
  <c r="BJ155" i="3"/>
  <c r="AS155" i="3"/>
  <c r="AB155" i="3"/>
  <c r="K155" i="3"/>
  <c r="BI155" i="3"/>
  <c r="AR155" i="3"/>
  <c r="AA155" i="3"/>
  <c r="BH155" i="3"/>
  <c r="AQ155" i="3"/>
  <c r="Z155" i="3"/>
  <c r="BG155" i="3"/>
  <c r="AP155" i="3"/>
  <c r="Y155" i="3"/>
  <c r="BF155" i="3"/>
  <c r="AO155" i="3"/>
  <c r="X155" i="3"/>
  <c r="BS155" i="3"/>
  <c r="BB155" i="3"/>
  <c r="AK155" i="3"/>
  <c r="T155" i="3"/>
  <c r="BD155" i="3"/>
  <c r="BC155" i="3"/>
  <c r="BA155" i="3"/>
  <c r="AN155" i="3"/>
  <c r="AM155" i="3"/>
  <c r="AL155" i="3"/>
  <c r="W155" i="3"/>
  <c r="V155" i="3"/>
  <c r="U155" i="3"/>
  <c r="S155" i="3"/>
  <c r="BE155" i="3"/>
  <c r="AJ155" i="3"/>
  <c r="BR155" i="3"/>
  <c r="M167" i="3"/>
  <c r="S167" i="3"/>
  <c r="O167" i="3"/>
  <c r="BL26" i="3"/>
  <c r="AV26" i="3"/>
  <c r="AF26" i="3"/>
  <c r="P26" i="3"/>
  <c r="BK26" i="3"/>
  <c r="AU26" i="3"/>
  <c r="AE26" i="3"/>
  <c r="O26" i="3"/>
  <c r="AT26" i="3"/>
  <c r="N26" i="3"/>
  <c r="BJ26" i="3"/>
  <c r="AD26" i="3"/>
  <c r="BI26" i="3"/>
  <c r="AS26" i="3"/>
  <c r="AC26" i="3"/>
  <c r="M26" i="3"/>
  <c r="BH26" i="3"/>
  <c r="AR26" i="3"/>
  <c r="AB26" i="3"/>
  <c r="L26" i="3"/>
  <c r="BG26" i="3"/>
  <c r="AQ26" i="3"/>
  <c r="AA26" i="3"/>
  <c r="K26" i="3"/>
  <c r="BF26" i="3"/>
  <c r="AP26" i="3"/>
  <c r="Z26" i="3"/>
  <c r="BE26" i="3"/>
  <c r="AO26" i="3"/>
  <c r="Y26" i="3"/>
  <c r="BD26" i="3"/>
  <c r="AN26" i="3"/>
  <c r="X26" i="3"/>
  <c r="BS26" i="3"/>
  <c r="BC26" i="3"/>
  <c r="AM26" i="3"/>
  <c r="W26" i="3"/>
  <c r="BR26" i="3"/>
  <c r="BB26" i="3"/>
  <c r="AL26" i="3"/>
  <c r="V26" i="3"/>
  <c r="BQ26" i="3"/>
  <c r="BA26" i="3"/>
  <c r="AK26" i="3"/>
  <c r="U26" i="3"/>
  <c r="AY26" i="3"/>
  <c r="AX26" i="3"/>
  <c r="AW26" i="3"/>
  <c r="AJ26" i="3"/>
  <c r="AI26" i="3"/>
  <c r="AH26" i="3"/>
  <c r="AG26" i="3"/>
  <c r="BP26" i="3"/>
  <c r="T26" i="3"/>
  <c r="S26" i="3"/>
  <c r="R26" i="3"/>
  <c r="Q26" i="3"/>
  <c r="BO26" i="3"/>
  <c r="BN26" i="3"/>
  <c r="BM26" i="3"/>
  <c r="AZ26" i="3"/>
  <c r="BF131" i="3"/>
  <c r="AM131" i="3"/>
  <c r="BS131" i="3"/>
  <c r="AH163" i="3"/>
  <c r="BI163" i="3"/>
  <c r="Y163" i="3"/>
  <c r="BS317" i="3"/>
  <c r="AI317" i="3"/>
  <c r="BH317" i="3"/>
  <c r="J185" i="3"/>
  <c r="BM185" i="3" s="1"/>
  <c r="Y213" i="3"/>
  <c r="AS213" i="3"/>
  <c r="BK198" i="3"/>
  <c r="AS198" i="3"/>
  <c r="AK198" i="3"/>
  <c r="BM114" i="3"/>
  <c r="AW114" i="3"/>
  <c r="AG114" i="3"/>
  <c r="Q114" i="3"/>
  <c r="BL114" i="3"/>
  <c r="AV114" i="3"/>
  <c r="AF114" i="3"/>
  <c r="BK114" i="3"/>
  <c r="AU114" i="3"/>
  <c r="AE114" i="3"/>
  <c r="BJ114" i="3"/>
  <c r="AT114" i="3"/>
  <c r="BN114" i="3"/>
  <c r="AP114" i="3"/>
  <c r="W114" i="3"/>
  <c r="BI114" i="3"/>
  <c r="AO114" i="3"/>
  <c r="V114" i="3"/>
  <c r="BH114" i="3"/>
  <c r="AN114" i="3"/>
  <c r="U114" i="3"/>
  <c r="BG114" i="3"/>
  <c r="AM114" i="3"/>
  <c r="T114" i="3"/>
  <c r="BF114" i="3"/>
  <c r="AL114" i="3"/>
  <c r="S114" i="3"/>
  <c r="BE114" i="3"/>
  <c r="AK114" i="3"/>
  <c r="R114" i="3"/>
  <c r="BD114" i="3"/>
  <c r="AJ114" i="3"/>
  <c r="P114" i="3"/>
  <c r="BC114" i="3"/>
  <c r="AI114" i="3"/>
  <c r="O114" i="3"/>
  <c r="BB114" i="3"/>
  <c r="AH114" i="3"/>
  <c r="N114" i="3"/>
  <c r="BA114" i="3"/>
  <c r="AD114" i="3"/>
  <c r="M114" i="3"/>
  <c r="AZ114" i="3"/>
  <c r="AC114" i="3"/>
  <c r="L114" i="3"/>
  <c r="BP114" i="3"/>
  <c r="AR114" i="3"/>
  <c r="Y114" i="3"/>
  <c r="K114" i="3"/>
  <c r="BS114" i="3"/>
  <c r="BR114" i="3"/>
  <c r="BQ114" i="3"/>
  <c r="BO114" i="3"/>
  <c r="AY114" i="3"/>
  <c r="AX114" i="3"/>
  <c r="AS114" i="3"/>
  <c r="Z114" i="3"/>
  <c r="AQ114" i="3"/>
  <c r="AB114" i="3"/>
  <c r="AA114" i="3"/>
  <c r="X114" i="3"/>
  <c r="AR43" i="3"/>
  <c r="AE43" i="3"/>
  <c r="BJ43" i="3"/>
  <c r="BE44" i="3"/>
  <c r="P44" i="3"/>
  <c r="AJ44" i="3"/>
  <c r="W9" i="3"/>
  <c r="AJ9" i="3"/>
  <c r="AQ9" i="3"/>
  <c r="BF195" i="3"/>
  <c r="BH195" i="3"/>
  <c r="S195" i="3"/>
  <c r="AZ10" i="3"/>
  <c r="N10" i="3"/>
  <c r="W10" i="3"/>
  <c r="BB63" i="3"/>
  <c r="K63" i="3"/>
  <c r="O63" i="3"/>
  <c r="AN84" i="3"/>
  <c r="AU84" i="3"/>
  <c r="BG84" i="3"/>
  <c r="AW48" i="3"/>
  <c r="AH48" i="3"/>
  <c r="BO48" i="3"/>
  <c r="Q177" i="3"/>
  <c r="BQ177" i="3"/>
  <c r="AP177" i="3"/>
  <c r="V99" i="3"/>
  <c r="AQ99" i="3"/>
  <c r="AT143" i="3"/>
  <c r="AD143" i="3"/>
  <c r="BI143" i="3"/>
  <c r="AS143" i="3"/>
  <c r="AC143" i="3"/>
  <c r="AR143" i="3"/>
  <c r="K143" i="3"/>
  <c r="AP143" i="3"/>
  <c r="Z143" i="3"/>
  <c r="AO143" i="3"/>
  <c r="Y143" i="3"/>
  <c r="BD143" i="3"/>
  <c r="BS143" i="3"/>
  <c r="AL143" i="3"/>
  <c r="BQ143" i="3"/>
  <c r="BA143" i="3"/>
  <c r="U143" i="3"/>
  <c r="BP143" i="3"/>
  <c r="AZ143" i="3"/>
  <c r="BK143" i="3"/>
  <c r="AH143" i="3"/>
  <c r="AF143" i="3"/>
  <c r="AE143" i="3"/>
  <c r="BO143" i="3"/>
  <c r="R143" i="3"/>
  <c r="BN143" i="3"/>
  <c r="AI143" i="3"/>
  <c r="J143" i="3"/>
  <c r="AB143" i="3" s="1"/>
  <c r="AZ199" i="3"/>
  <c r="AR199" i="3"/>
  <c r="AI199" i="3"/>
  <c r="AV323" i="3"/>
  <c r="AH323" i="3"/>
  <c r="BI323" i="3"/>
  <c r="BG335" i="3"/>
  <c r="O335" i="3"/>
  <c r="Z217" i="3"/>
  <c r="AB217" i="3"/>
  <c r="AF217" i="3"/>
  <c r="BL193" i="3"/>
  <c r="K193" i="3"/>
  <c r="AJ193" i="3"/>
  <c r="AB289" i="3"/>
  <c r="BI289" i="3"/>
  <c r="BM289" i="3"/>
  <c r="AU297" i="3"/>
  <c r="BM297" i="3"/>
  <c r="V297" i="3"/>
  <c r="BG297" i="3"/>
  <c r="BO345" i="3"/>
  <c r="AQ345" i="3"/>
  <c r="M345" i="3"/>
  <c r="U345" i="3"/>
  <c r="AX345" i="3"/>
  <c r="Z345" i="3"/>
  <c r="AR345" i="3"/>
  <c r="AI345" i="3"/>
  <c r="AG345" i="3"/>
  <c r="BF345" i="3"/>
  <c r="L345" i="3"/>
  <c r="AA345" i="3"/>
  <c r="P345" i="3"/>
  <c r="AO345" i="3"/>
  <c r="AP345" i="3"/>
  <c r="T345" i="3"/>
  <c r="BN345" i="3"/>
  <c r="X345" i="3"/>
  <c r="AL345" i="3"/>
  <c r="S345" i="3"/>
  <c r="AW345" i="3"/>
  <c r="BE345" i="3"/>
  <c r="BS345" i="3"/>
  <c r="BI345" i="3"/>
  <c r="AF345" i="3"/>
  <c r="AN345" i="3"/>
  <c r="AK345" i="3"/>
  <c r="BQ345" i="3"/>
  <c r="N345" i="3"/>
  <c r="W345" i="3"/>
  <c r="BR345" i="3"/>
  <c r="BB345" i="3"/>
  <c r="BL345" i="3"/>
  <c r="BD345" i="3"/>
  <c r="AJ345" i="3"/>
  <c r="BA345" i="3"/>
  <c r="AT345" i="3"/>
  <c r="AM345" i="3"/>
  <c r="BP345" i="3"/>
  <c r="AC345" i="3"/>
  <c r="V345" i="3"/>
  <c r="AH345" i="3"/>
  <c r="BJ345" i="3"/>
  <c r="AZ345" i="3"/>
  <c r="BM345" i="3"/>
  <c r="BK345" i="3"/>
  <c r="AS345" i="3"/>
  <c r="R345" i="3"/>
  <c r="AD345" i="3"/>
  <c r="AU345" i="3"/>
  <c r="AB345" i="3"/>
  <c r="AY345" i="3"/>
  <c r="BG345" i="3"/>
  <c r="AE345" i="3"/>
  <c r="K345" i="3"/>
  <c r="Q345" i="3"/>
  <c r="Y345" i="3"/>
  <c r="O345" i="3"/>
  <c r="BH345" i="3"/>
  <c r="AV345" i="3"/>
  <c r="BC345" i="3"/>
  <c r="U299" i="3"/>
  <c r="BI299" i="3"/>
  <c r="AG299" i="3"/>
  <c r="BR299" i="3"/>
  <c r="AR353" i="3"/>
  <c r="AY353" i="3"/>
  <c r="U353" i="3"/>
  <c r="BJ86" i="3"/>
  <c r="AG86" i="3"/>
  <c r="AI239" i="3"/>
  <c r="N239" i="3"/>
  <c r="U202" i="3"/>
  <c r="AT202" i="3"/>
  <c r="AP202" i="3"/>
  <c r="BI23" i="4"/>
  <c r="W23" i="4"/>
  <c r="AN23" i="4"/>
  <c r="BQ346" i="3"/>
  <c r="BL339" i="3"/>
  <c r="AP216" i="3"/>
  <c r="Z17" i="4"/>
  <c r="Y316" i="3"/>
  <c r="BK316" i="3"/>
  <c r="N316" i="3"/>
  <c r="BD316" i="3"/>
  <c r="Z37" i="3"/>
  <c r="BP37" i="3"/>
  <c r="Q37" i="3"/>
  <c r="S37" i="3"/>
  <c r="X351" i="3"/>
  <c r="AM351" i="3"/>
  <c r="BL351" i="3"/>
  <c r="BO351" i="3"/>
  <c r="BO206" i="3"/>
  <c r="BC206" i="3"/>
  <c r="AB206" i="3"/>
  <c r="BO150" i="3"/>
  <c r="AY150" i="3"/>
  <c r="AI150" i="3"/>
  <c r="S150" i="3"/>
  <c r="BN150" i="3"/>
  <c r="AX150" i="3"/>
  <c r="AH150" i="3"/>
  <c r="R150" i="3"/>
  <c r="BM150" i="3"/>
  <c r="AW150" i="3"/>
  <c r="AG150" i="3"/>
  <c r="Q150" i="3"/>
  <c r="BL150" i="3"/>
  <c r="AV150" i="3"/>
  <c r="AF150" i="3"/>
  <c r="P150" i="3"/>
  <c r="BK150" i="3"/>
  <c r="AU150" i="3"/>
  <c r="AE150" i="3"/>
  <c r="O150" i="3"/>
  <c r="BJ150" i="3"/>
  <c r="AT150" i="3"/>
  <c r="AD150" i="3"/>
  <c r="N150" i="3"/>
  <c r="BI150" i="3"/>
  <c r="AS150" i="3"/>
  <c r="AC150" i="3"/>
  <c r="M150" i="3"/>
  <c r="BH150" i="3"/>
  <c r="AR150" i="3"/>
  <c r="AB150" i="3"/>
  <c r="L150" i="3"/>
  <c r="BG150" i="3"/>
  <c r="AQ150" i="3"/>
  <c r="AA150" i="3"/>
  <c r="K150" i="3"/>
  <c r="BF150" i="3"/>
  <c r="AP150" i="3"/>
  <c r="Z150" i="3"/>
  <c r="BE150" i="3"/>
  <c r="AO150" i="3"/>
  <c r="Y150" i="3"/>
  <c r="BQ150" i="3"/>
  <c r="BA150" i="3"/>
  <c r="AK150" i="3"/>
  <c r="U150" i="3"/>
  <c r="AZ150" i="3"/>
  <c r="AN150" i="3"/>
  <c r="AM150" i="3"/>
  <c r="AL150" i="3"/>
  <c r="AJ150" i="3"/>
  <c r="X150" i="3"/>
  <c r="V150" i="3"/>
  <c r="T150" i="3"/>
  <c r="BS150" i="3"/>
  <c r="BR150" i="3"/>
  <c r="BP150" i="3"/>
  <c r="BD150" i="3"/>
  <c r="BB150" i="3"/>
  <c r="BC150" i="3"/>
  <c r="W150" i="3"/>
  <c r="AL212" i="3"/>
  <c r="AP212" i="3"/>
  <c r="AT212" i="3"/>
  <c r="AX212" i="3"/>
  <c r="BN262" i="3"/>
  <c r="AZ262" i="3"/>
  <c r="AQ262" i="3"/>
  <c r="AU262" i="3"/>
  <c r="AM316" i="3"/>
  <c r="AB316" i="3"/>
  <c r="AF316" i="3"/>
  <c r="T316" i="3"/>
  <c r="AS352" i="3"/>
  <c r="AU352" i="3"/>
  <c r="S352" i="3"/>
  <c r="AY352" i="3"/>
  <c r="AO37" i="3"/>
  <c r="M37" i="3"/>
  <c r="AK37" i="3"/>
  <c r="AI37" i="3"/>
  <c r="BL207" i="3"/>
  <c r="AV207" i="3"/>
  <c r="AF207" i="3"/>
  <c r="P207" i="3"/>
  <c r="BK207" i="3"/>
  <c r="AU207" i="3"/>
  <c r="AE207" i="3"/>
  <c r="O207" i="3"/>
  <c r="BJ207" i="3"/>
  <c r="AT207" i="3"/>
  <c r="AD207" i="3"/>
  <c r="N207" i="3"/>
  <c r="BI207" i="3"/>
  <c r="AS207" i="3"/>
  <c r="AC207" i="3"/>
  <c r="M207" i="3"/>
  <c r="BH207" i="3"/>
  <c r="AR207" i="3"/>
  <c r="AB207" i="3"/>
  <c r="L207" i="3"/>
  <c r="BG207" i="3"/>
  <c r="AQ207" i="3"/>
  <c r="AA207" i="3"/>
  <c r="K207" i="3"/>
  <c r="BF207" i="3"/>
  <c r="AP207" i="3"/>
  <c r="Z207" i="3"/>
  <c r="BE207" i="3"/>
  <c r="AO207" i="3"/>
  <c r="Y207" i="3"/>
  <c r="BD207" i="3"/>
  <c r="AN207" i="3"/>
  <c r="X207" i="3"/>
  <c r="BS207" i="3"/>
  <c r="BC207" i="3"/>
  <c r="AM207" i="3"/>
  <c r="W207" i="3"/>
  <c r="BR207" i="3"/>
  <c r="BB207" i="3"/>
  <c r="AL207" i="3"/>
  <c r="V207" i="3"/>
  <c r="BQ207" i="3"/>
  <c r="BA207" i="3"/>
  <c r="AK207" i="3"/>
  <c r="U207" i="3"/>
  <c r="Q207" i="3"/>
  <c r="BP207" i="3"/>
  <c r="BO207" i="3"/>
  <c r="BN207" i="3"/>
  <c r="BM207" i="3"/>
  <c r="AZ207" i="3"/>
  <c r="AY207" i="3"/>
  <c r="AX207" i="3"/>
  <c r="AW207" i="3"/>
  <c r="AJ207" i="3"/>
  <c r="AI207" i="3"/>
  <c r="S207" i="3"/>
  <c r="R207" i="3"/>
  <c r="AH207" i="3"/>
  <c r="AG207" i="3"/>
  <c r="T207" i="3"/>
  <c r="V188" i="3"/>
  <c r="AR188" i="3"/>
  <c r="AV188" i="3"/>
  <c r="BA188" i="3"/>
  <c r="BA328" i="3"/>
  <c r="AT328" i="3"/>
  <c r="BR328" i="3"/>
  <c r="AR328" i="3"/>
  <c r="BN351" i="3"/>
  <c r="BE351" i="3"/>
  <c r="L351" i="3"/>
  <c r="P206" i="3"/>
  <c r="BS206" i="3"/>
  <c r="AR206" i="3"/>
  <c r="BB69" i="3"/>
  <c r="Z69" i="3"/>
  <c r="BP69" i="3"/>
  <c r="BG69" i="3"/>
  <c r="BN149" i="3"/>
  <c r="AX149" i="3"/>
  <c r="AH149" i="3"/>
  <c r="R149" i="3"/>
  <c r="BM149" i="3"/>
  <c r="AW149" i="3"/>
  <c r="AG149" i="3"/>
  <c r="Q149" i="3"/>
  <c r="BL149" i="3"/>
  <c r="AV149" i="3"/>
  <c r="AF149" i="3"/>
  <c r="P149" i="3"/>
  <c r="BK149" i="3"/>
  <c r="AU149" i="3"/>
  <c r="AE149" i="3"/>
  <c r="O149" i="3"/>
  <c r="BJ149" i="3"/>
  <c r="AT149" i="3"/>
  <c r="AD149" i="3"/>
  <c r="N149" i="3"/>
  <c r="BI149" i="3"/>
  <c r="AS149" i="3"/>
  <c r="AC149" i="3"/>
  <c r="M149" i="3"/>
  <c r="BH149" i="3"/>
  <c r="AR149" i="3"/>
  <c r="AB149" i="3"/>
  <c r="L149" i="3"/>
  <c r="BG149" i="3"/>
  <c r="AQ149" i="3"/>
  <c r="AA149" i="3"/>
  <c r="K149" i="3"/>
  <c r="BF149" i="3"/>
  <c r="AP149" i="3"/>
  <c r="Z149" i="3"/>
  <c r="BE149" i="3"/>
  <c r="AO149" i="3"/>
  <c r="Y149" i="3"/>
  <c r="BD149" i="3"/>
  <c r="AN149" i="3"/>
  <c r="X149" i="3"/>
  <c r="BP149" i="3"/>
  <c r="AZ149" i="3"/>
  <c r="AJ149" i="3"/>
  <c r="T149" i="3"/>
  <c r="AY149" i="3"/>
  <c r="AM149" i="3"/>
  <c r="AL149" i="3"/>
  <c r="AK149" i="3"/>
  <c r="AI149" i="3"/>
  <c r="W149" i="3"/>
  <c r="U149" i="3"/>
  <c r="S149" i="3"/>
  <c r="BS149" i="3"/>
  <c r="BR149" i="3"/>
  <c r="BQ149" i="3"/>
  <c r="BO149" i="3"/>
  <c r="BC149" i="3"/>
  <c r="BB149" i="3"/>
  <c r="BA149" i="3"/>
  <c r="V149" i="3"/>
  <c r="AM212" i="3"/>
  <c r="BF212" i="3"/>
  <c r="BJ212" i="3"/>
  <c r="BN212" i="3"/>
  <c r="BO262" i="3"/>
  <c r="W262" i="3"/>
  <c r="BG262" i="3"/>
  <c r="BK262" i="3"/>
  <c r="AN316" i="3"/>
  <c r="AT316" i="3"/>
  <c r="AX316" i="3"/>
  <c r="AJ316" i="3"/>
  <c r="BB352" i="3"/>
  <c r="BQ352" i="3"/>
  <c r="AL352" i="3"/>
  <c r="BO352" i="3"/>
  <c r="AP37" i="3"/>
  <c r="AE37" i="3"/>
  <c r="BC37" i="3"/>
  <c r="AY37" i="3"/>
  <c r="W188" i="3"/>
  <c r="BI188" i="3"/>
  <c r="BM188" i="3"/>
  <c r="BR188" i="3"/>
  <c r="AA328" i="3"/>
  <c r="O328" i="3"/>
  <c r="W328" i="3"/>
  <c r="BH328" i="3"/>
  <c r="Z351" i="3"/>
  <c r="V351" i="3"/>
  <c r="AD351" i="3"/>
  <c r="AG206" i="3"/>
  <c r="T206" i="3"/>
  <c r="X206" i="3"/>
  <c r="BH206" i="3"/>
  <c r="AZ212" i="3"/>
  <c r="K212" i="3"/>
  <c r="O212" i="3"/>
  <c r="S212" i="3"/>
  <c r="S262" i="3"/>
  <c r="AM262" i="3"/>
  <c r="L262" i="3"/>
  <c r="P262" i="3"/>
  <c r="AO316" i="3"/>
  <c r="BL316" i="3"/>
  <c r="BR316" i="3"/>
  <c r="AZ316" i="3"/>
  <c r="BD352" i="3"/>
  <c r="L352" i="3"/>
  <c r="BE352" i="3"/>
  <c r="T352" i="3"/>
  <c r="AA37" i="3"/>
  <c r="AW37" i="3"/>
  <c r="T37" i="3"/>
  <c r="BO37" i="3"/>
  <c r="AT205" i="3"/>
  <c r="AS205" i="3"/>
  <c r="AC205" i="3"/>
  <c r="M205" i="3"/>
  <c r="AR205" i="3"/>
  <c r="AB205" i="3"/>
  <c r="BG205" i="3"/>
  <c r="AQ205" i="3"/>
  <c r="AA205" i="3"/>
  <c r="AP205" i="3"/>
  <c r="X205" i="3"/>
  <c r="BS205" i="3"/>
  <c r="BC205" i="3"/>
  <c r="W205" i="3"/>
  <c r="BR205" i="3"/>
  <c r="BQ205" i="3"/>
  <c r="BA205" i="3"/>
  <c r="BP205" i="3"/>
  <c r="T205" i="3"/>
  <c r="S205" i="3"/>
  <c r="AE205" i="3"/>
  <c r="BN205" i="3"/>
  <c r="BM205" i="3"/>
  <c r="V205" i="3"/>
  <c r="U205" i="3"/>
  <c r="BK205" i="3"/>
  <c r="R205" i="3"/>
  <c r="AX205" i="3"/>
  <c r="AV205" i="3"/>
  <c r="AU205" i="3"/>
  <c r="AO205" i="3"/>
  <c r="AL205" i="3"/>
  <c r="AK205" i="3"/>
  <c r="AF205" i="3"/>
  <c r="X188" i="3"/>
  <c r="K188" i="3"/>
  <c r="O188" i="3"/>
  <c r="R188" i="3"/>
  <c r="BG328" i="3"/>
  <c r="AU328" i="3"/>
  <c r="AM328" i="3"/>
  <c r="M328" i="3"/>
  <c r="BR351" i="3"/>
  <c r="AN351" i="3"/>
  <c r="AV351" i="3"/>
  <c r="Q206" i="3"/>
  <c r="AJ206" i="3"/>
  <c r="AN206" i="3"/>
  <c r="M206" i="3"/>
  <c r="AP316" i="3"/>
  <c r="K316" i="3"/>
  <c r="O316" i="3"/>
  <c r="BP316" i="3"/>
  <c r="AS37" i="3"/>
  <c r="BQ37" i="3"/>
  <c r="AL37" i="3"/>
  <c r="AV35" i="3"/>
  <c r="AF35" i="3"/>
  <c r="P35" i="3"/>
  <c r="BF35" i="3"/>
  <c r="AO35" i="3"/>
  <c r="X35" i="3"/>
  <c r="BE35" i="3"/>
  <c r="AN35" i="3"/>
  <c r="W35" i="3"/>
  <c r="AM35" i="3"/>
  <c r="BD35" i="3"/>
  <c r="V35" i="3"/>
  <c r="BC35" i="3"/>
  <c r="AL35" i="3"/>
  <c r="U35" i="3"/>
  <c r="BB35" i="3"/>
  <c r="AK35" i="3"/>
  <c r="T35" i="3"/>
  <c r="BR35" i="3"/>
  <c r="BA35" i="3"/>
  <c r="AJ35" i="3"/>
  <c r="S35" i="3"/>
  <c r="BQ35" i="3"/>
  <c r="AZ35" i="3"/>
  <c r="AI35" i="3"/>
  <c r="R35" i="3"/>
  <c r="BP35" i="3"/>
  <c r="AY35" i="3"/>
  <c r="AH35" i="3"/>
  <c r="Q35" i="3"/>
  <c r="AX35" i="3"/>
  <c r="AG35" i="3"/>
  <c r="O35" i="3"/>
  <c r="BN35" i="3"/>
  <c r="AW35" i="3"/>
  <c r="AE35" i="3"/>
  <c r="N35" i="3"/>
  <c r="BM35" i="3"/>
  <c r="AU35" i="3"/>
  <c r="AD35" i="3"/>
  <c r="M35" i="3"/>
  <c r="BK35" i="3"/>
  <c r="AT35" i="3"/>
  <c r="AC35" i="3"/>
  <c r="L35" i="3"/>
  <c r="Y35" i="3"/>
  <c r="K35" i="3"/>
  <c r="BJ35" i="3"/>
  <c r="BI35" i="3"/>
  <c r="BH35" i="3"/>
  <c r="BG35" i="3"/>
  <c r="AS35" i="3"/>
  <c r="AR35" i="3"/>
  <c r="AQ35" i="3"/>
  <c r="AP35" i="3"/>
  <c r="AB35" i="3"/>
  <c r="AA35" i="3"/>
  <c r="AF328" i="3"/>
  <c r="P328" i="3"/>
  <c r="BC328" i="3"/>
  <c r="AC328" i="3"/>
  <c r="R351" i="3"/>
  <c r="AF351" i="3"/>
  <c r="BF351" i="3"/>
  <c r="BP351" i="3"/>
  <c r="S206" i="3"/>
  <c r="AZ206" i="3"/>
  <c r="BD206" i="3"/>
  <c r="AC206" i="3"/>
  <c r="AQ316" i="3"/>
  <c r="AC316" i="3"/>
  <c r="AG316" i="3"/>
  <c r="U316" i="3"/>
  <c r="BK37" i="3"/>
  <c r="N37" i="3"/>
  <c r="BD37" i="3"/>
  <c r="J35" i="3"/>
  <c r="BL35" i="3" s="1"/>
  <c r="AM188" i="3"/>
  <c r="AS188" i="3"/>
  <c r="AW188" i="3"/>
  <c r="AX188" i="3"/>
  <c r="BL328" i="3"/>
  <c r="AV328" i="3"/>
  <c r="BS328" i="3"/>
  <c r="AS328" i="3"/>
  <c r="AC351" i="3"/>
  <c r="AH351" i="3"/>
  <c r="W351" i="3"/>
  <c r="M351" i="3"/>
  <c r="AF206" i="3"/>
  <c r="BP206" i="3"/>
  <c r="Y206" i="3"/>
  <c r="AS206" i="3"/>
  <c r="BM208" i="3"/>
  <c r="AW208" i="3"/>
  <c r="AG208" i="3"/>
  <c r="Q208" i="3"/>
  <c r="BL208" i="3"/>
  <c r="AV208" i="3"/>
  <c r="AF208" i="3"/>
  <c r="P208" i="3"/>
  <c r="BK208" i="3"/>
  <c r="AU208" i="3"/>
  <c r="AE208" i="3"/>
  <c r="O208" i="3"/>
  <c r="BJ208" i="3"/>
  <c r="AT208" i="3"/>
  <c r="AD208" i="3"/>
  <c r="N208" i="3"/>
  <c r="BI208" i="3"/>
  <c r="AS208" i="3"/>
  <c r="AC208" i="3"/>
  <c r="M208" i="3"/>
  <c r="BH208" i="3"/>
  <c r="AR208" i="3"/>
  <c r="AB208" i="3"/>
  <c r="L208" i="3"/>
  <c r="BG208" i="3"/>
  <c r="AQ208" i="3"/>
  <c r="AA208" i="3"/>
  <c r="K208" i="3"/>
  <c r="BF208" i="3"/>
  <c r="AP208" i="3"/>
  <c r="Z208" i="3"/>
  <c r="BE208" i="3"/>
  <c r="AO208" i="3"/>
  <c r="Y208" i="3"/>
  <c r="BD208" i="3"/>
  <c r="AN208" i="3"/>
  <c r="X208" i="3"/>
  <c r="BS208" i="3"/>
  <c r="BC208" i="3"/>
  <c r="AM208" i="3"/>
  <c r="W208" i="3"/>
  <c r="BR208" i="3"/>
  <c r="BB208" i="3"/>
  <c r="AL208" i="3"/>
  <c r="V208" i="3"/>
  <c r="R208" i="3"/>
  <c r="BQ208" i="3"/>
  <c r="BP208" i="3"/>
  <c r="BO208" i="3"/>
  <c r="BN208" i="3"/>
  <c r="BA208" i="3"/>
  <c r="AZ208" i="3"/>
  <c r="AY208" i="3"/>
  <c r="AX208" i="3"/>
  <c r="AK208" i="3"/>
  <c r="AJ208" i="3"/>
  <c r="T208" i="3"/>
  <c r="AI208" i="3"/>
  <c r="AH208" i="3"/>
  <c r="U208" i="3"/>
  <c r="S208" i="3"/>
  <c r="BB351" i="3"/>
  <c r="AJ351" i="3"/>
  <c r="AO351" i="3"/>
  <c r="AE351" i="3"/>
  <c r="R206" i="3"/>
  <c r="U206" i="3"/>
  <c r="AO206" i="3"/>
  <c r="BI206" i="3"/>
  <c r="BG138" i="3"/>
  <c r="AQ138" i="3"/>
  <c r="AA138" i="3"/>
  <c r="K138" i="3"/>
  <c r="BF138" i="3"/>
  <c r="AP138" i="3"/>
  <c r="Z138" i="3"/>
  <c r="BE138" i="3"/>
  <c r="AO138" i="3"/>
  <c r="Y138" i="3"/>
  <c r="BD138" i="3"/>
  <c r="AN138" i="3"/>
  <c r="X138" i="3"/>
  <c r="BS138" i="3"/>
  <c r="BC138" i="3"/>
  <c r="AM138" i="3"/>
  <c r="W138" i="3"/>
  <c r="BR138" i="3"/>
  <c r="BB138" i="3"/>
  <c r="AL138" i="3"/>
  <c r="V138" i="3"/>
  <c r="BQ138" i="3"/>
  <c r="BA138" i="3"/>
  <c r="AK138" i="3"/>
  <c r="U138" i="3"/>
  <c r="BP138" i="3"/>
  <c r="AZ138" i="3"/>
  <c r="AJ138" i="3"/>
  <c r="T138" i="3"/>
  <c r="BO138" i="3"/>
  <c r="AY138" i="3"/>
  <c r="AI138" i="3"/>
  <c r="S138" i="3"/>
  <c r="BN138" i="3"/>
  <c r="AX138" i="3"/>
  <c r="AH138" i="3"/>
  <c r="R138" i="3"/>
  <c r="BM138" i="3"/>
  <c r="AW138" i="3"/>
  <c r="AG138" i="3"/>
  <c r="Q138" i="3"/>
  <c r="BI138" i="3"/>
  <c r="L138" i="3"/>
  <c r="BH138" i="3"/>
  <c r="AV138" i="3"/>
  <c r="AU138" i="3"/>
  <c r="AT138" i="3"/>
  <c r="AS138" i="3"/>
  <c r="AF138" i="3"/>
  <c r="AE138" i="3"/>
  <c r="AD138" i="3"/>
  <c r="AC138" i="3"/>
  <c r="AB138" i="3"/>
  <c r="P138" i="3"/>
  <c r="BL138" i="3"/>
  <c r="BK138" i="3"/>
  <c r="BJ138" i="3"/>
  <c r="AR138" i="3"/>
  <c r="N138" i="3"/>
  <c r="M138" i="3"/>
  <c r="O138" i="3"/>
  <c r="AN303" i="3"/>
  <c r="AV303" i="3"/>
  <c r="AR303" i="3"/>
  <c r="U303" i="3"/>
  <c r="BF316" i="3"/>
  <c r="BM316" i="3"/>
  <c r="BS316" i="3"/>
  <c r="BA316" i="3"/>
  <c r="AQ37" i="3"/>
  <c r="AT37" i="3"/>
  <c r="AZ37" i="3"/>
  <c r="AM37" i="3"/>
  <c r="BJ351" i="3"/>
  <c r="AK351" i="3"/>
  <c r="BG351" i="3"/>
  <c r="AX351" i="3"/>
  <c r="AH206" i="3"/>
  <c r="AK206" i="3"/>
  <c r="BE206" i="3"/>
  <c r="N206" i="3"/>
  <c r="AJ38" i="3"/>
  <c r="T38" i="3"/>
  <c r="BO38" i="3"/>
  <c r="AI38" i="3"/>
  <c r="S38" i="3"/>
  <c r="AW38" i="3"/>
  <c r="AE38" i="3"/>
  <c r="M38" i="3"/>
  <c r="AD38" i="3"/>
  <c r="L38" i="3"/>
  <c r="AC38" i="3"/>
  <c r="K38" i="3"/>
  <c r="BL38" i="3"/>
  <c r="AB38" i="3"/>
  <c r="BK38" i="3"/>
  <c r="AA38" i="3"/>
  <c r="BJ38" i="3"/>
  <c r="AR38" i="3"/>
  <c r="AQ38" i="3"/>
  <c r="Y38" i="3"/>
  <c r="X38" i="3"/>
  <c r="BG38" i="3"/>
  <c r="AO38" i="3"/>
  <c r="BF38" i="3"/>
  <c r="AN38" i="3"/>
  <c r="BE38" i="3"/>
  <c r="AM38" i="3"/>
  <c r="U38" i="3"/>
  <c r="R38" i="3"/>
  <c r="BA38" i="3"/>
  <c r="AH38" i="3"/>
  <c r="AG38" i="3"/>
  <c r="AF38" i="3"/>
  <c r="P38" i="3"/>
  <c r="O38" i="3"/>
  <c r="BS38" i="3"/>
  <c r="BR38" i="3"/>
  <c r="BC38" i="3"/>
  <c r="BA351" i="3"/>
  <c r="AP351" i="3"/>
  <c r="Y351" i="3"/>
  <c r="BQ351" i="3"/>
  <c r="AI206" i="3"/>
  <c r="BA206" i="3"/>
  <c r="Z206" i="3"/>
  <c r="AD206" i="3"/>
  <c r="S227" i="3"/>
  <c r="AV227" i="3"/>
  <c r="BR227" i="3"/>
  <c r="W69" i="3"/>
  <c r="AV69" i="3"/>
  <c r="AZ69" i="3"/>
  <c r="BA134" i="3"/>
  <c r="AP134" i="3"/>
  <c r="BD134" i="3"/>
  <c r="K134" i="3"/>
  <c r="BR212" i="3"/>
  <c r="AR212" i="3"/>
  <c r="AV212" i="3"/>
  <c r="J303" i="3"/>
  <c r="L303" i="3" s="1"/>
  <c r="BH316" i="3"/>
  <c r="AD316" i="3"/>
  <c r="AH316" i="3"/>
  <c r="BK352" i="3"/>
  <c r="AW352" i="3"/>
  <c r="BH352" i="3"/>
  <c r="BG37" i="3"/>
  <c r="K37" i="3"/>
  <c r="O37" i="3"/>
  <c r="V37" i="3"/>
  <c r="BC188" i="3"/>
  <c r="AT188" i="3"/>
  <c r="AY188" i="3"/>
  <c r="BN328" i="3"/>
  <c r="AX328" i="3"/>
  <c r="Y328" i="3"/>
  <c r="BS351" i="3"/>
  <c r="AR351" i="3"/>
  <c r="AQ351" i="3"/>
  <c r="Q351" i="3"/>
  <c r="AV206" i="3"/>
  <c r="BQ206" i="3"/>
  <c r="AP206" i="3"/>
  <c r="AT206" i="3"/>
  <c r="BJ151" i="3"/>
  <c r="AT151" i="3"/>
  <c r="AD151" i="3"/>
  <c r="BS151" i="3"/>
  <c r="BB151" i="3"/>
  <c r="AK151" i="3"/>
  <c r="T151" i="3"/>
  <c r="BR151" i="3"/>
  <c r="BA151" i="3"/>
  <c r="AJ151" i="3"/>
  <c r="S151" i="3"/>
  <c r="BQ151" i="3"/>
  <c r="AZ151" i="3"/>
  <c r="AI151" i="3"/>
  <c r="R151" i="3"/>
  <c r="BP151" i="3"/>
  <c r="AY151" i="3"/>
  <c r="AH151" i="3"/>
  <c r="Q151" i="3"/>
  <c r="BO151" i="3"/>
  <c r="AX151" i="3"/>
  <c r="AG151" i="3"/>
  <c r="P151" i="3"/>
  <c r="BN151" i="3"/>
  <c r="AW151" i="3"/>
  <c r="AF151" i="3"/>
  <c r="O151" i="3"/>
  <c r="BM151" i="3"/>
  <c r="AV151" i="3"/>
  <c r="AE151" i="3"/>
  <c r="N151" i="3"/>
  <c r="BL151" i="3"/>
  <c r="AU151" i="3"/>
  <c r="AC151" i="3"/>
  <c r="M151" i="3"/>
  <c r="BK151" i="3"/>
  <c r="AS151" i="3"/>
  <c r="AB151" i="3"/>
  <c r="L151" i="3"/>
  <c r="BI151" i="3"/>
  <c r="AR151" i="3"/>
  <c r="AA151" i="3"/>
  <c r="K151" i="3"/>
  <c r="BH151" i="3"/>
  <c r="AQ151" i="3"/>
  <c r="Z151" i="3"/>
  <c r="BD151" i="3"/>
  <c r="AM151" i="3"/>
  <c r="V151" i="3"/>
  <c r="BC151" i="3"/>
  <c r="AP151" i="3"/>
  <c r="AO151" i="3"/>
  <c r="AN151" i="3"/>
  <c r="AL151" i="3"/>
  <c r="Y151" i="3"/>
  <c r="W151" i="3"/>
  <c r="U151" i="3"/>
  <c r="BG151" i="3"/>
  <c r="BF151" i="3"/>
  <c r="BE151" i="3"/>
  <c r="X151" i="3"/>
  <c r="BS302" i="3"/>
  <c r="BC302" i="3"/>
  <c r="AM302" i="3"/>
  <c r="W302" i="3"/>
  <c r="BK302" i="3"/>
  <c r="AT302" i="3"/>
  <c r="AC302" i="3"/>
  <c r="L302" i="3"/>
  <c r="BJ302" i="3"/>
  <c r="AS302" i="3"/>
  <c r="AB302" i="3"/>
  <c r="K302" i="3"/>
  <c r="BI302" i="3"/>
  <c r="AR302" i="3"/>
  <c r="AA302" i="3"/>
  <c r="BH302" i="3"/>
  <c r="AQ302" i="3"/>
  <c r="Z302" i="3"/>
  <c r="BG302" i="3"/>
  <c r="AP302" i="3"/>
  <c r="Y302" i="3"/>
  <c r="BF302" i="3"/>
  <c r="AO302" i="3"/>
  <c r="X302" i="3"/>
  <c r="BE302" i="3"/>
  <c r="AN302" i="3"/>
  <c r="V302" i="3"/>
  <c r="BD302" i="3"/>
  <c r="AL302" i="3"/>
  <c r="U302" i="3"/>
  <c r="BB302" i="3"/>
  <c r="AK302" i="3"/>
  <c r="T302" i="3"/>
  <c r="BR302" i="3"/>
  <c r="BA302" i="3"/>
  <c r="AJ302" i="3"/>
  <c r="S302" i="3"/>
  <c r="BQ302" i="3"/>
  <c r="AZ302" i="3"/>
  <c r="AI302" i="3"/>
  <c r="R302" i="3"/>
  <c r="BP302" i="3"/>
  <c r="AY302" i="3"/>
  <c r="AH302" i="3"/>
  <c r="Q302" i="3"/>
  <c r="BO302" i="3"/>
  <c r="AX302" i="3"/>
  <c r="AG302" i="3"/>
  <c r="P302" i="3"/>
  <c r="BN302" i="3"/>
  <c r="BM302" i="3"/>
  <c r="BL302" i="3"/>
  <c r="AW302" i="3"/>
  <c r="AV302" i="3"/>
  <c r="AU302" i="3"/>
  <c r="AF302" i="3"/>
  <c r="AE302" i="3"/>
  <c r="O302" i="3"/>
  <c r="AD302" i="3"/>
  <c r="N302" i="3"/>
  <c r="M302" i="3"/>
  <c r="BI316" i="3"/>
  <c r="AV316" i="3"/>
  <c r="BB316" i="3"/>
  <c r="BH37" i="3"/>
  <c r="AC37" i="3"/>
  <c r="AG37" i="3"/>
  <c r="AN37" i="3"/>
  <c r="BD188" i="3"/>
  <c r="Y188" i="3"/>
  <c r="BK188" i="3"/>
  <c r="BP188" i="3"/>
  <c r="BJ328" i="3"/>
  <c r="AI328" i="3"/>
  <c r="T328" i="3"/>
  <c r="AO328" i="3"/>
  <c r="K351" i="3"/>
  <c r="AU351" i="3"/>
  <c r="BI351" i="3"/>
  <c r="AG351" i="3"/>
  <c r="AW206" i="3"/>
  <c r="V206" i="3"/>
  <c r="BF206" i="3"/>
  <c r="BJ206" i="3"/>
  <c r="Z316" i="3"/>
  <c r="BN316" i="3"/>
  <c r="Q316" i="3"/>
  <c r="BI37" i="3"/>
  <c r="AU37" i="3"/>
  <c r="BA37" i="3"/>
  <c r="BF37" i="3"/>
  <c r="J205" i="3"/>
  <c r="AD205" i="3" s="1"/>
  <c r="J38" i="3"/>
  <c r="BP38" i="3" s="1"/>
  <c r="BE188" i="3"/>
  <c r="AP188" i="3"/>
  <c r="M188" i="3"/>
  <c r="Q188" i="3"/>
  <c r="BK328" i="3"/>
  <c r="BO328" i="3"/>
  <c r="AJ328" i="3"/>
  <c r="BE328" i="3"/>
  <c r="X248" i="3"/>
  <c r="AC248" i="3"/>
  <c r="P248" i="3"/>
  <c r="N351" i="3"/>
  <c r="AZ351" i="3"/>
  <c r="AA351" i="3"/>
  <c r="AW351" i="3"/>
  <c r="AX206" i="3"/>
  <c r="AL206" i="3"/>
  <c r="K206" i="3"/>
  <c r="O206" i="3"/>
  <c r="AW42" i="4"/>
  <c r="BP42" i="4"/>
  <c r="AG42" i="4"/>
  <c r="AO42" i="4"/>
  <c r="BI227" i="3"/>
  <c r="T227" i="3"/>
  <c r="AW227" i="3"/>
  <c r="BC227" i="3"/>
  <c r="U69" i="3"/>
  <c r="X69" i="3"/>
  <c r="AE69" i="3"/>
  <c r="AI69" i="3"/>
  <c r="BE136" i="3"/>
  <c r="AO136" i="3"/>
  <c r="Y136" i="3"/>
  <c r="AN136" i="3"/>
  <c r="X136" i="3"/>
  <c r="BS136" i="3"/>
  <c r="BC136" i="3"/>
  <c r="W136" i="3"/>
  <c r="BR136" i="3"/>
  <c r="BB136" i="3"/>
  <c r="AL136" i="3"/>
  <c r="V136" i="3"/>
  <c r="BQ136" i="3"/>
  <c r="BA136" i="3"/>
  <c r="AK136" i="3"/>
  <c r="U136" i="3"/>
  <c r="BP136" i="3"/>
  <c r="AY136" i="3"/>
  <c r="AI136" i="3"/>
  <c r="S136" i="3"/>
  <c r="BN136" i="3"/>
  <c r="BM136" i="3"/>
  <c r="BK136" i="3"/>
  <c r="AU136" i="3"/>
  <c r="AR136" i="3"/>
  <c r="P136" i="3"/>
  <c r="AQ136" i="3"/>
  <c r="O136" i="3"/>
  <c r="AP136" i="3"/>
  <c r="N136" i="3"/>
  <c r="AJ136" i="3"/>
  <c r="AH136" i="3"/>
  <c r="L136" i="3"/>
  <c r="BL136" i="3"/>
  <c r="AG136" i="3"/>
  <c r="BI136" i="3"/>
  <c r="AE136" i="3"/>
  <c r="BH136" i="3"/>
  <c r="AD136" i="3"/>
  <c r="BG136" i="3"/>
  <c r="AC136" i="3"/>
  <c r="BF136" i="3"/>
  <c r="AB136" i="3"/>
  <c r="AZ136" i="3"/>
  <c r="AA136" i="3"/>
  <c r="Z136" i="3"/>
  <c r="BJ136" i="3"/>
  <c r="AV136" i="3"/>
  <c r="AT136" i="3"/>
  <c r="AF136" i="3"/>
  <c r="T136" i="3"/>
  <c r="R136" i="3"/>
  <c r="Q136" i="3"/>
  <c r="J134" i="3"/>
  <c r="S134" i="3" s="1"/>
  <c r="W212" i="3"/>
  <c r="BD212" i="3"/>
  <c r="AC212" i="3"/>
  <c r="AG212" i="3"/>
  <c r="BH304" i="3"/>
  <c r="BF304" i="3"/>
  <c r="AP304" i="3"/>
  <c r="Z304" i="3"/>
  <c r="BE304" i="3"/>
  <c r="AO304" i="3"/>
  <c r="Y304" i="3"/>
  <c r="BD304" i="3"/>
  <c r="AN304" i="3"/>
  <c r="X304" i="3"/>
  <c r="BC304" i="3"/>
  <c r="AM304" i="3"/>
  <c r="W304" i="3"/>
  <c r="BS304" i="3"/>
  <c r="BB304" i="3"/>
  <c r="BR304" i="3"/>
  <c r="AV304" i="3"/>
  <c r="AB304" i="3"/>
  <c r="BQ304" i="3"/>
  <c r="AU304" i="3"/>
  <c r="AA304" i="3"/>
  <c r="BP304" i="3"/>
  <c r="AT304" i="3"/>
  <c r="V304" i="3"/>
  <c r="BO304" i="3"/>
  <c r="AS304" i="3"/>
  <c r="U304" i="3"/>
  <c r="BN304" i="3"/>
  <c r="AR304" i="3"/>
  <c r="T304" i="3"/>
  <c r="BM304" i="3"/>
  <c r="AQ304" i="3"/>
  <c r="S304" i="3"/>
  <c r="BL304" i="3"/>
  <c r="AL304" i="3"/>
  <c r="R304" i="3"/>
  <c r="BK304" i="3"/>
  <c r="AK304" i="3"/>
  <c r="Q304" i="3"/>
  <c r="BJ304" i="3"/>
  <c r="AJ304" i="3"/>
  <c r="P304" i="3"/>
  <c r="BI304" i="3"/>
  <c r="AI304" i="3"/>
  <c r="O304" i="3"/>
  <c r="BG304" i="3"/>
  <c r="AH304" i="3"/>
  <c r="N304" i="3"/>
  <c r="BA304" i="3"/>
  <c r="AG304" i="3"/>
  <c r="M304" i="3"/>
  <c r="AZ304" i="3"/>
  <c r="AF304" i="3"/>
  <c r="L304" i="3"/>
  <c r="AY304" i="3"/>
  <c r="AX304" i="3"/>
  <c r="AW304" i="3"/>
  <c r="AE304" i="3"/>
  <c r="AD304" i="3"/>
  <c r="AC304" i="3"/>
  <c r="K304" i="3"/>
  <c r="S316" i="3"/>
  <c r="AR316" i="3"/>
  <c r="M316" i="3"/>
  <c r="AI316" i="3"/>
  <c r="AQ352" i="3"/>
  <c r="Z352" i="3"/>
  <c r="AF352" i="3"/>
  <c r="BI352" i="3"/>
  <c r="BJ37" i="3"/>
  <c r="BM37" i="3"/>
  <c r="BS37" i="3"/>
  <c r="R37" i="3"/>
  <c r="BF188" i="3"/>
  <c r="BG188" i="3"/>
  <c r="AD188" i="3"/>
  <c r="AI188" i="3"/>
  <c r="S328" i="3"/>
  <c r="AK328" i="3"/>
  <c r="AZ328" i="3"/>
  <c r="Z328" i="3"/>
  <c r="X161" i="3"/>
  <c r="AV161" i="3"/>
  <c r="AI161" i="3"/>
  <c r="BF248" i="3"/>
  <c r="AP248" i="3"/>
  <c r="AU248" i="3"/>
  <c r="AH248" i="3"/>
  <c r="O351" i="3"/>
  <c r="T351" i="3"/>
  <c r="AS351" i="3"/>
  <c r="BM351" i="3"/>
  <c r="AY206" i="3"/>
  <c r="BB206" i="3"/>
  <c r="AA206" i="3"/>
  <c r="AE206" i="3"/>
  <c r="O42" i="4"/>
  <c r="AL42" i="4"/>
  <c r="BD42" i="4"/>
  <c r="BG42" i="4"/>
  <c r="N227" i="3"/>
  <c r="AR227" i="3"/>
  <c r="AD227" i="3"/>
  <c r="BS227" i="3"/>
  <c r="V69" i="3"/>
  <c r="AP69" i="3"/>
  <c r="AW69" i="3"/>
  <c r="BA69" i="3"/>
  <c r="U212" i="3"/>
  <c r="Y212" i="3"/>
  <c r="AS212" i="3"/>
  <c r="AW212" i="3"/>
  <c r="AK262" i="3"/>
  <c r="AP262" i="3"/>
  <c r="AT262" i="3"/>
  <c r="V316" i="3"/>
  <c r="BJ316" i="3"/>
  <c r="AE316" i="3"/>
  <c r="BC316" i="3"/>
  <c r="AT352" i="3"/>
  <c r="BM352" i="3"/>
  <c r="BA352" i="3"/>
  <c r="R352" i="3"/>
  <c r="W37" i="3"/>
  <c r="L37" i="3"/>
  <c r="P37" i="3"/>
  <c r="AH37" i="3"/>
  <c r="AO188" i="3"/>
  <c r="Z188" i="3"/>
  <c r="AU188" i="3"/>
  <c r="AZ188" i="3"/>
  <c r="U328" i="3"/>
  <c r="BQ328" i="3"/>
  <c r="BP328" i="3"/>
  <c r="AP328" i="3"/>
  <c r="AA16" i="4"/>
  <c r="J16" i="4"/>
  <c r="AY16" i="4" s="1"/>
  <c r="AO161" i="3"/>
  <c r="AQ161" i="3"/>
  <c r="BR161" i="3"/>
  <c r="BD161" i="3"/>
  <c r="BG248" i="3"/>
  <c r="BI248" i="3"/>
  <c r="BN248" i="3"/>
  <c r="BA248" i="3"/>
  <c r="BC351" i="3"/>
  <c r="AL351" i="3"/>
  <c r="BK351" i="3"/>
  <c r="S351" i="3"/>
  <c r="BL206" i="3"/>
  <c r="BR206" i="3"/>
  <c r="AQ206" i="3"/>
  <c r="AU206" i="3"/>
  <c r="AX42" i="4"/>
  <c r="AN42" i="4"/>
  <c r="M42" i="4"/>
  <c r="Z127" i="3"/>
  <c r="M127" i="3"/>
  <c r="O227" i="3"/>
  <c r="BM227" i="3"/>
  <c r="AX227" i="3"/>
  <c r="X227" i="3"/>
  <c r="AJ69" i="3"/>
  <c r="BJ69" i="3"/>
  <c r="BO69" i="3"/>
  <c r="BS69" i="3"/>
  <c r="T212" i="3"/>
  <c r="AO212" i="3"/>
  <c r="BI212" i="3"/>
  <c r="BM212" i="3"/>
  <c r="R262" i="3"/>
  <c r="AL262" i="3"/>
  <c r="BF262" i="3"/>
  <c r="BJ262" i="3"/>
  <c r="W316" i="3"/>
  <c r="AA316" i="3"/>
  <c r="AW316" i="3"/>
  <c r="R316" i="3"/>
  <c r="AK352" i="3"/>
  <c r="AA352" i="3"/>
  <c r="P352" i="3"/>
  <c r="AH352" i="3"/>
  <c r="X37" i="3"/>
  <c r="AD37" i="3"/>
  <c r="AJ37" i="3"/>
  <c r="AX37" i="3"/>
  <c r="BN36" i="3"/>
  <c r="AX36" i="3"/>
  <c r="AH36" i="3"/>
  <c r="BM36" i="3"/>
  <c r="AW36" i="3"/>
  <c r="AG36" i="3"/>
  <c r="Q36" i="3"/>
  <c r="BO36" i="3"/>
  <c r="AU36" i="3"/>
  <c r="AC36" i="3"/>
  <c r="L36" i="3"/>
  <c r="BL36" i="3"/>
  <c r="AT36" i="3"/>
  <c r="AB36" i="3"/>
  <c r="K36" i="3"/>
  <c r="BK36" i="3"/>
  <c r="AS36" i="3"/>
  <c r="AA36" i="3"/>
  <c r="BJ36" i="3"/>
  <c r="AR36" i="3"/>
  <c r="Z36" i="3"/>
  <c r="BI36" i="3"/>
  <c r="AQ36" i="3"/>
  <c r="Y36" i="3"/>
  <c r="BH36" i="3"/>
  <c r="AP36" i="3"/>
  <c r="X36" i="3"/>
  <c r="BG36" i="3"/>
  <c r="AO36" i="3"/>
  <c r="W36" i="3"/>
  <c r="BF36" i="3"/>
  <c r="AN36" i="3"/>
  <c r="V36" i="3"/>
  <c r="BE36" i="3"/>
  <c r="AM36" i="3"/>
  <c r="U36" i="3"/>
  <c r="BD36" i="3"/>
  <c r="AL36" i="3"/>
  <c r="T36" i="3"/>
  <c r="BC36" i="3"/>
  <c r="AK36" i="3"/>
  <c r="S36" i="3"/>
  <c r="BB36" i="3"/>
  <c r="AJ36" i="3"/>
  <c r="R36" i="3"/>
  <c r="AE36" i="3"/>
  <c r="AD36" i="3"/>
  <c r="P36" i="3"/>
  <c r="O36" i="3"/>
  <c r="N36" i="3"/>
  <c r="M36" i="3"/>
  <c r="BS36" i="3"/>
  <c r="BR36" i="3"/>
  <c r="BQ36" i="3"/>
  <c r="BP36" i="3"/>
  <c r="BA36" i="3"/>
  <c r="AZ36" i="3"/>
  <c r="AY36" i="3"/>
  <c r="AV36" i="3"/>
  <c r="AI36" i="3"/>
  <c r="AF36" i="3"/>
  <c r="BB188" i="3"/>
  <c r="AQ188" i="3"/>
  <c r="BL188" i="3"/>
  <c r="BQ188" i="3"/>
  <c r="AD328" i="3"/>
  <c r="K328" i="3"/>
  <c r="V328" i="3"/>
  <c r="BF328" i="3"/>
  <c r="AP161" i="3"/>
  <c r="BJ161" i="3"/>
  <c r="K161" i="3"/>
  <c r="R161" i="3"/>
  <c r="Q248" i="3"/>
  <c r="Y248" i="3"/>
  <c r="L248" i="3"/>
  <c r="AZ248" i="3"/>
  <c r="P351" i="3"/>
  <c r="BD351" i="3"/>
  <c r="AB351" i="3"/>
  <c r="AI351" i="3"/>
  <c r="BM206" i="3"/>
  <c r="W206" i="3"/>
  <c r="BG206" i="3"/>
  <c r="BK206" i="3"/>
  <c r="P227" i="3"/>
  <c r="U227" i="3"/>
  <c r="K227" i="3"/>
  <c r="AL69" i="3"/>
  <c r="Y69" i="3"/>
  <c r="N69" i="3"/>
  <c r="J136" i="3"/>
  <c r="BD136" i="3" s="1"/>
  <c r="BM148" i="3"/>
  <c r="AW148" i="3"/>
  <c r="AG148" i="3"/>
  <c r="Q148" i="3"/>
  <c r="BL148" i="3"/>
  <c r="AV148" i="3"/>
  <c r="AF148" i="3"/>
  <c r="P148" i="3"/>
  <c r="BK148" i="3"/>
  <c r="AU148" i="3"/>
  <c r="AE148" i="3"/>
  <c r="O148" i="3"/>
  <c r="BJ148" i="3"/>
  <c r="AT148" i="3"/>
  <c r="AD148" i="3"/>
  <c r="N148" i="3"/>
  <c r="BI148" i="3"/>
  <c r="AS148" i="3"/>
  <c r="AC148" i="3"/>
  <c r="M148" i="3"/>
  <c r="BH148" i="3"/>
  <c r="AR148" i="3"/>
  <c r="AB148" i="3"/>
  <c r="L148" i="3"/>
  <c r="BG148" i="3"/>
  <c r="AQ148" i="3"/>
  <c r="AA148" i="3"/>
  <c r="K148" i="3"/>
  <c r="BF148" i="3"/>
  <c r="AP148" i="3"/>
  <c r="Z148" i="3"/>
  <c r="BE148" i="3"/>
  <c r="AO148" i="3"/>
  <c r="Y148" i="3"/>
  <c r="BD148" i="3"/>
  <c r="AN148" i="3"/>
  <c r="X148" i="3"/>
  <c r="BS148" i="3"/>
  <c r="BC148" i="3"/>
  <c r="AM148" i="3"/>
  <c r="W148" i="3"/>
  <c r="BO148" i="3"/>
  <c r="AY148" i="3"/>
  <c r="AI148" i="3"/>
  <c r="S148" i="3"/>
  <c r="AX148" i="3"/>
  <c r="AL148" i="3"/>
  <c r="AK148" i="3"/>
  <c r="AJ148" i="3"/>
  <c r="AH148" i="3"/>
  <c r="V148" i="3"/>
  <c r="T148" i="3"/>
  <c r="R148" i="3"/>
  <c r="BR148" i="3"/>
  <c r="BQ148" i="3"/>
  <c r="BP148" i="3"/>
  <c r="BN148" i="3"/>
  <c r="BB148" i="3"/>
  <c r="BA148" i="3"/>
  <c r="AZ148" i="3"/>
  <c r="U148" i="3"/>
  <c r="AJ212" i="3"/>
  <c r="BE212" i="3"/>
  <c r="N212" i="3"/>
  <c r="BA262" i="3"/>
  <c r="AX262" i="3"/>
  <c r="K262" i="3"/>
  <c r="X316" i="3"/>
  <c r="AS316" i="3"/>
  <c r="BO316" i="3"/>
  <c r="AN352" i="3"/>
  <c r="K352" i="3"/>
  <c r="AI352" i="3"/>
  <c r="Y37" i="3"/>
  <c r="AV37" i="3"/>
  <c r="BB37" i="3"/>
  <c r="BS188" i="3"/>
  <c r="BH188" i="3"/>
  <c r="N188" i="3"/>
  <c r="AE328" i="3"/>
  <c r="AQ328" i="3"/>
  <c r="AL328" i="3"/>
  <c r="BE161" i="3"/>
  <c r="Y161" i="3"/>
  <c r="AD161" i="3"/>
  <c r="R248" i="3"/>
  <c r="AQ248" i="3"/>
  <c r="AD248" i="3"/>
  <c r="BH351" i="3"/>
  <c r="U351" i="3"/>
  <c r="AT351" i="3"/>
  <c r="BN206" i="3"/>
  <c r="AM206" i="3"/>
  <c r="BF16" i="4" l="1"/>
  <c r="AW16" i="4"/>
  <c r="AF18" i="4"/>
  <c r="AP18" i="4"/>
  <c r="AS18" i="4"/>
  <c r="S22" i="4"/>
  <c r="AR22" i="4"/>
  <c r="BL22" i="4"/>
  <c r="Z22" i="4"/>
  <c r="BF22" i="4"/>
  <c r="AO22" i="4"/>
  <c r="AW22" i="4"/>
  <c r="Y22" i="4"/>
  <c r="AN22" i="4"/>
  <c r="AC22" i="4"/>
  <c r="P22" i="4"/>
  <c r="BH22" i="4"/>
  <c r="AP22" i="4"/>
  <c r="AF22" i="4"/>
  <c r="AT22" i="4"/>
  <c r="AQ22" i="4"/>
  <c r="Q22" i="4"/>
  <c r="BB22" i="4"/>
  <c r="AS22" i="4"/>
  <c r="AE22" i="4"/>
  <c r="AI22" i="4"/>
  <c r="X22" i="4"/>
  <c r="BK22" i="4"/>
  <c r="V22" i="4"/>
  <c r="AA22" i="4"/>
  <c r="AK22" i="4"/>
  <c r="AD22" i="4"/>
  <c r="BP22" i="4"/>
  <c r="AV22" i="4"/>
  <c r="AG22" i="4"/>
  <c r="Z16" i="4"/>
  <c r="BM16" i="4"/>
  <c r="AN18" i="4"/>
  <c r="BL18" i="4"/>
  <c r="BI18" i="4"/>
  <c r="AE43" i="4"/>
  <c r="R22" i="4"/>
  <c r="AH22" i="4"/>
  <c r="L22" i="4"/>
  <c r="BE22" i="4"/>
  <c r="AY22" i="4"/>
  <c r="AO18" i="4"/>
  <c r="V18" i="4"/>
  <c r="Q18" i="4"/>
  <c r="AX22" i="4"/>
  <c r="BN22" i="4"/>
  <c r="BI22" i="4"/>
  <c r="AZ22" i="4"/>
  <c r="AV18" i="4"/>
  <c r="AQ18" i="4"/>
  <c r="AW18" i="4"/>
  <c r="BG22" i="4"/>
  <c r="BL16" i="4"/>
  <c r="BB16" i="4"/>
  <c r="AX18" i="4"/>
  <c r="BN18" i="4"/>
  <c r="S18" i="4"/>
  <c r="BN43" i="4"/>
  <c r="M22" i="4"/>
  <c r="AZ18" i="4"/>
  <c r="W18" i="4"/>
  <c r="AI18" i="4"/>
  <c r="BP16" i="4"/>
  <c r="BH16" i="4"/>
  <c r="T18" i="4"/>
  <c r="BB18" i="4"/>
  <c r="BP18" i="4"/>
  <c r="AY18" i="4"/>
  <c r="AP43" i="4"/>
  <c r="BR18" i="4"/>
  <c r="BD18" i="4"/>
  <c r="AT18" i="4"/>
  <c r="BO18" i="4"/>
  <c r="AO16" i="4"/>
  <c r="Y18" i="4"/>
  <c r="AD18" i="4"/>
  <c r="BQ18" i="4"/>
  <c r="BD43" i="4"/>
  <c r="BA22" i="4"/>
  <c r="BD16" i="4"/>
  <c r="U16" i="4"/>
  <c r="AM16" i="4"/>
  <c r="BT16" i="4"/>
  <c r="V16" i="4"/>
  <c r="BJ18" i="4"/>
  <c r="AH18" i="4"/>
  <c r="O18" i="4"/>
  <c r="BE43" i="4"/>
  <c r="O22" i="4"/>
  <c r="BT22" i="4"/>
  <c r="W22" i="4"/>
  <c r="AR16" i="4"/>
  <c r="AP16" i="4"/>
  <c r="BJ22" i="4"/>
  <c r="BK18" i="4"/>
  <c r="L18" i="4"/>
  <c r="AJ18" i="4"/>
  <c r="BF43" i="4"/>
  <c r="BQ22" i="4"/>
  <c r="AP26" i="4"/>
  <c r="N22" i="4"/>
  <c r="BM22" i="4"/>
  <c r="AS16" i="4"/>
  <c r="AC16" i="4"/>
  <c r="T22" i="4"/>
  <c r="P18" i="4"/>
  <c r="AK18" i="4"/>
  <c r="BC18" i="4"/>
  <c r="Q43" i="4"/>
  <c r="M26" i="4"/>
  <c r="AY26" i="4"/>
  <c r="BS26" i="4"/>
  <c r="BN26" i="4"/>
  <c r="AA26" i="4"/>
  <c r="BG26" i="4"/>
  <c r="AX26" i="4"/>
  <c r="S26" i="4"/>
  <c r="BF26" i="4"/>
  <c r="AM26" i="4"/>
  <c r="AD26" i="4"/>
  <c r="BC26" i="4"/>
  <c r="AQ26" i="4"/>
  <c r="L26" i="4"/>
  <c r="AB26" i="4"/>
  <c r="AC26" i="4"/>
  <c r="AU26" i="4"/>
  <c r="AK26" i="4"/>
  <c r="U26" i="4"/>
  <c r="Z26" i="4"/>
  <c r="AF26" i="4"/>
  <c r="AV26" i="4"/>
  <c r="O26" i="4"/>
  <c r="AJ26" i="4"/>
  <c r="BD26" i="4"/>
  <c r="BL26" i="4"/>
  <c r="AH26" i="4"/>
  <c r="BR26" i="4"/>
  <c r="R26" i="4"/>
  <c r="AS26" i="4"/>
  <c r="Y26" i="4"/>
  <c r="BO22" i="4"/>
  <c r="BD22" i="4"/>
  <c r="AT16" i="4"/>
  <c r="BQ16" i="4"/>
  <c r="BS18" i="4"/>
  <c r="BG18" i="4"/>
  <c r="R18" i="4"/>
  <c r="R43" i="4"/>
  <c r="BO26" i="4"/>
  <c r="BA26" i="4"/>
  <c r="AU22" i="4"/>
  <c r="R16" i="4"/>
  <c r="AU16" i="4"/>
  <c r="BT18" i="4"/>
  <c r="N18" i="4"/>
  <c r="BE18" i="4"/>
  <c r="BI43" i="4"/>
  <c r="N26" i="4"/>
  <c r="AZ26" i="4"/>
  <c r="BS16" i="4"/>
  <c r="BA16" i="4"/>
  <c r="BK16" i="4"/>
  <c r="AB18" i="4"/>
  <c r="AM18" i="4"/>
  <c r="M18" i="4"/>
  <c r="L43" i="4"/>
  <c r="AL22" i="4"/>
  <c r="BT26" i="4"/>
  <c r="T26" i="4"/>
  <c r="AM22" i="4"/>
  <c r="Y16" i="4"/>
  <c r="Q16" i="4"/>
  <c r="AE18" i="4"/>
  <c r="BH18" i="4"/>
  <c r="AC18" i="4"/>
  <c r="O43" i="4"/>
  <c r="U22" i="4"/>
  <c r="AG26" i="4"/>
  <c r="AW26" i="4"/>
  <c r="AJ22" i="4"/>
  <c r="BS22" i="4"/>
  <c r="BC22" i="4"/>
  <c r="AB22" i="4"/>
  <c r="BR22" i="4"/>
  <c r="K20" i="1"/>
  <c r="I19" i="1"/>
  <c r="M134" i="3"/>
  <c r="W134" i="3"/>
  <c r="AK303" i="3"/>
  <c r="W303" i="3"/>
  <c r="P303" i="3"/>
  <c r="AS152" i="3"/>
  <c r="AH152" i="3"/>
  <c r="AL152" i="3"/>
  <c r="AU152" i="3"/>
  <c r="BR16" i="4"/>
  <c r="X16" i="4"/>
  <c r="T16" i="4"/>
  <c r="O16" i="4"/>
  <c r="Z134" i="3"/>
  <c r="AH134" i="3"/>
  <c r="AI134" i="3"/>
  <c r="AM134" i="3"/>
  <c r="AL38" i="3"/>
  <c r="BI38" i="3"/>
  <c r="AV38" i="3"/>
  <c r="BA303" i="3"/>
  <c r="AO303" i="3"/>
  <c r="AC303" i="3"/>
  <c r="AG303" i="3"/>
  <c r="Q205" i="3"/>
  <c r="AJ205" i="3"/>
  <c r="BF205" i="3"/>
  <c r="BJ205" i="3"/>
  <c r="BL143" i="3"/>
  <c r="T143" i="3"/>
  <c r="X143" i="3"/>
  <c r="BH143" i="3"/>
  <c r="AT152" i="3"/>
  <c r="AY152" i="3"/>
  <c r="BC152" i="3"/>
  <c r="BK152" i="3"/>
  <c r="BL142" i="3"/>
  <c r="BQ142" i="3"/>
  <c r="AP142" i="3"/>
  <c r="P54" i="3"/>
  <c r="AX54" i="3"/>
  <c r="BS54" i="3"/>
  <c r="AR54" i="3"/>
  <c r="AG108" i="3"/>
  <c r="BC108" i="3"/>
  <c r="AA108" i="3"/>
  <c r="AF108" i="3"/>
  <c r="BG7" i="3"/>
  <c r="AB7" i="3"/>
  <c r="N7" i="3"/>
  <c r="AE7" i="3"/>
  <c r="Z307" i="3"/>
  <c r="BJ307" i="3"/>
  <c r="AV307" i="3"/>
  <c r="AS307" i="3"/>
  <c r="AS244" i="3"/>
  <c r="BN244" i="3"/>
  <c r="Q244" i="3"/>
  <c r="AP244" i="3"/>
  <c r="U182" i="3"/>
  <c r="K182" i="3"/>
  <c r="O182" i="3"/>
  <c r="BN22" i="3"/>
  <c r="BP22" i="3"/>
  <c r="Y22" i="3"/>
  <c r="AH25" i="3"/>
  <c r="BR25" i="3"/>
  <c r="AQ25" i="3"/>
  <c r="AU25" i="3"/>
  <c r="N287" i="3"/>
  <c r="O287" i="3"/>
  <c r="AJ287" i="3"/>
  <c r="S58" i="3"/>
  <c r="AZ58" i="3"/>
  <c r="BG58" i="3"/>
  <c r="BK58" i="3"/>
  <c r="BF310" i="3"/>
  <c r="BR310" i="3"/>
  <c r="AS310" i="3"/>
  <c r="AX310" i="3"/>
  <c r="AE137" i="3"/>
  <c r="AF137" i="3"/>
  <c r="AJ137" i="3"/>
  <c r="AN137" i="3"/>
  <c r="AT82" i="3"/>
  <c r="BG82" i="3"/>
  <c r="W82" i="3"/>
  <c r="AY82" i="3"/>
  <c r="BE113" i="3"/>
  <c r="AR113" i="3"/>
  <c r="AW113" i="3"/>
  <c r="AV113" i="3"/>
  <c r="W109" i="3"/>
  <c r="BH109" i="3"/>
  <c r="O109" i="3"/>
  <c r="S109" i="3"/>
  <c r="AR194" i="3"/>
  <c r="K194" i="3"/>
  <c r="AP194" i="3"/>
  <c r="BQ194" i="3"/>
  <c r="AW55" i="3"/>
  <c r="AH55" i="3"/>
  <c r="X55" i="3"/>
  <c r="BH55" i="3"/>
  <c r="AU43" i="4"/>
  <c r="BC43" i="4"/>
  <c r="AM43" i="4"/>
  <c r="AG43" i="4"/>
  <c r="Q93" i="3"/>
  <c r="U93" i="3"/>
  <c r="AO93" i="3"/>
  <c r="BI93" i="3"/>
  <c r="AW274" i="3"/>
  <c r="BQ274" i="3"/>
  <c r="AN274" i="3"/>
  <c r="AU274" i="3"/>
  <c r="BI8" i="3"/>
  <c r="BS8" i="3"/>
  <c r="AH8" i="3"/>
  <c r="BM8" i="3"/>
  <c r="O23" i="3"/>
  <c r="AK23" i="3"/>
  <c r="BE23" i="3"/>
  <c r="AD185" i="3"/>
  <c r="AZ185" i="3"/>
  <c r="W185" i="3"/>
  <c r="AL16" i="4"/>
  <c r="BE16" i="4"/>
  <c r="AN16" i="4"/>
  <c r="AE16" i="4"/>
  <c r="AU134" i="3"/>
  <c r="BH134" i="3"/>
  <c r="AY134" i="3"/>
  <c r="BC134" i="3"/>
  <c r="BB38" i="3"/>
  <c r="BD38" i="3"/>
  <c r="Z38" i="3"/>
  <c r="BN38" i="3"/>
  <c r="AZ303" i="3"/>
  <c r="BF303" i="3"/>
  <c r="AT303" i="3"/>
  <c r="AX303" i="3"/>
  <c r="BE205" i="3"/>
  <c r="AZ205" i="3"/>
  <c r="K205" i="3"/>
  <c r="BM143" i="3"/>
  <c r="AJ143" i="3"/>
  <c r="AN143" i="3"/>
  <c r="M143" i="3"/>
  <c r="AV152" i="3"/>
  <c r="BP152" i="3"/>
  <c r="V152" i="3"/>
  <c r="R142" i="3"/>
  <c r="P142" i="3"/>
  <c r="V142" i="3"/>
  <c r="BF142" i="3"/>
  <c r="Q54" i="3"/>
  <c r="O54" i="3"/>
  <c r="X54" i="3"/>
  <c r="BH54" i="3"/>
  <c r="AI108" i="3"/>
  <c r="V108" i="3"/>
  <c r="AR108" i="3"/>
  <c r="AW108" i="3"/>
  <c r="U7" i="3"/>
  <c r="AW7" i="3"/>
  <c r="AI7" i="3"/>
  <c r="AU7" i="3"/>
  <c r="BB307" i="3"/>
  <c r="R307" i="3"/>
  <c r="BM307" i="3"/>
  <c r="BI307" i="3"/>
  <c r="V182" i="3"/>
  <c r="AA182" i="3"/>
  <c r="AE182" i="3"/>
  <c r="AI25" i="3"/>
  <c r="W25" i="3"/>
  <c r="BG25" i="3"/>
  <c r="BK25" i="3"/>
  <c r="BN287" i="3"/>
  <c r="AE287" i="3"/>
  <c r="AZ287" i="3"/>
  <c r="T58" i="3"/>
  <c r="BA58" i="3"/>
  <c r="L58" i="3"/>
  <c r="P58" i="3"/>
  <c r="Y82" i="3"/>
  <c r="M82" i="3"/>
  <c r="AR82" i="3"/>
  <c r="BO82" i="3"/>
  <c r="BR113" i="3"/>
  <c r="BI113" i="3"/>
  <c r="BN113" i="3"/>
  <c r="BL113" i="3"/>
  <c r="X109" i="3"/>
  <c r="AA109" i="3"/>
  <c r="AF109" i="3"/>
  <c r="AJ109" i="3"/>
  <c r="BM194" i="3"/>
  <c r="AF194" i="3"/>
  <c r="BK194" i="3"/>
  <c r="V194" i="3"/>
  <c r="AX55" i="3"/>
  <c r="AI55" i="3"/>
  <c r="AN55" i="3"/>
  <c r="M55" i="3"/>
  <c r="BL43" i="4"/>
  <c r="U43" i="4"/>
  <c r="BH43" i="4"/>
  <c r="AY43" i="4"/>
  <c r="BO93" i="3"/>
  <c r="AK93" i="3"/>
  <c r="BE93" i="3"/>
  <c r="N93" i="3"/>
  <c r="M274" i="3"/>
  <c r="S274" i="3"/>
  <c r="BE274" i="3"/>
  <c r="BK274" i="3"/>
  <c r="U8" i="3"/>
  <c r="AC8" i="3"/>
  <c r="BC8" i="3"/>
  <c r="BL23" i="3"/>
  <c r="BA23" i="3"/>
  <c r="Z23" i="3"/>
  <c r="AE185" i="3"/>
  <c r="BQ185" i="3"/>
  <c r="AN185" i="3"/>
  <c r="AA134" i="3"/>
  <c r="N134" i="3"/>
  <c r="BO134" i="3"/>
  <c r="BS134" i="3"/>
  <c r="BB303" i="3"/>
  <c r="Y303" i="3"/>
  <c r="BK303" i="3"/>
  <c r="BO303" i="3"/>
  <c r="R54" i="3"/>
  <c r="AY54" i="3"/>
  <c r="AN54" i="3"/>
  <c r="M54" i="3"/>
  <c r="AJ108" i="3"/>
  <c r="AM108" i="3"/>
  <c r="BJ108" i="3"/>
  <c r="BN108" i="3"/>
  <c r="AN7" i="3"/>
  <c r="BP7" i="3"/>
  <c r="BB7" i="3"/>
  <c r="BK7" i="3"/>
  <c r="AA307" i="3"/>
  <c r="AN307" i="3"/>
  <c r="O307" i="3"/>
  <c r="W182" i="3"/>
  <c r="AQ182" i="3"/>
  <c r="AU182" i="3"/>
  <c r="AV25" i="3"/>
  <c r="AM25" i="3"/>
  <c r="L25" i="3"/>
  <c r="Y287" i="3"/>
  <c r="R287" i="3"/>
  <c r="AU287" i="3"/>
  <c r="BP287" i="3"/>
  <c r="U58" i="3"/>
  <c r="BB58" i="3"/>
  <c r="AB58" i="3"/>
  <c r="AF58" i="3"/>
  <c r="AA82" i="3"/>
  <c r="AM82" i="3"/>
  <c r="BR82" i="3"/>
  <c r="T82" i="3"/>
  <c r="T113" i="3"/>
  <c r="K113" i="3"/>
  <c r="O113" i="3"/>
  <c r="Y109" i="3"/>
  <c r="AR109" i="3"/>
  <c r="AW109" i="3"/>
  <c r="BA109" i="3"/>
  <c r="R194" i="3"/>
  <c r="BF194" i="3"/>
  <c r="Q194" i="3"/>
  <c r="AL194" i="3"/>
  <c r="AY55" i="3"/>
  <c r="AJ55" i="3"/>
  <c r="BD55" i="3"/>
  <c r="AC55" i="3"/>
  <c r="R93" i="3"/>
  <c r="BA93" i="3"/>
  <c r="Z93" i="3"/>
  <c r="AD93" i="3"/>
  <c r="AD274" i="3"/>
  <c r="AJ274" i="3"/>
  <c r="X274" i="3"/>
  <c r="AG23" i="3"/>
  <c r="BQ23" i="3"/>
  <c r="AP23" i="3"/>
  <c r="K185" i="3"/>
  <c r="S185" i="3"/>
  <c r="BE185" i="3"/>
  <c r="AP303" i="3"/>
  <c r="AA152" i="3"/>
  <c r="AI152" i="3"/>
  <c r="BD152" i="3"/>
  <c r="S54" i="3"/>
  <c r="T54" i="3"/>
  <c r="BD54" i="3"/>
  <c r="AC54" i="3"/>
  <c r="AK108" i="3"/>
  <c r="BD108" i="3"/>
  <c r="K108" i="3"/>
  <c r="M108" i="3"/>
  <c r="BH7" i="3"/>
  <c r="BQ7" i="3"/>
  <c r="W7" i="3"/>
  <c r="P7" i="3"/>
  <c r="D19" i="1"/>
  <c r="C19" i="1" s="1"/>
  <c r="B52" i="1"/>
  <c r="B54" i="1"/>
  <c r="B50" i="1"/>
  <c r="B61" i="1"/>
  <c r="B53" i="1"/>
  <c r="C53" i="1" s="1"/>
  <c r="B59" i="1"/>
  <c r="B60" i="1"/>
  <c r="B49" i="1"/>
  <c r="B62" i="1"/>
  <c r="B58" i="1"/>
  <c r="B47" i="1"/>
  <c r="B51" i="1"/>
  <c r="B48" i="1"/>
  <c r="B56" i="1"/>
  <c r="B55" i="1"/>
  <c r="B57" i="1"/>
  <c r="BC307" i="3"/>
  <c r="BK307" i="3"/>
  <c r="AF307" i="3"/>
  <c r="BJ244" i="3"/>
  <c r="AW244" i="3"/>
  <c r="R244" i="3"/>
  <c r="AJ244" i="3"/>
  <c r="AI182" i="3"/>
  <c r="T182" i="3"/>
  <c r="BG182" i="3"/>
  <c r="BK182" i="3"/>
  <c r="AS22" i="3"/>
  <c r="AD22" i="3"/>
  <c r="BA22" i="3"/>
  <c r="BF22" i="3"/>
  <c r="AW25" i="3"/>
  <c r="BC25" i="3"/>
  <c r="AB25" i="3"/>
  <c r="Z287" i="3"/>
  <c r="S287" i="3"/>
  <c r="BK287" i="3"/>
  <c r="U287" i="3"/>
  <c r="BO58" i="3"/>
  <c r="BC58" i="3"/>
  <c r="AR58" i="3"/>
  <c r="AV58" i="3"/>
  <c r="AL310" i="3"/>
  <c r="BS310" i="3"/>
  <c r="AC310" i="3"/>
  <c r="AF310" i="3"/>
  <c r="AS137" i="3"/>
  <c r="Q137" i="3"/>
  <c r="U137" i="3"/>
  <c r="AO137" i="3"/>
  <c r="AB82" i="3"/>
  <c r="BH82" i="3"/>
  <c r="X82" i="3"/>
  <c r="AJ82" i="3"/>
  <c r="AK113" i="3"/>
  <c r="AB113" i="3"/>
  <c r="AG113" i="3"/>
  <c r="AL109" i="3"/>
  <c r="BI109" i="3"/>
  <c r="BN109" i="3"/>
  <c r="BR109" i="3"/>
  <c r="Y194" i="3"/>
  <c r="L194" i="3"/>
  <c r="AQ194" i="3"/>
  <c r="BB194" i="3"/>
  <c r="AZ55" i="3"/>
  <c r="AV55" i="3"/>
  <c r="Y55" i="3"/>
  <c r="AS55" i="3"/>
  <c r="Y43" i="4"/>
  <c r="V43" i="4"/>
  <c r="AN43" i="4"/>
  <c r="N43" i="4"/>
  <c r="S93" i="3"/>
  <c r="BQ93" i="3"/>
  <c r="AP93" i="3"/>
  <c r="AT93" i="3"/>
  <c r="AV274" i="3"/>
  <c r="BA274" i="3"/>
  <c r="AO274" i="3"/>
  <c r="BN8" i="3"/>
  <c r="AB8" i="3"/>
  <c r="AP8" i="3"/>
  <c r="S23" i="3"/>
  <c r="P23" i="3"/>
  <c r="V23" i="3"/>
  <c r="BF23" i="3"/>
  <c r="BI185" i="3"/>
  <c r="AB185" i="3"/>
  <c r="AJ185" i="3"/>
  <c r="X185" i="3"/>
  <c r="AJ134" i="3"/>
  <c r="BG303" i="3"/>
  <c r="AH303" i="3"/>
  <c r="AC152" i="3"/>
  <c r="AR152" i="3"/>
  <c r="W152" i="3"/>
  <c r="BK54" i="3"/>
  <c r="AJ54" i="3"/>
  <c r="Y54" i="3"/>
  <c r="AS54" i="3"/>
  <c r="AX108" i="3"/>
  <c r="W108" i="3"/>
  <c r="AB108" i="3"/>
  <c r="AC108" i="3"/>
  <c r="V7" i="3"/>
  <c r="BJ7" i="3"/>
  <c r="AZ7" i="3"/>
  <c r="AF7" i="3"/>
  <c r="F13" i="12"/>
  <c r="F12" i="12"/>
  <c r="F8" i="12"/>
  <c r="F7" i="12"/>
  <c r="F6" i="12"/>
  <c r="B9" i="1"/>
  <c r="B8" i="1"/>
  <c r="B7" i="1"/>
  <c r="B5" i="1"/>
  <c r="D22" i="1"/>
  <c r="A19" i="9"/>
  <c r="F14" i="12"/>
  <c r="AB307" i="3"/>
  <c r="S307" i="3"/>
  <c r="AW307" i="3"/>
  <c r="BO25" i="3"/>
  <c r="BS25" i="3"/>
  <c r="AR25" i="3"/>
  <c r="AD287" i="3"/>
  <c r="X287" i="3"/>
  <c r="P287" i="3"/>
  <c r="AK287" i="3"/>
  <c r="BP58" i="3"/>
  <c r="X58" i="3"/>
  <c r="BH58" i="3"/>
  <c r="BL58" i="3"/>
  <c r="AC82" i="3"/>
  <c r="N82" i="3"/>
  <c r="AS82" i="3"/>
  <c r="AZ82" i="3"/>
  <c r="BB113" i="3"/>
  <c r="AS113" i="3"/>
  <c r="AX113" i="3"/>
  <c r="AN109" i="3"/>
  <c r="K109" i="3"/>
  <c r="P109" i="3"/>
  <c r="T109" i="3"/>
  <c r="Z194" i="3"/>
  <c r="AG194" i="3"/>
  <c r="BL194" i="3"/>
  <c r="BR194" i="3"/>
  <c r="BL55" i="3"/>
  <c r="U55" i="3"/>
  <c r="AO55" i="3"/>
  <c r="BI55" i="3"/>
  <c r="AE93" i="3"/>
  <c r="V93" i="3"/>
  <c r="BF93" i="3"/>
  <c r="BJ93" i="3"/>
  <c r="BM274" i="3"/>
  <c r="BR274" i="3"/>
  <c r="BF274" i="3"/>
  <c r="AD23" i="3"/>
  <c r="BM23" i="3"/>
  <c r="AL23" i="3"/>
  <c r="AA23" i="3"/>
  <c r="AR185" i="3"/>
  <c r="AS185" i="3"/>
  <c r="BA185" i="3"/>
  <c r="AO185" i="3"/>
  <c r="AN134" i="3"/>
  <c r="BQ303" i="3"/>
  <c r="Q303" i="3"/>
  <c r="AB134" i="3"/>
  <c r="BI134" i="3"/>
  <c r="BR303" i="3"/>
  <c r="AD303" i="3"/>
  <c r="AZ152" i="3"/>
  <c r="AQ16" i="4"/>
  <c r="BG16" i="4"/>
  <c r="BI16" i="4"/>
  <c r="AG16" i="4"/>
  <c r="AW134" i="3"/>
  <c r="O134" i="3"/>
  <c r="AZ134" i="3"/>
  <c r="N38" i="3"/>
  <c r="V38" i="3"/>
  <c r="AS38" i="3"/>
  <c r="BQ38" i="3"/>
  <c r="R303" i="3"/>
  <c r="Z303" i="3"/>
  <c r="AU303" i="3"/>
  <c r="AY303" i="3"/>
  <c r="AH205" i="3"/>
  <c r="BL205" i="3"/>
  <c r="BB205" i="3"/>
  <c r="L205" i="3"/>
  <c r="S143" i="3"/>
  <c r="AK143" i="3"/>
  <c r="BE143" i="3"/>
  <c r="N143" i="3"/>
  <c r="BJ152" i="3"/>
  <c r="BI152" i="3"/>
  <c r="BQ152" i="3"/>
  <c r="AN152" i="3"/>
  <c r="AN190" i="3"/>
  <c r="Z190" i="3"/>
  <c r="BO190" i="3"/>
  <c r="BM190" i="3"/>
  <c r="U54" i="3"/>
  <c r="AZ54" i="3"/>
  <c r="AO54" i="3"/>
  <c r="BI54" i="3"/>
  <c r="AZ108" i="3"/>
  <c r="AN108" i="3"/>
  <c r="AT108" i="3"/>
  <c r="AS108" i="3"/>
  <c r="M117" i="3"/>
  <c r="AC117" i="3"/>
  <c r="BL117" i="3"/>
  <c r="BP117" i="3"/>
  <c r="BI7" i="3"/>
  <c r="K7" i="3"/>
  <c r="Q7" i="3"/>
  <c r="AV7" i="3"/>
  <c r="U307" i="3"/>
  <c r="BD307" i="3"/>
  <c r="AO307" i="3"/>
  <c r="BN307" i="3"/>
  <c r="BL244" i="3"/>
  <c r="N244" i="3"/>
  <c r="BD244" i="3"/>
  <c r="BP244" i="3"/>
  <c r="AM182" i="3"/>
  <c r="AZ182" i="3"/>
  <c r="AB182" i="3"/>
  <c r="AF182" i="3"/>
  <c r="AU22" i="3"/>
  <c r="Q22" i="3"/>
  <c r="V22" i="3"/>
  <c r="AP22" i="3"/>
  <c r="AY25" i="3"/>
  <c r="AX25" i="3"/>
  <c r="X25" i="3"/>
  <c r="BH25" i="3"/>
  <c r="AC287" i="3"/>
  <c r="K287" i="3"/>
  <c r="AF287" i="3"/>
  <c r="BA287" i="3"/>
  <c r="BQ58" i="3"/>
  <c r="AN58" i="3"/>
  <c r="M58" i="3"/>
  <c r="Q58" i="3"/>
  <c r="Q310" i="3"/>
  <c r="AR310" i="3"/>
  <c r="BK310" i="3"/>
  <c r="BL310" i="3"/>
  <c r="BG137" i="3"/>
  <c r="AW137" i="3"/>
  <c r="BA137" i="3"/>
  <c r="Z137" i="3"/>
  <c r="Z82" i="3"/>
  <c r="AN82" i="3"/>
  <c r="BS82" i="3"/>
  <c r="BP82" i="3"/>
  <c r="V113" i="3"/>
  <c r="BS113" i="3"/>
  <c r="BJ113" i="3"/>
  <c r="BO113" i="3"/>
  <c r="AO109" i="3"/>
  <c r="AB109" i="3"/>
  <c r="AG109" i="3"/>
  <c r="AK109" i="3"/>
  <c r="X194" i="3"/>
  <c r="BG194" i="3"/>
  <c r="S194" i="3"/>
  <c r="W194" i="3"/>
  <c r="P55" i="3"/>
  <c r="AK55" i="3"/>
  <c r="BE55" i="3"/>
  <c r="N55" i="3"/>
  <c r="AU18" i="4"/>
  <c r="U18" i="4"/>
  <c r="AL18" i="4"/>
  <c r="AA43" i="4"/>
  <c r="AB43" i="4"/>
  <c r="S43" i="4"/>
  <c r="AV43" i="4"/>
  <c r="M90" i="3"/>
  <c r="AX90" i="3"/>
  <c r="BB90" i="3"/>
  <c r="AA90" i="3"/>
  <c r="AF93" i="3"/>
  <c r="AL93" i="3"/>
  <c r="K93" i="3"/>
  <c r="BL274" i="3"/>
  <c r="P274" i="3"/>
  <c r="T274" i="3"/>
  <c r="Y274" i="3"/>
  <c r="AI8" i="3"/>
  <c r="AO8" i="3"/>
  <c r="AD8" i="3"/>
  <c r="AT8" i="3"/>
  <c r="D21" i="1"/>
  <c r="C21" i="1" s="1"/>
  <c r="B6" i="1"/>
  <c r="AE23" i="3"/>
  <c r="Q23" i="3"/>
  <c r="BB23" i="3"/>
  <c r="AQ23" i="3"/>
  <c r="AU185" i="3"/>
  <c r="BJ185" i="3"/>
  <c r="BR185" i="3"/>
  <c r="BF185" i="3"/>
  <c r="AV134" i="3"/>
  <c r="T134" i="3"/>
  <c r="M303" i="3"/>
  <c r="R134" i="3"/>
  <c r="AC134" i="3"/>
  <c r="AO134" i="3"/>
  <c r="BP134" i="3"/>
  <c r="S303" i="3"/>
  <c r="AQ303" i="3"/>
  <c r="BL303" i="3"/>
  <c r="BP303" i="3"/>
  <c r="BL152" i="3"/>
  <c r="N152" i="3"/>
  <c r="S152" i="3"/>
  <c r="BE152" i="3"/>
  <c r="BO54" i="3"/>
  <c r="BP54" i="3"/>
  <c r="BE54" i="3"/>
  <c r="N54" i="3"/>
  <c r="BA108" i="3"/>
  <c r="BE108" i="3"/>
  <c r="BK108" i="3"/>
  <c r="BI108" i="3"/>
  <c r="AQ7" i="3"/>
  <c r="AD7" i="3"/>
  <c r="AJ7" i="3"/>
  <c r="BL7" i="3"/>
  <c r="V307" i="3"/>
  <c r="AI307" i="3"/>
  <c r="BQ307" i="3"/>
  <c r="P307" i="3"/>
  <c r="AY182" i="3"/>
  <c r="BP182" i="3"/>
  <c r="AR182" i="3"/>
  <c r="AV182" i="3"/>
  <c r="BL25" i="3"/>
  <c r="T25" i="3"/>
  <c r="AN25" i="3"/>
  <c r="M25" i="3"/>
  <c r="AH287" i="3"/>
  <c r="AA287" i="3"/>
  <c r="AV287" i="3"/>
  <c r="BQ287" i="3"/>
  <c r="BR58" i="3"/>
  <c r="BD58" i="3"/>
  <c r="AC58" i="3"/>
  <c r="AG58" i="3"/>
  <c r="K137" i="3"/>
  <c r="BM137" i="3"/>
  <c r="BQ137" i="3"/>
  <c r="AP137" i="3"/>
  <c r="AU82" i="3"/>
  <c r="BI82" i="3"/>
  <c r="Q82" i="3"/>
  <c r="U82" i="3"/>
  <c r="W113" i="3"/>
  <c r="X113" i="3"/>
  <c r="L113" i="3"/>
  <c r="Q113" i="3"/>
  <c r="AP109" i="3"/>
  <c r="AS109" i="3"/>
  <c r="AX109" i="3"/>
  <c r="BB109" i="3"/>
  <c r="AS194" i="3"/>
  <c r="M194" i="3"/>
  <c r="AI194" i="3"/>
  <c r="AM194" i="3"/>
  <c r="BM55" i="3"/>
  <c r="BA55" i="3"/>
  <c r="Z55" i="3"/>
  <c r="AD55" i="3"/>
  <c r="BS43" i="4"/>
  <c r="BA43" i="4"/>
  <c r="AO43" i="4"/>
  <c r="BM43" i="4"/>
  <c r="BJ90" i="3"/>
  <c r="BN90" i="3"/>
  <c r="BR90" i="3"/>
  <c r="AQ90" i="3"/>
  <c r="AG93" i="3"/>
  <c r="BB93" i="3"/>
  <c r="AA93" i="3"/>
  <c r="BN274" i="3"/>
  <c r="AG274" i="3"/>
  <c r="AK274" i="3"/>
  <c r="AP274" i="3"/>
  <c r="BD8" i="3"/>
  <c r="BO8" i="3"/>
  <c r="BA8" i="3"/>
  <c r="BJ8" i="3"/>
  <c r="AF23" i="3"/>
  <c r="BO23" i="3"/>
  <c r="BR23" i="3"/>
  <c r="K23" i="3"/>
  <c r="AV185" i="3"/>
  <c r="O185" i="3"/>
  <c r="T185" i="3"/>
  <c r="Y185" i="3"/>
  <c r="U134" i="3"/>
  <c r="BH303" i="3"/>
  <c r="BM152" i="3"/>
  <c r="AF152" i="3"/>
  <c r="AJ152" i="3"/>
  <c r="X152" i="3"/>
  <c r="AE54" i="3"/>
  <c r="BA54" i="3"/>
  <c r="Z54" i="3"/>
  <c r="AD54" i="3"/>
  <c r="BB108" i="3"/>
  <c r="X108" i="3"/>
  <c r="L108" i="3"/>
  <c r="X7" i="3"/>
  <c r="AY7" i="3"/>
  <c r="BC7" i="3"/>
  <c r="W307" i="3"/>
  <c r="BE307" i="3"/>
  <c r="T307" i="3"/>
  <c r="AG307" i="3"/>
  <c r="AK182" i="3"/>
  <c r="X182" i="3"/>
  <c r="BH182" i="3"/>
  <c r="BL182" i="3"/>
  <c r="BM25" i="3"/>
  <c r="AJ25" i="3"/>
  <c r="BD25" i="3"/>
  <c r="BI25" i="3"/>
  <c r="AN287" i="3"/>
  <c r="AQ287" i="3"/>
  <c r="BL287" i="3"/>
  <c r="V287" i="3"/>
  <c r="V58" i="3"/>
  <c r="Y58" i="3"/>
  <c r="AS58" i="3"/>
  <c r="AW58" i="3"/>
  <c r="AD82" i="3"/>
  <c r="O82" i="3"/>
  <c r="AG82" i="3"/>
  <c r="AK82" i="3"/>
  <c r="AJ113" i="3"/>
  <c r="AO113" i="3"/>
  <c r="AC113" i="3"/>
  <c r="AH113" i="3"/>
  <c r="BC109" i="3"/>
  <c r="BK109" i="3"/>
  <c r="BO109" i="3"/>
  <c r="BS109" i="3"/>
  <c r="BN194" i="3"/>
  <c r="AH194" i="3"/>
  <c r="AY194" i="3"/>
  <c r="BC194" i="3"/>
  <c r="Q55" i="3"/>
  <c r="BQ55" i="3"/>
  <c r="AP55" i="3"/>
  <c r="AT55" i="3"/>
  <c r="AF43" i="4"/>
  <c r="AC43" i="4"/>
  <c r="BK43" i="4"/>
  <c r="T43" i="4"/>
  <c r="N90" i="3"/>
  <c r="S90" i="3"/>
  <c r="W90" i="3"/>
  <c r="BG90" i="3"/>
  <c r="AH93" i="3"/>
  <c r="BR93" i="3"/>
  <c r="AQ93" i="3"/>
  <c r="BJ274" i="3"/>
  <c r="AX274" i="3"/>
  <c r="BB274" i="3"/>
  <c r="BG274" i="3"/>
  <c r="O8" i="3"/>
  <c r="W8" i="3"/>
  <c r="AM8" i="3"/>
  <c r="AU8" i="3"/>
  <c r="AI23" i="3"/>
  <c r="R23" i="3"/>
  <c r="W23" i="3"/>
  <c r="BG23" i="3"/>
  <c r="AT185" i="3"/>
  <c r="AF185" i="3"/>
  <c r="AK185" i="3"/>
  <c r="AP185" i="3"/>
  <c r="X134" i="3"/>
  <c r="AX134" i="3"/>
  <c r="BJ134" i="3"/>
  <c r="T303" i="3"/>
  <c r="N303" i="3"/>
  <c r="BS303" i="3"/>
  <c r="P16" i="4"/>
  <c r="AH16" i="4"/>
  <c r="BJ16" i="4"/>
  <c r="AS136" i="3"/>
  <c r="K136" i="3"/>
  <c r="AX136" i="3"/>
  <c r="AM136" i="3"/>
  <c r="Y134" i="3"/>
  <c r="AD134" i="3"/>
  <c r="P134" i="3"/>
  <c r="AK134" i="3"/>
  <c r="Q38" i="3"/>
  <c r="W38" i="3"/>
  <c r="AT38" i="3"/>
  <c r="AY38" i="3"/>
  <c r="AI303" i="3"/>
  <c r="AA303" i="3"/>
  <c r="AE303" i="3"/>
  <c r="X303" i="3"/>
  <c r="AG205" i="3"/>
  <c r="Y205" i="3"/>
  <c r="AM205" i="3"/>
  <c r="BH205" i="3"/>
  <c r="AG143" i="3"/>
  <c r="V143" i="3"/>
  <c r="BF143" i="3"/>
  <c r="BJ143" i="3"/>
  <c r="K152" i="3"/>
  <c r="AW152" i="3"/>
  <c r="BA152" i="3"/>
  <c r="AO152" i="3"/>
  <c r="AT142" i="3"/>
  <c r="BO142" i="3"/>
  <c r="BS142" i="3"/>
  <c r="AR142" i="3"/>
  <c r="BE190" i="3"/>
  <c r="AA190" i="3"/>
  <c r="AX190" i="3"/>
  <c r="AZ190" i="3"/>
  <c r="AF54" i="3"/>
  <c r="BQ54" i="3"/>
  <c r="AP54" i="3"/>
  <c r="AT54" i="3"/>
  <c r="BO108" i="3"/>
  <c r="AO108" i="3"/>
  <c r="AD108" i="3"/>
  <c r="AT117" i="3"/>
  <c r="BS117" i="3"/>
  <c r="AW117" i="3"/>
  <c r="BA117" i="3"/>
  <c r="AR7" i="3"/>
  <c r="BR7" i="3"/>
  <c r="BS7" i="3"/>
  <c r="AQ307" i="3"/>
  <c r="AJ307" i="3"/>
  <c r="AP307" i="3"/>
  <c r="AX307" i="3"/>
  <c r="AA244" i="3"/>
  <c r="BR244" i="3"/>
  <c r="BE244" i="3"/>
  <c r="BA244" i="3"/>
  <c r="BA182" i="3"/>
  <c r="AN182" i="3"/>
  <c r="M182" i="3"/>
  <c r="Q182" i="3"/>
  <c r="BI22" i="3"/>
  <c r="BM22" i="3"/>
  <c r="BR22" i="3"/>
  <c r="AQ22" i="3"/>
  <c r="BN25" i="3"/>
  <c r="AZ25" i="3"/>
  <c r="Y25" i="3"/>
  <c r="AC25" i="3"/>
  <c r="AO287" i="3"/>
  <c r="BG287" i="3"/>
  <c r="Q287" i="3"/>
  <c r="AL287" i="3"/>
  <c r="BS58" i="3"/>
  <c r="AO58" i="3"/>
  <c r="BI58" i="3"/>
  <c r="BM58" i="3"/>
  <c r="R310" i="3"/>
  <c r="X310" i="3"/>
  <c r="AU310" i="3"/>
  <c r="L137" i="3"/>
  <c r="AH137" i="3"/>
  <c r="AL137" i="3"/>
  <c r="BD82" i="3"/>
  <c r="AO82" i="3"/>
  <c r="AW82" i="3"/>
  <c r="BA82" i="3"/>
  <c r="S113" i="3"/>
  <c r="BF113" i="3"/>
  <c r="AT113" i="3"/>
  <c r="AY113" i="3"/>
  <c r="BE109" i="3"/>
  <c r="L109" i="3"/>
  <c r="Q109" i="3"/>
  <c r="N109" i="3"/>
  <c r="AB194" i="3"/>
  <c r="BH194" i="3"/>
  <c r="BO194" i="3"/>
  <c r="BS194" i="3"/>
  <c r="BN55" i="3"/>
  <c r="V55" i="3"/>
  <c r="BF55" i="3"/>
  <c r="BJ55" i="3"/>
  <c r="BT43" i="4"/>
  <c r="BB43" i="4"/>
  <c r="Z43" i="4"/>
  <c r="AJ43" i="4"/>
  <c r="O93" i="3"/>
  <c r="AI93" i="3"/>
  <c r="W93" i="3"/>
  <c r="BG93" i="3"/>
  <c r="K274" i="3"/>
  <c r="BO274" i="3"/>
  <c r="BS274" i="3"/>
  <c r="Z274" i="3"/>
  <c r="AJ8" i="3"/>
  <c r="AQ8" i="3"/>
  <c r="AS8" i="3"/>
  <c r="BK8" i="3"/>
  <c r="AT23" i="3"/>
  <c r="AH23" i="3"/>
  <c r="AM23" i="3"/>
  <c r="L23" i="3"/>
  <c r="BK185" i="3"/>
  <c r="AX185" i="3"/>
  <c r="BB185" i="3"/>
  <c r="BG185" i="3"/>
  <c r="BQ108" i="3"/>
  <c r="BF108" i="3"/>
  <c r="AU108" i="3"/>
  <c r="BM7" i="3"/>
  <c r="AC7" i="3"/>
  <c r="R7" i="3"/>
  <c r="AR307" i="3"/>
  <c r="BF307" i="3"/>
  <c r="BR307" i="3"/>
  <c r="BO307" i="3"/>
  <c r="BB182" i="3"/>
  <c r="BD182" i="3"/>
  <c r="AC182" i="3"/>
  <c r="AG182" i="3"/>
  <c r="Q25" i="3"/>
  <c r="BP25" i="3"/>
  <c r="AO25" i="3"/>
  <c r="AS25" i="3"/>
  <c r="AP287" i="3"/>
  <c r="AB287" i="3"/>
  <c r="AG287" i="3"/>
  <c r="BB287" i="3"/>
  <c r="W58" i="3"/>
  <c r="BE58" i="3"/>
  <c r="N58" i="3"/>
  <c r="R58" i="3"/>
  <c r="AE82" i="3"/>
  <c r="BJ82" i="3"/>
  <c r="BM82" i="3"/>
  <c r="BQ82" i="3"/>
  <c r="U113" i="3"/>
  <c r="Y113" i="3"/>
  <c r="BK113" i="3"/>
  <c r="BP113" i="3"/>
  <c r="BF109" i="3"/>
  <c r="AC109" i="3"/>
  <c r="AH109" i="3"/>
  <c r="AD109" i="3"/>
  <c r="AW194" i="3"/>
  <c r="N194" i="3"/>
  <c r="T194" i="3"/>
  <c r="R55" i="3"/>
  <c r="AL55" i="3"/>
  <c r="K55" i="3"/>
  <c r="O55" i="3"/>
  <c r="AH43" i="4"/>
  <c r="M43" i="4"/>
  <c r="AR43" i="4"/>
  <c r="AZ43" i="4"/>
  <c r="AW93" i="3"/>
  <c r="AU93" i="3"/>
  <c r="AM93" i="3"/>
  <c r="L93" i="3"/>
  <c r="L274" i="3"/>
  <c r="Q274" i="3"/>
  <c r="U274" i="3"/>
  <c r="AQ274" i="3"/>
  <c r="BE8" i="3"/>
  <c r="BP8" i="3"/>
  <c r="L8" i="3"/>
  <c r="P8" i="3"/>
  <c r="AU23" i="3"/>
  <c r="AX23" i="3"/>
  <c r="BC23" i="3"/>
  <c r="AB23" i="3"/>
  <c r="BL185" i="3"/>
  <c r="BO185" i="3"/>
  <c r="BS185" i="3"/>
  <c r="Z185" i="3"/>
  <c r="AV16" i="4"/>
  <c r="AF134" i="3"/>
  <c r="AE134" i="3"/>
  <c r="BK134" i="3"/>
  <c r="BQ134" i="3"/>
  <c r="AL303" i="3"/>
  <c r="BI303" i="3"/>
  <c r="BM303" i="3"/>
  <c r="BD303" i="3"/>
  <c r="AU143" i="3"/>
  <c r="BB143" i="3"/>
  <c r="AA143" i="3"/>
  <c r="M152" i="3"/>
  <c r="P152" i="3"/>
  <c r="T152" i="3"/>
  <c r="Y152" i="3"/>
  <c r="AH54" i="3"/>
  <c r="AL54" i="3"/>
  <c r="K54" i="3"/>
  <c r="S108" i="3"/>
  <c r="Q108" i="3"/>
  <c r="Y108" i="3"/>
  <c r="BL108" i="3"/>
  <c r="AP7" i="3"/>
  <c r="Z7" i="3"/>
  <c r="AX7" i="3"/>
  <c r="AK7" i="3"/>
  <c r="AT307" i="3"/>
  <c r="AK307" i="3"/>
  <c r="L307" i="3"/>
  <c r="Q307" i="3"/>
  <c r="BC182" i="3"/>
  <c r="Y182" i="3"/>
  <c r="AS182" i="3"/>
  <c r="AW182" i="3"/>
  <c r="R25" i="3"/>
  <c r="AK25" i="3"/>
  <c r="BE25" i="3"/>
  <c r="N25" i="3"/>
  <c r="AX287" i="3"/>
  <c r="AR287" i="3"/>
  <c r="AW287" i="3"/>
  <c r="BR287" i="3"/>
  <c r="AI58" i="3"/>
  <c r="Z58" i="3"/>
  <c r="AD58" i="3"/>
  <c r="AH58" i="3"/>
  <c r="M137" i="3"/>
  <c r="BN137" i="3"/>
  <c r="BR137" i="3"/>
  <c r="BE82" i="3"/>
  <c r="P82" i="3"/>
  <c r="R82" i="3"/>
  <c r="AL113" i="3"/>
  <c r="AP113" i="3"/>
  <c r="M113" i="3"/>
  <c r="R113" i="3"/>
  <c r="BG109" i="3"/>
  <c r="AU109" i="3"/>
  <c r="AY109" i="3"/>
  <c r="AT109" i="3"/>
  <c r="AC194" i="3"/>
  <c r="AN194" i="3"/>
  <c r="AJ194" i="3"/>
  <c r="BO55" i="3"/>
  <c r="BB55" i="3"/>
  <c r="AA55" i="3"/>
  <c r="AE55" i="3"/>
  <c r="AI43" i="4"/>
  <c r="AK43" i="4"/>
  <c r="BJ43" i="4"/>
  <c r="BP43" i="4"/>
  <c r="BL90" i="3"/>
  <c r="BO90" i="3"/>
  <c r="BS90" i="3"/>
  <c r="AY93" i="3"/>
  <c r="AV93" i="3"/>
  <c r="BC93" i="3"/>
  <c r="AB93" i="3"/>
  <c r="N274" i="3"/>
  <c r="AH274" i="3"/>
  <c r="AL274" i="3"/>
  <c r="BH274" i="3"/>
  <c r="R8" i="3"/>
  <c r="X8" i="3"/>
  <c r="AE8" i="3"/>
  <c r="AF8" i="3"/>
  <c r="AV23" i="3"/>
  <c r="BN23" i="3"/>
  <c r="BS23" i="3"/>
  <c r="AR23" i="3"/>
  <c r="BN185" i="3"/>
  <c r="P185" i="3"/>
  <c r="U185" i="3"/>
  <c r="AQ185" i="3"/>
  <c r="BO16" i="4"/>
  <c r="BC303" i="3"/>
  <c r="AQ143" i="3"/>
  <c r="AI54" i="3"/>
  <c r="BB54" i="3"/>
  <c r="AA54" i="3"/>
  <c r="BR108" i="3"/>
  <c r="AH108" i="3"/>
  <c r="AP108" i="3"/>
  <c r="N108" i="3"/>
  <c r="S7" i="3"/>
  <c r="AS7" i="3"/>
  <c r="AG7" i="3"/>
  <c r="BD7" i="3"/>
  <c r="BS307" i="3"/>
  <c r="BG307" i="3"/>
  <c r="AD307" i="3"/>
  <c r="AH307" i="3"/>
  <c r="BD287" i="3"/>
  <c r="BH287" i="3"/>
  <c r="BM287" i="3"/>
  <c r="W287" i="3"/>
  <c r="K82" i="3"/>
  <c r="AP82" i="3"/>
  <c r="AH82" i="3"/>
  <c r="AM113" i="3"/>
  <c r="BG113" i="3"/>
  <c r="AD113" i="3"/>
  <c r="AI113" i="3"/>
  <c r="AX194" i="3"/>
  <c r="BI194" i="3"/>
  <c r="AZ194" i="3"/>
  <c r="BK93" i="3"/>
  <c r="BL93" i="3"/>
  <c r="BS93" i="3"/>
  <c r="AR93" i="3"/>
  <c r="AB274" i="3"/>
  <c r="AY274" i="3"/>
  <c r="BC274" i="3"/>
  <c r="AA274" i="3"/>
  <c r="AW23" i="3"/>
  <c r="T23" i="3"/>
  <c r="X23" i="3"/>
  <c r="BH23" i="3"/>
  <c r="L185" i="3"/>
  <c r="AH185" i="3"/>
  <c r="AL185" i="3"/>
  <c r="BH185" i="3"/>
  <c r="Q134" i="3"/>
  <c r="K303" i="3"/>
  <c r="BR143" i="3"/>
  <c r="AG152" i="3"/>
  <c r="AK152" i="3"/>
  <c r="BC16" i="4"/>
  <c r="AS134" i="3"/>
  <c r="L134" i="3"/>
  <c r="AQ134" i="3"/>
  <c r="AL134" i="3"/>
  <c r="AK38" i="3"/>
  <c r="AP38" i="3"/>
  <c r="AU38" i="3"/>
  <c r="AZ38" i="3"/>
  <c r="V303" i="3"/>
  <c r="AB303" i="3"/>
  <c r="AF303" i="3"/>
  <c r="O205" i="3"/>
  <c r="AI205" i="3"/>
  <c r="AN205" i="3"/>
  <c r="BI205" i="3"/>
  <c r="O143" i="3"/>
  <c r="AW143" i="3"/>
  <c r="W143" i="3"/>
  <c r="BG143" i="3"/>
  <c r="AB152" i="3"/>
  <c r="AX152" i="3"/>
  <c r="BB152" i="3"/>
  <c r="BG152" i="3"/>
  <c r="BJ142" i="3"/>
  <c r="BP142" i="3"/>
  <c r="Y142" i="3"/>
  <c r="AS142" i="3"/>
  <c r="W190" i="3"/>
  <c r="AT190" i="3"/>
  <c r="AK54" i="3"/>
  <c r="BR54" i="3"/>
  <c r="AQ54" i="3"/>
  <c r="P108" i="3"/>
  <c r="AY108" i="3"/>
  <c r="BG108" i="3"/>
  <c r="AE108" i="3"/>
  <c r="BB117" i="3"/>
  <c r="BF117" i="3"/>
  <c r="AL7" i="3"/>
  <c r="BN7" i="3"/>
  <c r="M7" i="3"/>
  <c r="Y7" i="3"/>
  <c r="X307" i="3"/>
  <c r="AL307" i="3"/>
  <c r="AU307" i="3"/>
  <c r="AY307" i="3"/>
  <c r="BM244" i="3"/>
  <c r="BS244" i="3"/>
  <c r="W244" i="3"/>
  <c r="BQ182" i="3"/>
  <c r="BE182" i="3"/>
  <c r="N182" i="3"/>
  <c r="R182" i="3"/>
  <c r="BK22" i="3"/>
  <c r="BO22" i="3"/>
  <c r="BS22" i="3"/>
  <c r="U25" i="3"/>
  <c r="BQ25" i="3"/>
  <c r="AP25" i="3"/>
  <c r="AT25" i="3"/>
  <c r="L287" i="3"/>
  <c r="AS287" i="3"/>
  <c r="AI287" i="3"/>
  <c r="AM287" i="3"/>
  <c r="AK58" i="3"/>
  <c r="BF58" i="3"/>
  <c r="BJ58" i="3"/>
  <c r="BN58" i="3"/>
  <c r="AI310" i="3"/>
  <c r="AO310" i="3"/>
  <c r="Z310" i="3"/>
  <c r="AU137" i="3"/>
  <c r="N137" i="3"/>
  <c r="AI137" i="3"/>
  <c r="AM137" i="3"/>
  <c r="AF82" i="3"/>
  <c r="BK82" i="3"/>
  <c r="AX82" i="3"/>
  <c r="AN113" i="3"/>
  <c r="Z113" i="3"/>
  <c r="AU113" i="3"/>
  <c r="AZ113" i="3"/>
  <c r="AM109" i="3"/>
  <c r="M109" i="3"/>
  <c r="R109" i="3"/>
  <c r="AT194" i="3"/>
  <c r="AD194" i="3"/>
  <c r="O194" i="3"/>
  <c r="BP194" i="3"/>
  <c r="BP55" i="3"/>
  <c r="W55" i="3"/>
  <c r="BG55" i="3"/>
  <c r="BK55" i="3"/>
  <c r="Z18" i="4"/>
  <c r="BA18" i="4"/>
  <c r="AR18" i="4"/>
  <c r="AG18" i="4"/>
  <c r="AQ43" i="4"/>
  <c r="P43" i="4"/>
  <c r="AD43" i="4"/>
  <c r="E14" i="1"/>
  <c r="B14" i="1" s="1"/>
  <c r="BM93" i="3"/>
  <c r="T93" i="3"/>
  <c r="X93" i="3"/>
  <c r="BH93" i="3"/>
  <c r="AC274" i="3"/>
  <c r="BP274" i="3"/>
  <c r="V274" i="3"/>
  <c r="AR274" i="3"/>
  <c r="BG8" i="3"/>
  <c r="BQ8" i="3"/>
  <c r="T8" i="3"/>
  <c r="BL8" i="3"/>
  <c r="AY23" i="3"/>
  <c r="AJ23" i="3"/>
  <c r="AN23" i="3"/>
  <c r="M23" i="3"/>
  <c r="M185" i="3"/>
  <c r="AY185" i="3"/>
  <c r="BC185" i="3"/>
  <c r="Q185" i="3"/>
  <c r="L16" i="4"/>
  <c r="AB16" i="4"/>
  <c r="AX16" i="4"/>
  <c r="AI16" i="4"/>
  <c r="AR134" i="3"/>
  <c r="AV143" i="3"/>
  <c r="Z152" i="3"/>
  <c r="AP152" i="3"/>
  <c r="AD16" i="4"/>
  <c r="S16" i="4"/>
  <c r="M16" i="4"/>
  <c r="AK16" i="4"/>
  <c r="AZ16" i="4"/>
  <c r="N16" i="4"/>
  <c r="AF16" i="4"/>
  <c r="AW136" i="3"/>
  <c r="M136" i="3"/>
  <c r="BO136" i="3"/>
  <c r="AT134" i="3"/>
  <c r="AG134" i="3"/>
  <c r="BL134" i="3"/>
  <c r="BB134" i="3"/>
  <c r="AX38" i="3"/>
  <c r="BH38" i="3"/>
  <c r="BM38" i="3"/>
  <c r="AM303" i="3"/>
  <c r="AS303" i="3"/>
  <c r="AW303" i="3"/>
  <c r="Z35" i="3"/>
  <c r="BO35" i="3"/>
  <c r="BS35" i="3"/>
  <c r="AW205" i="3"/>
  <c r="AY205" i="3"/>
  <c r="BD205" i="3"/>
  <c r="N205" i="3"/>
  <c r="P143" i="3"/>
  <c r="AX143" i="3"/>
  <c r="AM143" i="3"/>
  <c r="L143" i="3"/>
  <c r="AD152" i="3"/>
  <c r="BO152" i="3"/>
  <c r="BS152" i="3"/>
  <c r="O152" i="3"/>
  <c r="N142" i="3"/>
  <c r="U142" i="3"/>
  <c r="AO142" i="3"/>
  <c r="BL54" i="3"/>
  <c r="AU54" i="3"/>
  <c r="W54" i="3"/>
  <c r="BG54" i="3"/>
  <c r="R108" i="3"/>
  <c r="BP108" i="3"/>
  <c r="Z108" i="3"/>
  <c r="AV108" i="3"/>
  <c r="BF7" i="3"/>
  <c r="AA7" i="3"/>
  <c r="AH7" i="3"/>
  <c r="AO7" i="3"/>
  <c r="AZ307" i="3"/>
  <c r="BH307" i="3"/>
  <c r="BL307" i="3"/>
  <c r="BP307" i="3"/>
  <c r="AB244" i="3"/>
  <c r="L244" i="3"/>
  <c r="P244" i="3"/>
  <c r="AO244" i="3"/>
  <c r="BR182" i="3"/>
  <c r="Z182" i="3"/>
  <c r="AD182" i="3"/>
  <c r="AH182" i="3"/>
  <c r="AF25" i="3"/>
  <c r="V25" i="3"/>
  <c r="BF25" i="3"/>
  <c r="BJ25" i="3"/>
  <c r="BE287" i="3"/>
  <c r="BI287" i="3"/>
  <c r="AY287" i="3"/>
  <c r="BC287" i="3"/>
  <c r="AL58" i="3"/>
  <c r="K58" i="3"/>
  <c r="O58" i="3"/>
  <c r="AA137" i="3"/>
  <c r="BK137" i="3"/>
  <c r="AY137" i="3"/>
  <c r="BC137" i="3"/>
  <c r="AV82" i="3"/>
  <c r="BF82" i="3"/>
  <c r="V82" i="3"/>
  <c r="BN82" i="3"/>
  <c r="BA113" i="3"/>
  <c r="AQ113" i="3"/>
  <c r="BM113" i="3"/>
  <c r="BQ113" i="3"/>
  <c r="BD109" i="3"/>
  <c r="AE109" i="3"/>
  <c r="AI109" i="3"/>
  <c r="AA194" i="3"/>
  <c r="BD194" i="3"/>
  <c r="AO194" i="3"/>
  <c r="U194" i="3"/>
  <c r="T55" i="3"/>
  <c r="AM55" i="3"/>
  <c r="L55" i="3"/>
  <c r="AS43" i="4"/>
  <c r="AL43" i="4"/>
  <c r="AW43" i="4"/>
  <c r="AS90" i="3"/>
  <c r="AC90" i="3"/>
  <c r="AZ90" i="3"/>
  <c r="BD90" i="3"/>
  <c r="AX93" i="3"/>
  <c r="AJ93" i="3"/>
  <c r="AN93" i="3"/>
  <c r="M93" i="3"/>
  <c r="AF274" i="3"/>
  <c r="R274" i="3"/>
  <c r="AM274" i="3"/>
  <c r="BI274" i="3"/>
  <c r="S8" i="3"/>
  <c r="BR8" i="3"/>
  <c r="Y8" i="3"/>
  <c r="Q8" i="3"/>
  <c r="N23" i="3"/>
  <c r="AZ23" i="3"/>
  <c r="BD23" i="3"/>
  <c r="AC23" i="3"/>
  <c r="N185" i="3"/>
  <c r="BP185" i="3"/>
  <c r="V185" i="3"/>
  <c r="AG185" i="3"/>
  <c r="BE134" i="3"/>
  <c r="V134" i="3"/>
  <c r="O303" i="3"/>
  <c r="BN16" i="4"/>
  <c r="W16" i="4"/>
  <c r="AJ16" i="4"/>
  <c r="BF134" i="3"/>
  <c r="BG134" i="3"/>
  <c r="BM134" i="3"/>
  <c r="BR134" i="3"/>
  <c r="AJ303" i="3"/>
  <c r="BE303" i="3"/>
  <c r="BJ303" i="3"/>
  <c r="BN303" i="3"/>
  <c r="P205" i="3"/>
  <c r="BO205" i="3"/>
  <c r="Z205" i="3"/>
  <c r="Q143" i="3"/>
  <c r="AY143" i="3"/>
  <c r="BC143" i="3"/>
  <c r="AQ152" i="3"/>
  <c r="Q152" i="3"/>
  <c r="U152" i="3"/>
  <c r="BM54" i="3"/>
  <c r="AV54" i="3"/>
  <c r="AM54" i="3"/>
  <c r="L54" i="3"/>
  <c r="BS108" i="3"/>
  <c r="U108" i="3"/>
  <c r="AQ108" i="3"/>
  <c r="BM108" i="3"/>
  <c r="T7" i="3"/>
  <c r="AT7" i="3"/>
  <c r="BA7" i="3"/>
  <c r="BE7" i="3"/>
  <c r="Y307" i="3"/>
  <c r="K307" i="3"/>
  <c r="N307" i="3"/>
  <c r="M307" i="3"/>
  <c r="AQ244" i="3"/>
  <c r="AD244" i="3"/>
  <c r="AH244" i="3"/>
  <c r="BS182" i="3"/>
  <c r="AP182" i="3"/>
  <c r="AT182" i="3"/>
  <c r="P25" i="3"/>
  <c r="AL25" i="3"/>
  <c r="K25" i="3"/>
  <c r="O25" i="3"/>
  <c r="M287" i="3"/>
  <c r="AT287" i="3"/>
  <c r="BO287" i="3"/>
  <c r="BS287" i="3"/>
  <c r="AM58" i="3"/>
  <c r="AA58" i="3"/>
  <c r="AB137" i="3"/>
  <c r="O137" i="3"/>
  <c r="BO137" i="3"/>
  <c r="BB82" i="3"/>
  <c r="L82" i="3"/>
  <c r="AQ82" i="3"/>
  <c r="S82" i="3"/>
  <c r="BC113" i="3"/>
  <c r="BH113" i="3"/>
  <c r="N113" i="3"/>
  <c r="P113" i="3"/>
  <c r="Z109" i="3"/>
  <c r="AV109" i="3"/>
  <c r="AZ109" i="3"/>
  <c r="AU194" i="3"/>
  <c r="AE194" i="3"/>
  <c r="BJ194" i="3"/>
  <c r="AK194" i="3"/>
  <c r="AF55" i="3"/>
  <c r="BC55" i="3"/>
  <c r="AB55" i="3"/>
  <c r="AA18" i="4"/>
  <c r="BF18" i="4"/>
  <c r="X18" i="4"/>
  <c r="W43" i="4"/>
  <c r="AT43" i="4"/>
  <c r="BG43" i="4"/>
  <c r="AT90" i="3"/>
  <c r="AD90" i="3"/>
  <c r="BP90" i="3"/>
  <c r="P93" i="3"/>
  <c r="AZ93" i="3"/>
  <c r="BD93" i="3"/>
  <c r="AC93" i="3"/>
  <c r="AS274" i="3"/>
  <c r="AI274" i="3"/>
  <c r="BD274" i="3"/>
  <c r="O274" i="3"/>
  <c r="AL8" i="3"/>
  <c r="AA8" i="3"/>
  <c r="AY8" i="3"/>
  <c r="AG8" i="3"/>
  <c r="BK23" i="3"/>
  <c r="BP23" i="3"/>
  <c r="Y23" i="3"/>
  <c r="AS23" i="3"/>
  <c r="AA185" i="3"/>
  <c r="R185" i="3"/>
  <c r="AM185" i="3"/>
  <c r="AW185" i="3"/>
  <c r="BN134" i="3"/>
  <c r="BN54" i="3"/>
  <c r="AW54" i="3"/>
  <c r="BC54" i="3"/>
  <c r="T108" i="3"/>
  <c r="AL108" i="3"/>
  <c r="BH108" i="3"/>
  <c r="AM7" i="3"/>
  <c r="BO7" i="3"/>
  <c r="L7" i="3"/>
  <c r="BA307" i="3"/>
  <c r="AM307" i="3"/>
  <c r="AE307" i="3"/>
  <c r="AG25" i="3"/>
  <c r="BB25" i="3"/>
  <c r="AA25" i="3"/>
  <c r="BF287" i="3"/>
  <c r="BJ287" i="3"/>
  <c r="BC82" i="3"/>
  <c r="AL82" i="3"/>
  <c r="BL82" i="3"/>
  <c r="BD113" i="3"/>
  <c r="AA113" i="3"/>
  <c r="AE113" i="3"/>
  <c r="U109" i="3"/>
  <c r="AQ109" i="3"/>
  <c r="BM109" i="3"/>
  <c r="AV194" i="3"/>
  <c r="BE194" i="3"/>
  <c r="P194" i="3"/>
  <c r="AG55" i="3"/>
  <c r="BS55" i="3"/>
  <c r="BN93" i="3"/>
  <c r="BP93" i="3"/>
  <c r="Y93" i="3"/>
  <c r="AT274" i="3"/>
  <c r="AZ274" i="3"/>
  <c r="W274" i="3"/>
  <c r="BH8" i="3"/>
  <c r="AX8" i="3"/>
  <c r="M8" i="3"/>
  <c r="BJ23" i="3"/>
  <c r="U23" i="3"/>
  <c r="AO23" i="3"/>
  <c r="AC185" i="3"/>
  <c r="AI185" i="3"/>
  <c r="BD185" i="3"/>
  <c r="K21" i="1" l="1"/>
  <c r="I20" i="1"/>
  <c r="E22" i="1"/>
  <c r="C22" i="1"/>
  <c r="E15" i="1"/>
  <c r="K22" i="1" l="1"/>
  <c r="I22" i="1" s="1"/>
  <c r="I21" i="1"/>
  <c r="E16" i="1"/>
  <c r="B16" i="1"/>
  <c r="B15" i="1"/>
  <c r="E17" i="1" l="1"/>
  <c r="E18" i="1" l="1"/>
  <c r="B18" i="1"/>
  <c r="B17" i="1"/>
  <c r="E19" i="1" l="1"/>
  <c r="E20" i="1" l="1"/>
  <c r="B20" i="1"/>
  <c r="B19" i="1"/>
  <c r="E21" i="1" l="1"/>
  <c r="B21" i="1" s="1"/>
</calcChain>
</file>

<file path=xl/sharedStrings.xml><?xml version="1.0" encoding="utf-8"?>
<sst xmlns="http://schemas.openxmlformats.org/spreadsheetml/2006/main" count="3778" uniqueCount="2047">
  <si>
    <t>SEGRO POAP Costings — Summary (all figures recalc live from the Control Panel)</t>
  </si>
  <si>
    <t>HEADLINES</t>
  </si>
  <si>
    <t>Build — POAP phases + loadings (one-off)</t>
  </si>
  <si>
    <t>Run — 5 years (indexed)</t>
  </si>
  <si>
    <t>5-YEAR TCO (build + run)</t>
  </si>
  <si>
    <t>TCO per employee (OrgSize input)</t>
  </si>
  <si>
    <t>Y1 cash (build + run Y1)</t>
  </si>
  <si>
    <t>CHART DATA (formula-driven — edit the Control Panel, not these cells)</t>
  </si>
  <si>
    <t>Waterfall segment</t>
  </si>
  <si>
    <t>Base (invisible)</t>
  </si>
  <si>
    <t>Block (visible)</t>
  </si>
  <si>
    <t>Delta (signed)</t>
  </si>
  <si>
    <t>Cumulative</t>
  </si>
  <si>
    <t>Design &amp; Plan</t>
  </si>
  <si>
    <t>Build - SEGRO (Azure foundations, AKS, shared services)</t>
  </si>
  <si>
    <t>Build - HCL (UnO + TX install, Unica+/CDP deploy)</t>
  </si>
  <si>
    <t>Testing (SIT, pen test, UAT, performance)</t>
  </si>
  <si>
    <t>Deploy (prod readiness, migration, go-live)</t>
  </si>
  <si>
    <t>Hypercare / PGLS + business readiness close-out</t>
  </si>
  <si>
    <t>Contingency</t>
  </si>
  <si>
    <t>Slip − Overlap</t>
  </si>
  <si>
    <t>Run (5yr)</t>
  </si>
  <si>
    <t>5-yr TCO</t>
  </si>
  <si>
    <t>GO-LIVE (live — moves with slip)</t>
  </si>
  <si>
    <t>Live go-live week (29 + slip)</t>
  </si>
  <si>
    <t>Nominal 29 wk (Fri wk29 = 29 Jan 2027); slip extends go-live. Overlap is a cost saving (parallel HCL install), not a critical-path compression — matches the Gantt.</t>
  </si>
  <si>
    <t>Live go-live date</t>
  </si>
  <si>
    <t>Anchored to the Gantt week-1 Monday (13 Jul 2026); Friday of the live go-live week.</t>
  </si>
  <si>
    <t>GO-LIVE SCENARIOS (Green Book duration band)</t>
  </si>
  <si>
    <t>Optimistic</t>
  </si>
  <si>
    <t>Green Book lower</t>
  </si>
  <si>
    <t>Green Book upper</t>
  </si>
  <si>
    <t>Slip applied (weeks)</t>
  </si>
  <si>
    <t>Go-live week</t>
  </si>
  <si>
    <t>Go-live date</t>
  </si>
  <si>
    <t>Weeks later than plan</t>
  </si>
  <si>
    <t>▪ Scenarios hold overlap at 0. +3 wk ≈ Green Book ICT duration optimism-bias lower bound (+10% of the 29-wk pre-go-live span); +16 wk ≈ upper bound (+54%). The live figures above respond to the actual Control Panel slip/overlap.</t>
  </si>
  <si>
    <t>AGENT / MCP CALCULATOR (live — edit Control Panel)</t>
  </si>
  <si>
    <t>AgentStack</t>
  </si>
  <si>
    <t>RagMemoryShape</t>
  </si>
  <si>
    <t>AgentCount (intensity)</t>
  </si>
  <si>
    <t>McpServerCount (app plugs)</t>
  </si>
  <si>
    <t>Agent-stack run Y1 (MCP+RAG+memory; £0 when AgentStack=Exclude)</t>
  </si>
  <si>
    <t>Reference scenarios (proportional from live stack Y1; does not override Control Panel)</t>
  </si>
  <si>
    <t>Agents</t>
  </si>
  <si>
    <t>MCP servers</t>
  </si>
  <si>
    <t>Est. stack Y1 £</t>
  </si>
  <si>
    <t>Scenario 1 agents × 2 MCP</t>
  </si>
  <si>
    <t>Scenario 5 agents × 10 MCP</t>
  </si>
  <si>
    <t>Scenario 30 agents × 50 MCP</t>
  </si>
  <si>
    <t>▪ Named agents (which to build) live on the Agents tab and Gantt ASSUMPTION lanes. AgentCount scales intensity; McpServerCount scales application plugs.</t>
  </si>
  <si>
    <t>Month (from contract)</t>
  </si>
  <si>
    <t>Cumulative spend £</t>
  </si>
  <si>
    <t>Go-live marker</t>
  </si>
  <si>
    <t>Phase</t>
  </si>
  <si>
    <t>SEGRO</t>
  </si>
  <si>
    <t>HCL</t>
  </si>
  <si>
    <t>Azure</t>
  </si>
  <si>
    <t>ThirdParty</t>
  </si>
  <si>
    <t>Build - SEGRO (Azure fou</t>
  </si>
  <si>
    <t>Build - HCL (UnO + TX in</t>
  </si>
  <si>
    <t xml:space="preserve">Testing (SIT, pen test, </t>
  </si>
  <si>
    <t xml:space="preserve">Deploy (prod readiness, </t>
  </si>
  <si>
    <t>Hypercare / PGLS + busin</t>
  </si>
  <si>
    <t>Run Y1 by side</t>
  </si>
  <si>
    <t>£/yr</t>
  </si>
  <si>
    <t xml:space="preserve">▪ Benchmark provenance: all Benchmarks-tab rows are copied from org_it_benchmarks.json and programme_benchmarks.json (both adversarially verified, verdict APPROVE 17 Jul 2026) with their original status labels (VERIFIED / INDICATIVE / ASSUMPTION) carried unchanged; verifier MINORs </t>
  </si>
  <si>
    <t>▪ Headcount: SEGRO's actual Group headcount is 463 (ARA 2025 p86; FY2025 average 454, of which 168 indirect/administration) versus the ~700 briefed — anchor OrgSize and all per-user maths to ~450-465, with the 168 'office' population available for knowledge-worker-only SKUs.</t>
  </si>
  <si>
    <t>▪ INDICATIVE and list-price rows are vendor list / aggregator figures, not quotes: Microsoft GBP prices are paid-yearly annual-commitment ex-VAT list captured 16 Jul 2026 (a +5% monthly-billing premium applies, and 2026 M365 pricing/packaging updates are announced — re-verify at co</t>
  </si>
  <si>
    <t>▪ HCL side is a FLOOR: HCL licence and subscription lines are RATE_MISSING (contract not shared) and are carried as clearly-labelled adjustable input cells defaulting to £0 — never presented as verified figures; totals on the HCL branch therefore understate true cost.</t>
  </si>
  <si>
    <t>▪ Contingency framing: the workbook's ContingencyPct should be read against the HM Treasury Green Book optimism-bias band for ICT (10% floor at contract award with evidenced mitigation, 200% upper at outline-business-case stage) — a flat 10-20% default sits at the optimistic end of</t>
  </si>
  <si>
    <t>F1</t>
  </si>
  <si>
    <t>F2</t>
  </si>
  <si>
    <t>F5</t>
  </si>
  <si>
    <t>F7</t>
  </si>
  <si>
    <t>F10</t>
  </si>
  <si>
    <t>F13</t>
  </si>
  <si>
    <t>F14</t>
  </si>
  <si>
    <t>F15</t>
  </si>
  <si>
    <t>F16</t>
  </si>
  <si>
    <t>F17</t>
  </si>
  <si>
    <t>F19</t>
  </si>
  <si>
    <t>F23</t>
  </si>
  <si>
    <t>F24</t>
  </si>
  <si>
    <t>F26</t>
  </si>
  <si>
    <t>Gantt - POAP As Drawn — technical step decomposition per major line of work</t>
  </si>
  <si>
    <t>The POAP as drawn on slide 3 (16 Jul 2026 deck), decomposed into technical steps per major line of work. Window statuses: POAP-DRAWN = bar drawn on the slide; ASSUMPTION = no bar exists (the work is costed but absent from the plan). Step statuses: DERIVED = step text and position follow from slide sub-items, named documents (slides 5-10) or the verified cost model; ASSUMPTION = position is sequencing judgement, text still sourced. TASK bars dilate with SlipWeeks ONLY on time-driven work (people schedules + Azure commissioning + any people LANE); a pure fixed-fee TASK bar (a RATE_MISSING-licence fold or a third-party pen-test/red-team engagement) SHIFTS under slip but keeps its drawn duration, matching the slip-cost model. STEP bars render RELATIVE to their parent task's live window, so a fixed licence STEP inside a time-driven lane (e.g. the procurement track) rides the lane and may widen with it — the fixed-does-not-stretch rule is a TASK-row property, not a step-row one.  Bars recalc live: SlipWeeks dilates TIME-DRIVEN windows (people + Azure commissioning) pro-rata — the same elongation the slip cost prices; FIXED-fee engagements (licences, third-party pen-test/red-team) shift but keep their duration; hypercare shifts whole. A ▶ in the Slip column flags any bar clipped at the grid edge under a large slip. Milestones: ▲ go-live (moves with slip) · ✕ Christmas · ! Bank holiday · ◆ drawn phase gate. Bar colours: SEGRO red · HCL dark blue · Azure mid blue · Third-party purple.</t>
  </si>
  <si>
    <t>Jul 26</t>
  </si>
  <si>
    <t>Aug 26</t>
  </si>
  <si>
    <t>Sep 26</t>
  </si>
  <si>
    <t>Oct 26</t>
  </si>
  <si>
    <t>Nov 26</t>
  </si>
  <si>
    <t>Dec 26</t>
  </si>
  <si>
    <t>Jan 27</t>
  </si>
  <si>
    <t>Feb 27</t>
  </si>
  <si>
    <t>Mar 27</t>
  </si>
  <si>
    <t>Apr 27</t>
  </si>
  <si>
    <t>May 27</t>
  </si>
  <si>
    <t>Jun 27</t>
  </si>
  <si>
    <t>Jul 27</t>
  </si>
  <si>
    <t>Aug 27</t>
  </si>
  <si>
    <t>Sep 27</t>
  </si>
  <si>
    <t>Id</t>
  </si>
  <si>
    <t>Major line of work / technical step</t>
  </si>
  <si>
    <t>Side</t>
  </si>
  <si>
    <t>Status</t>
  </si>
  <si>
    <t>Findings</t>
  </si>
  <si>
    <t>Depends on</t>
  </si>
  <si>
    <t>Start wk</t>
  </si>
  <si>
    <t>Wks</t>
  </si>
  <si>
    <t>Live start</t>
  </si>
  <si>
    <t>Live end</t>
  </si>
  <si>
    <t>Slip</t>
  </si>
  <si>
    <t>Basis / source</t>
  </si>
  <si>
    <t>Milestones</t>
  </si>
  <si>
    <t>G-P1-L1</t>
  </si>
  <si>
    <t>Design &amp; Plan (lane A)  [P1-L1]</t>
  </si>
  <si>
    <t>POAP-DRAWN</t>
  </si>
  <si>
    <t>Slide 3 lane A design bar is drawn: '5 weeks' bar x=1.98 w=2.54 = gantt_timeline P1 window weeks 1-5. Role/scope from spec_cost_model P1-L1: 'Solutions architect - workshop lead, HLD/LLD, target arch for EA, KDD papers (AKS v ARO, env count, cluster topology)', 1 FTE x 5 wk.</t>
  </si>
  <si>
    <t>G-P1-L1-s1</t>
  </si>
  <si>
    <t xml:space="preserve">    • Lead Arch Workshop Kick-off</t>
  </si>
  <si>
    <t>DERIVED</t>
  </si>
  <si>
    <t>Slide 3 chip 'Arch Workshop Kick-off' (x=1.40) is the first workshop in the drawn left-to-right stagger of the lane-A chain - earliest position, so week 1 at parent start.</t>
  </si>
  <si>
    <t>G-P1-L1-s2</t>
  </si>
  <si>
    <t xml:space="preserve">    • Lead Arch Workshop Sizing</t>
  </si>
  <si>
    <t>Slide 3 chip 'Arch Workshop Sizing' (x=1.65) is drawn second in the workshop stagger, immediately right of kick-off - next week slot.</t>
  </si>
  <si>
    <t>G-P1-L1-s3</t>
  </si>
  <si>
    <t xml:space="preserve">    • Draft KDD papers (AKS v ARO, env count, cluster topology) feeding the lane-B KDD decisions</t>
  </si>
  <si>
    <t>ASSUMPTION</t>
  </si>
  <si>
    <t>Text from spec_cost_model P1-L1 desc: 'KDD papers (AKS v ARO, env count, cluster topology)'. Position is judgement: drafting must follow the kick-off/sizing workshops and precede the lane-B 'KDDs documented / agreed' close-out - no drawn bar for the drafting itself.</t>
  </si>
  <si>
    <t>G-P1-L1-s4</t>
  </si>
  <si>
    <t xml:space="preserve">    • Produce High Level Design</t>
  </si>
  <si>
    <t>Slide 5 named doc 'High Level Design'. Position is judgement: mid-phase, after the sizing and cyber workshops provide inputs; slide gives no per-document dates.</t>
  </si>
  <si>
    <t>G-P1-L1-s5</t>
  </si>
  <si>
    <t xml:space="preserve">    • Target Arch for EA (consuming platform engineer's physical infrastructure diagrams)</t>
  </si>
  <si>
    <t>Slide 3 chip 'Physical infrastructure diagrams and Target Arch for EA' (x=3.07) is drawn last in the lane-A stagger, late in the design bar - week 4 position follows from the drawn order.</t>
  </si>
  <si>
    <t>G-P1-L1-s6</t>
  </si>
  <si>
    <t xml:space="preserve">    • Finalise Low Level Design for Enterprise Arch; KDDs documented / agreed</t>
  </si>
  <si>
    <t>G-P1-L1-s3, G-P1-L1-s4</t>
  </si>
  <si>
    <t>Slide 5 named docs 'Low Level Design for Enterprise Arch' and 'KDDs documented / agreed'. Position is judgement: closing deliverables in the final two weeks before the slide-3 'Design phase complete' marker; no per-document dates drawn.</t>
  </si>
  <si>
    <t>G-P1-L2</t>
  </si>
  <si>
    <t>Design &amp; Plan (lane A)  [P1-L2]</t>
  </si>
  <si>
    <t>F16, F14</t>
  </si>
  <si>
    <t>Window = drawn slide 3 '5 weeks' design bar (x=1.98 w=2.54) = weeks 1-5. Role/scope from spec_cost_model P1-L2: 'Platform engineer - sizing workshop, physical infrastructure diagrams, physical sizing of infrastructure', 0.6 FTE.</t>
  </si>
  <si>
    <t>G-P1-L2-s1</t>
  </si>
  <si>
    <t xml:space="preserve">    • Attend Arch Workshop Kick-off; assemble estate sizing inputs</t>
  </si>
  <si>
    <t>Slide 3 chip 'Arch Workshop Kick-off' (x=1.40), first in the drawn stagger - week 1 at parent start; sizing-input scope from spec_cost_model P1-L2 desc 'sizing workshop'.</t>
  </si>
  <si>
    <t>G-P1-L2-s2</t>
  </si>
  <si>
    <t xml:space="preserve">    • Run Arch Workshop Sizing (the workshop the build phase is 'To be validated' against)</t>
  </si>
  <si>
    <t>Slide 3 chip 'Arch Workshop Sizing' (x=1.65), second in the drawn stagger. Slide 3 build annotation 'To be validated based on Arch workshop' (x=6.85) hangs on this workshop's output (F14).</t>
  </si>
  <si>
    <t>G-P1-L2-s3</t>
  </si>
  <si>
    <t xml:space="preserve">    • Physical sizing of infrastructure</t>
  </si>
  <si>
    <t>Slide 5 named doc 'Physical sizing of infrastructure'. Position is judgement: follows the sizing workshop; no drawn bar for the document itself.</t>
  </si>
  <si>
    <t>G-P1-L2-s4</t>
  </si>
  <si>
    <t xml:space="preserve">    • Physical Low Level Technical Arch Diagrams / physical infrastructure diagrams</t>
  </si>
  <si>
    <t>Slide 5 named doc 'Physical Low Level Technical Arch Diagrams'; slide 3 chip 'Physical infrastructure diagrams and Target Arch for EA' (x=3.07) is drawn last in the lane-A stagger - late-phase position follows from the drawn order.</t>
  </si>
  <si>
    <t>G-P1-L3</t>
  </si>
  <si>
    <t>Design &amp; Plan (lane A)  [P1-L3]</t>
  </si>
  <si>
    <t>Window = drawn slide 3 '5 weeks' design bar = weeks 1-5. Role/scope from spec_cost_model P1-L3: 'Cloud security - Cyber Sec Workshop, cyber security impact analysis + diagrams', 0.4 FTE; IAM workshop/design mapped here as the security-owning role.</t>
  </si>
  <si>
    <t>G-P1-L3-s1</t>
  </si>
  <si>
    <t xml:space="preserve">    • Prepare Cyber Sec Workshop inputs (SEGRO security principles, threat context)</t>
  </si>
  <si>
    <t>Workshop named on slide 3 ('Cyber Sec Workshop'); preparation step and its week-1 position are judgement - only the workshop chip itself is drawn.</t>
  </si>
  <si>
    <t>G-P1-L3-s2</t>
  </si>
  <si>
    <t xml:space="preserve">    • Run Cyber Sec Workshop</t>
  </si>
  <si>
    <t>Slide 3 chip 'Cyber Sec Workshop' (x=1.90), third in the drawn left-to-right workshop stagger - early-mid phase position follows from the drawn order.</t>
  </si>
  <si>
    <t>G-P1-L3-s3</t>
  </si>
  <si>
    <t xml:space="preserve">    • Run Identity Access Mgmt Workshop</t>
  </si>
  <si>
    <t>Slide 3 chip 'Identity Access Mgmt Workshop' (x=2.01), fourth in the drawn stagger, right of the Cyber Sec Workshop chip.</t>
  </si>
  <si>
    <t>G-P1-L3-s4</t>
  </si>
  <si>
    <t xml:space="preserve">    • Cyber security impact analysis</t>
  </si>
  <si>
    <t>Slide 5 named doc 'Cyber security impact analysis'. Position is judgement: follows the Cyber Sec Workshop; no drawn bar for the document.</t>
  </si>
  <si>
    <t>G-P1-L3-s5</t>
  </si>
  <si>
    <t xml:space="preserve">    • Cyber security diagrams</t>
  </si>
  <si>
    <t>Slide 5 named doc 'Cyber security diagrams'. Position is judgement: diagrams follow the impact analysis in the phase tail.</t>
  </si>
  <si>
    <t>G-P1-L3-s6</t>
  </si>
  <si>
    <t xml:space="preserve">    • Identity &amp; access management design</t>
  </si>
  <si>
    <t>Slide 5 named doc 'Identity &amp; access management design'. Position is judgement: follows the IAM workshop; closes with the phase.</t>
  </si>
  <si>
    <t>G-P1-L4</t>
  </si>
  <si>
    <t>Design &amp; Plan (lane A)  [P1-L4]</t>
  </si>
  <si>
    <t>Window = drawn slide 3 '5 weeks' design bar = weeks 1-5. Role/scope from spec_cost_model P1-L4: 'Data engineer - Data Mgmt Workshop, data flow design, data governance principles input', 0.4 FTE.</t>
  </si>
  <si>
    <t>G-P1-L4-s1</t>
  </si>
  <si>
    <t xml:space="preserve">    • Prepare Data Mgmt Workshop inputs (data landscape, governance principles)</t>
  </si>
  <si>
    <t>Text from spec_cost_model P1-L4 desc 'data governance principles input' and the slide-3 workshop name; preparation step and its position are judgement - only the workshop chip is drawn.</t>
  </si>
  <si>
    <t>G-P1-L4-s2</t>
  </si>
  <si>
    <t xml:space="preserve">    • Run Data Mgmt Workshop</t>
  </si>
  <si>
    <t>Slide 3 chip 'Data Mgmt  Workshop' (x=2.31), fifth and last workshop in the drawn left-to-right stagger - mid-phase position follows from the drawn order.</t>
  </si>
  <si>
    <t>G-P1-L4-s3</t>
  </si>
  <si>
    <t xml:space="preserve">    • Data flow design</t>
  </si>
  <si>
    <t>Slide 5 named doc 'Data flow design'. Position is judgement: follows the Data Mgmt Workshop; no drawn bar for the document.</t>
  </si>
  <si>
    <t>G-P1-L4-s4</t>
  </si>
  <si>
    <t xml:space="preserve">    • Data governance principles input handed to the build-phase Data Mgmt &amp; Governance workstream</t>
  </si>
  <si>
    <t>Text from spec_cost_model P1-L4 desc 'data governance principles input' (the downstream stream is slide 3 build item 6 'Data Mgmt and Governance Principles'). Handover position at phase tail is judgement.</t>
  </si>
  <si>
    <t>G-P1-L5</t>
  </si>
  <si>
    <t>Design &amp; Plan (lane A)  [P1-L5]</t>
  </si>
  <si>
    <t>Window = drawn slide 3 '5 weeks' design bar = weeks 1-5. Role/scope from spec_cost_model P1-L5: 'Business analyst - Use case scope for Release 1 Agreed, KDD documentation, DRG/ARG approval pack', 0.4 FTE.</t>
  </si>
  <si>
    <t>G-P1-L5-s1</t>
  </si>
  <si>
    <t xml:space="preserve">    • Use case scoping for Release 1, closing with 'Use case scope for Release 1 Agreed'</t>
  </si>
  <si>
    <t>Slide 3 chip 'Use case scope for Release 1 Agreed' (x=1.95) is drawn at the very start of the design bar (bar starts x=1.98) - early position follows from the drawing.</t>
  </si>
  <si>
    <t>G-P1-L5-s2</t>
  </si>
  <si>
    <t xml:space="preserve">    • Business context input to the workshop chain (sizing, cyber, IAM, data)</t>
  </si>
  <si>
    <t>Workshops named on slide 3 ('Arch Workshop Sizing', 'Cyber Sec Workshop', 'Identity Access Mgmt Workshop', 'Data Mgmt  Workshop'); BA attendance and its weeks-2-3 position are judgement.</t>
  </si>
  <si>
    <t>G-P1-L5-s3</t>
  </si>
  <si>
    <t xml:space="preserve">    • KDD documentation</t>
  </si>
  <si>
    <t>Text from spec_cost_model P1-L5 desc 'KDD documentation' and slide 5 named doc 'KDDs documented / agreed'. Position is judgement: follows the workshop chain, precedes DRG close-out.</t>
  </si>
  <si>
    <t>G-P1-L5-s4</t>
  </si>
  <si>
    <t xml:space="preserve">    • DRG approval doc / DRG-ARG approval pack</t>
  </si>
  <si>
    <t>Slide 5 named doc 'DRG approval doc'; slide 3 lane-B item 'Arch decisions for DRG / ARG'. Position is judgement: approval pack lands at the phase tail; no drawn date for the document.</t>
  </si>
  <si>
    <t>G-P1-L6</t>
  </si>
  <si>
    <t>Design &amp; Plan (lane A)  [P1-L6]</t>
  </si>
  <si>
    <t>Window = drawn slide 3 '5 weeks' design bar = weeks 1-5. Role/scope from spec_cost_model P1-L6: 'Project manager - mobilisation, delivery plan, procurement specification and coordination', 1 FTE.</t>
  </si>
  <si>
    <t>G-P1-L6-s1</t>
  </si>
  <si>
    <t xml:space="preserve">    • Architecture Plan &amp; Mobilisations</t>
  </si>
  <si>
    <t>Slide 3 item 'Architecture Plan &amp; Mobilisations' (x=0.70, numbered 1) is drawn at the head of lane A - week 1 at parent start.</t>
  </si>
  <si>
    <t>G-P1-L6-s2</t>
  </si>
  <si>
    <t xml:space="preserve">    • Coordinate workshop chain and track KDD decisions</t>
  </si>
  <si>
    <t>Coordination scope from spec_cost_model P1-L6 desc 'procurement specification and coordination' across the slide-3 workshop chips (drawn weeks 1-3 stagger); the coordinating activity itself has no drawn bar - position is judgement.</t>
  </si>
  <si>
    <t>G-P1-L6-s3</t>
  </si>
  <si>
    <t xml:space="preserve">    • Procurement specification (feeds the lane-B 'Procurement of desired tech stack' bar)</t>
  </si>
  <si>
    <t>Slide 5 named doc 'Procurement specification'; the lane-B bar 'Procurement of desired tech stack' is drawn from x=3.10 (~week 3 of the design bar), so the spec is placed alongside it - exact position is judgement.</t>
  </si>
  <si>
    <t>G-P1-L6-s4</t>
  </si>
  <si>
    <t xml:space="preserve">    • Delivery plan</t>
  </si>
  <si>
    <t>Slide 5 named doc 'Delivery plan'. Position is judgement: consolidates workshop/KDD outcomes at the phase tail before 'Design phase complete'.</t>
  </si>
  <si>
    <t>G-P1-L7</t>
  </si>
  <si>
    <t>Design &amp; Plan (lane A)  [P1-L7]</t>
  </si>
  <si>
    <t>Window = drawn slide 3 '5 weeks' design bar = weeks 1-5. Role/scope from spec_cost_model P1-L7: 'HCL architecture/product SME input to design workshops (UnO/TX/Unica/CDP sizing and prerequisites)', 0.6 FTE, side HCL.</t>
  </si>
  <si>
    <t>G-P1-L7-s1</t>
  </si>
  <si>
    <t xml:space="preserve">    • HCL SME attendance at Arch Workshop Kick-off</t>
  </si>
  <si>
    <t>Slide 3 chip 'Arch Workshop Kick-off' (x=1.40), first in the drawn stagger; HCL input scope from spec_cost_model P1-L7 desc 'input to design workshops'.</t>
  </si>
  <si>
    <t>G-P1-L7-s2</t>
  </si>
  <si>
    <t xml:space="preserve">    • UnO/TX/Unica/CDP sizing and prerequisites input to Arch Workshop Sizing</t>
  </si>
  <si>
    <t>Slide 3 chip 'Arch Workshop Sizing' (x=1.65), second in the drawn stagger; product scope quoted from spec_cost_model P1-L7 desc 'UnO/TX/Unica/CDP sizing and prerequisites'. The build phase is 'To be validated based on Arch workshop' (F14) - this input is what the validation hangs on.</t>
  </si>
  <si>
    <t>G-P1-L7-s3</t>
  </si>
  <si>
    <t xml:space="preserve">    • HCL product input to Cyber Sec / Identity Access Mgmt / Data Mgmt workshops</t>
  </si>
  <si>
    <t>Slide 3 chips 'Cyber Sec Workshop' (x=1.90), 'Identity Access Mgmt Workshop' (x=2.01), 'Data Mgmt  Workshop' (x=2.31) - drawn mid-stagger after the sizing workshop.</t>
  </si>
  <si>
    <t>G-P1-L7-s4</t>
  </si>
  <si>
    <t xml:space="preserve">    • Product prerequisite validation input to physical sizing and KDD papers</t>
  </si>
  <si>
    <t>Scope from spec_cost_model P1-L7 desc ('sizing and prerequisites') supporting the slide-5 docs 'Physical sizing of infrastructure' and 'KDDs documented / agreed'; tail-of-phase position is judgement - no drawn bar for HCL input.</t>
  </si>
  <si>
    <t>G-P1-PROC</t>
  </si>
  <si>
    <t>Decisions &amp; procurement (lane B)</t>
  </si>
  <si>
    <t>Slide 3 lane B 'Decisions &amp; procurement' (label x=0.67) is drawn inside the P1 window: four KDD chips stacked at the lane start (x=1.37-1.40) plus 'Arch decisions for DRG / ARG' (x=0.53), then the 'Procurement of desired tech stack' bar drawn x=3.10 w=1.31 - per F10 geometry 'roughly a 2.5-2.7 week allowance', ending at the phase boundary. Window = weeks 1-5 in gantt_timeline week numbers; the drawn procurement portion is the final ~2.5 wk. F10 (MAJOR): architect 18 Jul 2026 - 'Procurrent of commercial components would take longer than 2 weeks' - and the licence items P1-L8/P1-L9 are absent from the drawn lane.</t>
  </si>
  <si>
    <t>G-P1-PROC-s1</t>
  </si>
  <si>
    <t xml:space="preserve">    • Agree KDD: TCO AKS v ARO</t>
  </si>
  <si>
    <t>Slide 3 lane-B chip 'KDD: TCO AKS v ARO' (x=1.40, numbered 1) drawn at the lane start - decision window runs from week 1 ahead of the procurement bar (drawn from x=3.10).</t>
  </si>
  <si>
    <t>G-P1-PROC-s2</t>
  </si>
  <si>
    <t xml:space="preserve">    • Agree KDD: Vol of Environments</t>
  </si>
  <si>
    <t>Slide 3 lane-B chip 'KDD: Vol of Environments' (x=1.39, numbered 2) drawn stacked at the lane start alongside the other KDD chips - same drawn decision window.</t>
  </si>
  <si>
    <t>G-P1-PROC-s3</t>
  </si>
  <si>
    <t xml:space="preserve">    • Agree KDD: Hybrid Tech Stack</t>
  </si>
  <si>
    <t>Slide 3 lane-B chip 'KDD: Hybrid Tech Stack' (x=1.39, numbered 3) drawn stacked at the lane start - same drawn decision window.</t>
  </si>
  <si>
    <t>G-P1-PROC-s4</t>
  </si>
  <si>
    <t xml:space="preserve">    • Agree Single Cluster vs Multi Cluster deployment</t>
  </si>
  <si>
    <t>Slide 3 lane-B chip 'Single Cluster Vs Multi Cluster deployment' (x=1.37, numbered 4) drawn stacked at the lane start - same drawn decision window.</t>
  </si>
  <si>
    <t>G-P1-PROC-s5</t>
  </si>
  <si>
    <t xml:space="preserve">    • Take architecture decisions through DRG / ARG</t>
  </si>
  <si>
    <t>Slide 3 lane-B item 'Arch decisions for DRG / ARG' (x=0.53) drawn at the head of the lane spanning the KDD chain; governance runs with the KDD decisions ahead of procurement.</t>
  </si>
  <si>
    <t>G-P1-PROC-s6</t>
  </si>
  <si>
    <t xml:space="preserve">    • Procurement of desired tech stack</t>
  </si>
  <si>
    <t>G-P1-PROC-s1, G-P1-PROC-s3, G-P1-PROC-s4</t>
  </si>
  <si>
    <t>Slide 3 lane-B bar 'Procurement of desired tech stack' drawn x=3.10 w=1.31 - per F10 'roughly a 2.5-2.7 week allowance', starting ~week 3 of the design bar and running to the phase boundary (clamped to the parent weeks 1-5 window). F10: architect says procurement of commercial components 'would take longer than 2 weeks'.</t>
  </si>
  <si>
    <t>G-P1-PROC-s7</t>
  </si>
  <si>
    <t xml:space="preserve">    • P1-L8: procure Oracle 19 licence (mandatory for Unica+ MaxAI CDM) - folded into the drawn procurement window</t>
  </si>
  <si>
    <t>P1-L8 in spec_cost_model: 'Oracle 19 licence (mandatory for Unica+ MaxAI CDM) - procurement item, price not shared', RATE_MISSING at GBP 0; its basis notes it is 'absent from POAP Decisions &amp; procurement lane (F10)'. Not drawn anywhere on slide 3, so its position inside the ~2.5 wk drawn procurement window is judgement.</t>
  </si>
  <si>
    <t>G-P1-PROC-s8</t>
  </si>
  <si>
    <t xml:space="preserve">    • P1-L9: procure Aerospike edition/licence (CDP caching, V6.3.0.35 disclosed, edition/licence unstated) - folded into the drawn procurement window</t>
  </si>
  <si>
    <t>P1-L9 in spec_cost_model: 'Aerospike edition/licence (CDP caching, V6.3.0.35 disclosed, edition/licence unstated) - procurement item', RATE_MISSING at GBP 0; its basis notes 'absent from POAP procurement lane (F10)'. Not drawn on slide 3, so its position inside the drawn procurement window is judgement.</t>
  </si>
  <si>
    <t>G-P2-L1</t>
  </si>
  <si>
    <t>Azure foundations  [P2-L1]</t>
  </si>
  <si>
    <t>Slide 3 build item 1 bar x=4.55 w=2.22: 'Provision Azure Foundations | Env Segregation | Networking | Subscriptions | Private DNS | VPN Tunnel Connectivity &amp; workspaces'. Drawn from phase start; width 2.22 of the 4.31 full-phase bar = ~5.2 wk -&gt; weeks 6-10 (F17 evidence corroborates: item 1 'drawn completing in roughly the first half of the build'). Cost line P2-L1 (2 FTE squad-shape ASSUMPTION).</t>
  </si>
  <si>
    <t>G-P2-L1-s1</t>
  </si>
  <si>
    <t xml:space="preserve">    • Stand up subscriptions and environment segregation (landing zones per env)</t>
  </si>
  <si>
    <t>P2-L1 desc sub-items 'env segregation' + 'subscriptions' (slide 3 item 1: 'Env Segregation ... Subscriptions'); slide 7 'Environment Configuration Document | Defines core Azure foundation'. First step: every other P2 resource deploys into these subscriptions.</t>
  </si>
  <si>
    <t>G-P2-L1-s2</t>
  </si>
  <si>
    <t xml:space="preserve">    • Networking build - VNets, subnets, peering across the segregated environments</t>
  </si>
  <si>
    <t>P2-L1 desc sub-item 'networking' (slide 3 item 1 'Networking'). Positioned after subscriptions exist; note F17 tension - network segmentation decisions sit in the cyber design (item 4) drawn in parallel, so layout rework risk is live.</t>
  </si>
  <si>
    <t>G-P2-L1-s3</t>
  </si>
  <si>
    <t xml:space="preserve">    • Private DNS zones and workspaces provisioning</t>
  </si>
  <si>
    <t>P2-L1 desc sub-items 'Private DNS' + 'workspaces' (slide 3 item 1 'Private DNS ... &amp; workspaces'). Positioned after core networking - privatelink DNS zones bind to the VNet layout.</t>
  </si>
  <si>
    <t>G-P2-L1-s4</t>
  </si>
  <si>
    <t xml:space="preserve">    • VPN tunnel connectivity established; write up Environment build specification</t>
  </si>
  <si>
    <t>P2-L1 desc sub-item 'VPN tunnel connectivity' (slide 3 item 1 'VPN Tunnel Connectivity'); slide 6 build doc 'Environment build specification' closes out the foundations bar (drawn ending ~week 10).</t>
  </si>
  <si>
    <t>G-P2-L2</t>
  </si>
  <si>
    <t>AKS platform build &amp; harden  [P2-L2]</t>
  </si>
  <si>
    <t>Slide 3 build item 2 bar x=5.52 w=2.33: 'Build and harden AKS platform | AKS cluster operational processes | node pools | RBAC | Entra ID integration | backup strategy'. Offset (5.52-4.55)=0.97 in = ~2.25 wk after phase start -&gt; starts week 8; width 2.33 = ~5.4 wk -&gt; weeks 8-12. Cost line P2-L2 (1 FTE ASSUMPTION). Sequencing: foundations (P2-L1) before AKS.</t>
  </si>
  <si>
    <t>G-P2-L2-s1</t>
  </si>
  <si>
    <t xml:space="preserve">    • Provision AKS cluster and node pools into the foundations networking</t>
  </si>
  <si>
    <t>P2-L2 desc sub-item 'node pools' (slide 3 item 2 'node pools'); slide 7 'Kubernetes Cluster Configuration Document | Define platform hosting setup'. Starts at the drawn item-2 bar start (x=5.52), once subscriptions/networking exist.</t>
  </si>
  <si>
    <t>G-P2-L2-s2</t>
  </si>
  <si>
    <t xml:space="preserve">    • RBAC and Entra ID integration onto the cluster</t>
  </si>
  <si>
    <t>P2-L2 desc sub-items 'RBAC | Entra ID integration' (slide 3 item 2 same phrases); slide 7 'Identity &amp; Authentication Configuration Document | Secures user &amp; system access'. Identity wiring follows cluster existence.</t>
  </si>
  <si>
    <t>G-P2-L2-s3</t>
  </si>
  <si>
    <t xml:space="preserve">    • Harden cluster and stand up AKS cluster operational processes</t>
  </si>
  <si>
    <t>P2-L2 desc sub-item 'AKS cluster operational processes' + bar title 'Build and harden AKS platform' (slide 3 item 2); slide 6 build doc 'Operational Runbook'. Hardening/ops maturity is the bulk of the bar after provisioning.</t>
  </si>
  <si>
    <t>G-P2-L2-s4</t>
  </si>
  <si>
    <t xml:space="preserve">    • Implement and document cluster backup strategy</t>
  </si>
  <si>
    <t>P2-L2 desc sub-item 'backup strategy' (slide 3 item 2 'backup strategy'); slide 6 build doc 'Backup &amp; Disaster Recovery Design'. Closes the drawn item-2 bar (~week 12).</t>
  </si>
  <si>
    <t>G-P2-L3</t>
  </si>
  <si>
    <t>Shared platform services  [P2-L3]</t>
  </si>
  <si>
    <t>Slide 3 build item 3 bar x=6.48 w=2.39: 'Deploy shared platform services | PostgreSQL | SQL Server | MongoDB/Cosmos | Kafka | Redis | monitoring stack | ingress controllers and cert management'. Offset (6.48-4.55)=1.93 in = ~4.5 wk -&gt; starts week 10; width 2.39 = ~5.5 wk -&gt; weeks 10-15 (clipped at phase end). Cost line P2-L3 (1.5 FTE ASSUMPTION, 8 named services). Sequencing: AKS (P2-L2) before shared services.</t>
  </si>
  <si>
    <t>G-P2-L3-s1</t>
  </si>
  <si>
    <t xml:space="preserve">    • Deploy database services - PostgreSQL, SQL Server, MongoDB/Cosmos</t>
  </si>
  <si>
    <t>P2-L3 desc sub-items 'PostgreSQL | SQL Server | MongoDB/Cosmos' (slide 3 item 3 same phrases). Data stores first - downstream services and the HCL install both consume them.</t>
  </si>
  <si>
    <t>G-P2-L3-s2</t>
  </si>
  <si>
    <t xml:space="preserve">    • Deploy messaging and cache - Kafka, Redis</t>
  </si>
  <si>
    <t>P2-L3 desc sub-items 'Kafka | Redis' (slide 3 item 3 same phrases). Note P2-L17 basis: HCL's own matrix marks Event Hubs = N for UnO/CDP/Unica+ - the Kafka endpoint may be forced self-hosted on the cluster.</t>
  </si>
  <si>
    <t>G-P2-L3-s3</t>
  </si>
  <si>
    <t xml:space="preserve">    • Ingress controllers and certificate management</t>
  </si>
  <si>
    <t>P2-L3 desc sub-item 'ingress controllers and cert management' (slide 3 item 3 same phrase); slide 6 build doc 'Secrets &amp; certificate register'.</t>
  </si>
  <si>
    <t>G-P2-L3-s4</t>
  </si>
  <si>
    <t xml:space="preserve">    • Deploy monitoring stack across the shared services</t>
  </si>
  <si>
    <t>P2-L3 desc sub-item 'monitoring stack' (slide 3 item 3 'monitoring stack'); slide 6 build doc 'Monitoring &amp; Logging Design'. Late-bar position: monitoring wraps the services already deployed.</t>
  </si>
  <si>
    <t>G-P2-L3-s5</t>
  </si>
  <si>
    <t xml:space="preserve">    • Service integration wiring and configuration documentation</t>
  </si>
  <si>
    <t>Slide 6 build docs 'Integration specification' + 'Configuration document*'; slide 7 'Integration Configuration Document | Enables connectivity'. Closes the item-3 bar at phase end, ready for the HCL install (which follows sequentially, F2).</t>
  </si>
  <si>
    <t>G-P2-L4</t>
  </si>
  <si>
    <t>Cyber security design  [P2-L4]</t>
  </si>
  <si>
    <t>Slide 3 build item 4 bar x=4.55 w=4.32: 'Complete Cyber Security design | Managed identities | Key Vault integration | secrets management | network segmentation | WAF | API security | privileged access controls' - drawn across the FULL 10-week build (same extent as the 'SEGRO 10 weeks' bar w=4.31) -&gt; weeks 6-15. F17: architect view is this design should substantially PRECEDE foundations/networking ('c4 needs doing before ... c1,2,3, to avoid rework on the network layout'); the drawn geometry does the opposite. Cost line P2-L4 (0.5 FTE ASSUMPTION).</t>
  </si>
  <si>
    <t>G-P2-L4-s1</t>
  </si>
  <si>
    <t xml:space="preserve">    • Network segmentation design</t>
  </si>
  <si>
    <t>P2-L4 desc sub-item 'network segmentation' (slide 3 item 4 'network segmentation'). Placed first within the drawn full-span bar because it feeds the foundations networking build (weeks 7-8) - the F17 rework risk is smallest if this lands earliest.</t>
  </si>
  <si>
    <t>G-P2-L4-s2</t>
  </si>
  <si>
    <t xml:space="preserve">    • Managed identities and privileged access controls design</t>
  </si>
  <si>
    <t>P2-L4 desc sub-items 'managed identities' + 'privileged access controls' (slide 3 item 4 'Managed identities ... privileged access controls'); slide 7 'Identity &amp; Authentication Configuration Document | Secures user &amp; system access'. Aligned with the AKS RBAC/Entra ID step (week 9).</t>
  </si>
  <si>
    <t>G-P2-L4-s3</t>
  </si>
  <si>
    <t xml:space="preserve">    • Key Vault integration and secrets management design</t>
  </si>
  <si>
    <t>P2-L4 desc sub-items 'Key Vault integration' + 'secrets management' (slide 3 item 4 same phrases); slide 7 'Secrets Management Configuration Document | Enables connectivity to systems' and 'Operational Support Configuration Document | Protects credentials &amp; certificates'; slide 6 'Secrets &amp; certificate register'.</t>
  </si>
  <si>
    <t>G-P2-L4-s4</t>
  </si>
  <si>
    <t xml:space="preserve">    • WAF and API security design</t>
  </si>
  <si>
    <t>P2-L4 desc sub-items 'WAF' + 'API security' (slide 3 item 4 'WAF | API security'). Aligned with gateway commissioning; SEGRO principle - all integration via APIM with OAuth (P2-L21 basis).</t>
  </si>
  <si>
    <t>G-P2-L4-s5</t>
  </si>
  <si>
    <t xml:space="preserve">    • Consolidate and sign off the Security &amp; access design document</t>
  </si>
  <si>
    <t>Slide 6 build doc 'Security &amp; access design'; bar title 'Complete Cyber Security design' (slide 3 item 4) - completion lands at the drawn bar end (week 15).</t>
  </si>
  <si>
    <t>G-P2-L5</t>
  </si>
  <si>
    <t>Data mgmt &amp; governance principles  [P2-L5]</t>
  </si>
  <si>
    <t>Slide 3 build item 6 bar x=4.55 w=6.23: 'Data Mgmt and Governance Principles: Data classification | Data ownership | Data retention policies | Data lineage | Master data requirements | Information architecture'. Drawn from phase start and OVERHANGING the SEGRO 10-wk bar (w=6.23 vs 4.31 - it extends ~4.5 wk into the HCL build window); clipped here to the P2 window weeks 6-15 owned by cost line P2-L5 (0.5 FTE ASSUMPTION). The overhang belongs to the P3 fragment if carried.</t>
  </si>
  <si>
    <t>G-P2-L5-s1</t>
  </si>
  <si>
    <t xml:space="preserve">    • Data classification scheme</t>
  </si>
  <si>
    <t>P2-L5 desc sub-item 'classification' (slide 3 item 6 'Data classification'). First in the governance chain - classification drives retention and ownership decisions.</t>
  </si>
  <si>
    <t>G-P2-L5-s2</t>
  </si>
  <si>
    <t xml:space="preserve">    • Data ownership model</t>
  </si>
  <si>
    <t>P2-L5 desc sub-item 'ownership' (slide 3 item 6 'Data ownership').</t>
  </si>
  <si>
    <t>G-P2-L5-s3</t>
  </si>
  <si>
    <t xml:space="preserve">    • Data retention policies</t>
  </si>
  <si>
    <t>P2-L5 desc sub-item 'retention' (slide 3 item 6 'Data retention policies'). Follows classification/ownership; informs the database services being deployed weeks 10-11 (G-P2-L3-s1).</t>
  </si>
  <si>
    <t>G-P2-L5-s4</t>
  </si>
  <si>
    <t xml:space="preserve">    • Data lineage and master data requirements</t>
  </si>
  <si>
    <t>P2-L5 desc sub-items 'lineage' + 'master data' (slide 3 item 6 'Data lineage | Master data requirements').</t>
  </si>
  <si>
    <t>G-P2-L5-s5</t>
  </si>
  <si>
    <t xml:space="preserve">    • Information architecture consolidation; feed the Updated Systems matrix</t>
  </si>
  <si>
    <t>P2-L5 desc sub-item 'information architecture' (slide 3 item 6 'Information architecture'); slide 6 build docs 'Updated Systems matrix' + 'Updated app landscape' are the natural landing artifacts. Closes the P2-owned portion of the drawn bar.</t>
  </si>
  <si>
    <t>G-P2-L6</t>
  </si>
  <si>
    <t>Agent eval harness &amp; observability (FND-4)  [P2-L6]</t>
  </si>
  <si>
    <t>NOT drawn anywhere on the POAP - F13: 'No agent evaluation harness / AI observability workstream anywhere in the POAP' (the HCL bar's generic 'observability integration' is the only adjacent text). Window is the cost model's implied shape: platform.json FND-4 = 20 pd over 9 wk (0.44 FTE), placed weeks 7-15 so the harness completes with the build and gates the first pilots. Quantity source itself labels the task ASSUMPTION.</t>
  </si>
  <si>
    <t>G-P2-L6-s1</t>
  </si>
  <si>
    <t xml:space="preserve">    • Define golden sets for agent output evaluation</t>
  </si>
  <si>
    <t>P2-L6 desc sub-item 'golden sets' (spec_cost_model: 'golden sets, scored promotion gates, run-trace logging, eval dashboard (absent from POAP, F13)'). Design-first step, no infra dependency.</t>
  </si>
  <si>
    <t>G-P2-L6-s2</t>
  </si>
  <si>
    <t xml:space="preserve">    • Build scored promotion gates</t>
  </si>
  <si>
    <t>P2-L6 desc sub-item 'scored promotion gates' (spec_cost_model P2-L6). F13: SEGRO's counter-proposal makes the eval-harness baseline 'a promotion gate for the first pilot'.</t>
  </si>
  <si>
    <t>G-P2-L6-s3</t>
  </si>
  <si>
    <t xml:space="preserve">    • Integrate run-trace logging into the platform observability stack</t>
  </si>
  <si>
    <t>P2-L6 desc sub-item 'run-trace logging' (spec_cost_model P2-L6); positioned after the monitoring stack starts landing (G-P2-L3) - the only drawn adjacency is the HCL bar's 'observability integration' (F13 evidence).</t>
  </si>
  <si>
    <t>G-P2-L6-s4</t>
  </si>
  <si>
    <t xml:space="preserve">    • Stand up eval dashboard and run baseline evaluations</t>
  </si>
  <si>
    <t>P2-L6 desc sub-item 'eval dashboard' (spec_cost_model P2-L6). Completes at week 15 so the baseline exists before the HCL install/test phases consume it.</t>
  </si>
  <si>
    <t>G-P2-L7</t>
  </si>
  <si>
    <t>Project/delivery management  [P2-L7]</t>
  </si>
  <si>
    <t>Spans the drawn 'SEGRO 10 weeks' bar (slide 3, x=4.55 w=4.31) end-to-end - the PM allocation itself is the cost model's ASSUMPTION ('1 PM on a 6-workstream build phase', P2-L7); the window is the drawn phase bar. The bar carries the annotation 'To be validated based on Arch workshop' (F14 context).</t>
  </si>
  <si>
    <t>G-P2-L7-s1</t>
  </si>
  <si>
    <t xml:space="preserve">    • Mobilise the build squad and baseline the 10-week plan</t>
  </si>
  <si>
    <t>Slide 3 'SEGRO 10 weeks' bar start + annotation 'To be validated based on Arch workshop' (x=6.85) - the plan enters the build unvalidated, so baselining is the first PM act.</t>
  </si>
  <si>
    <t>G-P2-L7-s2</t>
  </si>
  <si>
    <t xml:space="preserve">    • Coordinate build workstreams 1-6 and track build-document production</t>
  </si>
  <si>
    <t>Slide 3 numbered build items 1-6 within lane C; slide 6 build docs list ('Environment build specification ... Operational Runbook') is the deliverable register the PM tracks.</t>
  </si>
  <si>
    <t>G-P2-L7-s3</t>
  </si>
  <si>
    <t xml:space="preserve">    • Progress/RAID management through the back half of the build; prepare HCL install handover</t>
  </si>
  <si>
    <t>Slide 3: 'HCL 6 weeks' bar (x=8.91) starts immediately after the SEGRO bar ends (x=8.86) - drawn strictly sequential (F2 evidence), so handover readiness is the PM focus in the closing weeks.</t>
  </si>
  <si>
    <t>G-P2-L7-s4</t>
  </si>
  <si>
    <t xml:space="preserve">    • Close the SEGRO build phase and hand over to the HCL install</t>
  </si>
  <si>
    <t>End of the drawn 'SEGRO 10 weeks' bar; slide 6 build doc 'Service transition pack' (listed twice on slide 6) is the closing handover artifact.</t>
  </si>
  <si>
    <t>G-P2-L8</t>
  </si>
  <si>
    <t>Pen-test booking &amp; remediation window  [P2-L8]</t>
  </si>
  <si>
    <t>NOT drawn on the POAP - F7: booking 'is not shown'; P2-L8 basis: "F7 recommendation: add a 'book pen test' task in October; POAP shows none". Window ASSUMPTION per F7 recommendation ('Add a book pen test task in October'): October 2026 = weeks 13-16 (gantt_timeline month_headers), placed weeks 13-15 inside P2. 2 days procurement admin (cost model); F7: CREST firms quote 4-8 wk booking lead times and the drawn 'Pen Testing' sits early Dec (x=11.30).</t>
  </si>
  <si>
    <t>G-P2-L8-s1</t>
  </si>
  <si>
    <t xml:space="preserve">    • Scope the CREST pen test (cloud platform scope) and issue RFQ</t>
  </si>
  <si>
    <t>F7: 'Pen testing is inside the 4-week December window' and slide 9 requires a 'Penetration Test Report' - scope must be fixed before booking. Early-October start per F7 'bookable only if procurement of the pen test starts by ~October'.</t>
  </si>
  <si>
    <t>G-P2-L8-s2</t>
  </si>
  <si>
    <t xml:space="preserve">    • Confirm the booking for the December test window</t>
  </si>
  <si>
    <t>F7: 'CREST-accredited test firms commonly quote multi-week booking lead times (4-8 weeks as a planning assumption)' - booking mid-October + 4-8 wk lead lands the engagement in the drawn early-Dec 'Pen Testing' slot (x=11.30, P4 weeks 22-25).</t>
  </si>
  <si>
    <t>G-P2-L8-s3</t>
  </si>
  <si>
    <t xml:space="preserve">    • Reserve a named remediation + retest window in early January before go/no-go</t>
  </si>
  <si>
    <t>F7 recommendation: 'hold a named remediation window in early Jan before go/no-go' ('Go / No Go decision' drawn x=13.99, mid-Jan). Scheduling only - execution is P5-L4 in the deploy fragment.</t>
  </si>
  <si>
    <t>G-P2-L27</t>
  </si>
  <si>
    <t>DevSecOps automation  [P2-L27]</t>
  </si>
  <si>
    <t>NO drawn bar - that absence IS F19: 'No DevSecOps automation workstream exists anywhere in the POAP'; slide 7 names a 'CI/CD Configuration Document | Automates build &amp; deploy' but 'no build task produces the pipeline that document would describe'. Window is the cost model's implied shape (judgement): P2-L27 = 0.6 FTE x 10 wk = 30 pd across the full build -&gt; weeks 6-15, starting with foundations so IaC codifies them from day one. Trigger: senior architect review 18 Jul 2026.</t>
  </si>
  <si>
    <t>G-P2-L27-s1</t>
  </si>
  <si>
    <t xml:space="preserve">    • IaC pipelines for the Azure foundations</t>
  </si>
  <si>
    <t>P2-L27 desc sub-item 'IaC pipelines' (spec_cost_model: 'IaC pipelines, policy-as-code, image scanning, CI/CD for infra + agent deployment'). Placed alongside G-P2-L1 so foundations are provisioned as code rather than hand-built (F19: 'hand-built environments and manual deploys plausibly move cost, quality and go-live risk materially').</t>
  </si>
  <si>
    <t>G-P2-L27-s2</t>
  </si>
  <si>
    <t xml:space="preserve">    • Policy-as-code guardrails across subscriptions and the cluster</t>
  </si>
  <si>
    <t>P2-L27 desc sub-item 'policy-as-code' (spec_cost_model P2-L27). Follows the IaC baseline; aligned with the AKS build start (week 8).</t>
  </si>
  <si>
    <t>G-P2-L27-s3</t>
  </si>
  <si>
    <t xml:space="preserve">    • Image scanning and container registry hygiene</t>
  </si>
  <si>
    <t>P2-L27 desc sub-item 'image scanning' (spec_cost_model P2-L27). Positioned as workloads start landing on the cluster (shared services deploy from week 10).</t>
  </si>
  <si>
    <t>G-P2-L27-s4</t>
  </si>
  <si>
    <t xml:space="preserve">    • CI/CD pipelines for infra and agent deployment</t>
  </si>
  <si>
    <t>P2-L27 desc sub-item 'CI/CD for infra + agent deployment' (spec_cost_model P2-L27); slide 7 'CI/CD Configuration Document | Automates build &amp; deploy' is the deliverable this pipeline work substantiates. Boundary note per P2-L27 basis: this BUILDS the pipelines; P5-L2 executes the deploy-phase cutover.</t>
  </si>
  <si>
    <t>G-P2-L27-s5</t>
  </si>
  <si>
    <t xml:space="preserve">    • Author the CI/CD Configuration Document and hand pipelines to the run team</t>
  </si>
  <si>
    <t>Slide 7 configuration doc: 'CI/CD Configuration Document | Automates build &amp; deploy' - the only CI/CD reference in the whole deck (F19 evidence); the document is written last, describing the pipelines built in s1-s4.</t>
  </si>
  <si>
    <t>G-P2-AZURE</t>
  </si>
  <si>
    <t>Azure services commissioning window  [P2-L9..P2-L26]</t>
  </si>
  <si>
    <t>Grouped commissioning window for the 18 Azure SKU cost lines P2-L9..P2-L26. The SKUs are named on drawn slide-3 build items 1-4 (Private DNS/VPN in item 1; node pools in item 2; PostgreSQL/SQL Server/MongoDB/Cosmos/Kafka/Redis/monitoring in item 3; Key Vault/WAF in item 4), but no consumption bar is drawn - the window and its '50% ramp' ('envs commissioned progressively', P2-L9 basis) are the cost model's ASSUMPTION. Task shows the P2 portion (weeks 6-15) of the longer ~22-wk commissioning ramp; step positions are grouped SKU-family tiles, a sequencing simplification of the progressive ramp.</t>
  </si>
  <si>
    <t>G-P2-AZURE-s1</t>
  </si>
  <si>
    <t xml:space="preserve">    • AKS cluster + node pools commissioned (AKS mgmt fee, D4s_v5 worker pools; ARO branch: D4ds_v5 workers, OpenShift licence uplift, 3x D8s_v5 masters)</t>
  </si>
  <si>
    <t>Covers P2-L9 'AKS cluster management fee (Standard tier)', P2-L10 'AKS worker node pools - D4s_v5 class (M)', P2-L10b 'ARO worker node pools - D4ds_v5 class', P2-L11 'ARO OpenShift worker licence uplift', P2-L12 'ARO control-plane nodes - 3x D8s_v5'. Slide 3 item 2 names 'node pools'. Positioned first: cluster meters start with the foundations so the platform exists before the drawn AKS-hardening bar begins (week 8); ARO lines price the open 'KDD: TCO AKS v ARO' branch (F3 context in P2-L11 basis).</t>
  </si>
  <si>
    <t>G-P2-AZURE-s2</t>
  </si>
  <si>
    <t xml:space="preserve">    • Data services commissioned - PostgreSQL Flexible Server, PostgreSQL storage, Azure SQL Database, Cosmos DB serverless</t>
  </si>
  <si>
    <t>Covers P2-L13 'PostgreSQL Flexible Server GP 4-vCore', P2-L14 'PostgreSQL provisioned storage', P2-L15 'Azure SQL Database GP 4-vCore', P2-L16 'Cosmos DB serverless (MongoDB-API workloads)'. Slide 3 item 3 names 'PostgreSQL | SQL Server | MongoDB/Cosmos'. Positioned ahead of the shared-services deploy bar (weeks 10-15) that configures them.</t>
  </si>
  <si>
    <t>G-P2-AZURE-s3</t>
  </si>
  <si>
    <t xml:space="preserve">    • Messaging + cache commissioned - Event Hubs Standard (Kafka endpoint), Azure Cache for Redis</t>
  </si>
  <si>
    <t>Covers P2-L17 'Event Hubs Standard (Kafka endpoint)', P2-L18 'Azure Cache for Redis Standard C1'. Slide 3 item 3 names 'Kafka | Redis'. Aligned with the drawn shared-services bar start (week 10). P2-L17 is the INDICATIVE Azure-native branch - 'HCL's own matrix marks Event Hubs = N for UnO/CDP/Unica+'. Status ASSUMPTION: the SKU list (text) is sourced from the cost-model line descs, but the commissioning position within the P2 window is a grouped SKU-family sequencing judgement (no consumption bar is drawn).</t>
  </si>
  <si>
    <t>G-P2-AZURE-s4</t>
  </si>
  <si>
    <t xml:space="preserve">    • Gateway + network commissioned - App Gateway WAF_v2 (gateways + capacity units), APIM Standard, VPN Gateway VpnGw1, Private DNS zones</t>
  </si>
  <si>
    <t>Covers P2-L19 'Application Gateway WAF_v2 - fixed gateway fee', P2-L20 'Application Gateway WAF_v2 - capacity units', P2-L21 'API Management Standard unit', P2-L22 'VPN Gateway VpnGw1', P2-L23 'Azure Private DNS zones'. Slide 3 item 1 names 'Private DNS | VPN Tunnel Connectivity' (drawn weeks 6-10) and item 4 names 'WAF | API security' - grouped here as one SKU-family tile aligned with the WAF/API security design step (weeks 12-13); DNS/VPN meters in practice start earlier with foundations.</t>
  </si>
  <si>
    <t>G-P2-AZURE-s5</t>
  </si>
  <si>
    <t xml:space="preserve">    • Observability + security commissioned - Log Analytics ingestion, Key Vault operations, Defender for Cloud</t>
  </si>
  <si>
    <t>Covers P2-L24 'Log Analytics ingestion during build (monitoring stack commissioning)', P2-L25 'Key Vault operations', P2-L26 'Microsoft Defender for Cloud workload protection'. Slide 3 item 3 names 'monitoring stack'; item 4 names 'Key Vault integration'. Positioned with the monitoring-stack deploy step (week 14). P2-L26 is RATE_MISSING at GBP 0 until priced (cost model).</t>
  </si>
  <si>
    <t>G-P3-L1</t>
  </si>
  <si>
    <t>Build - HCL  [P3-L1]</t>
  </si>
  <si>
    <t>Slide 3 'HCL 6 weeks' bar (x=8.91 w=1.87) with text block 'HCL install and configure base | UnO | platform and TX components (DX and Foundry) onto AKS, including: | platform validation, | connectivity and | observability integration' (x=8.91 y=2.35). Drawn strictly sequential after the 'SEGRO 10 weeks' bar (x=4.55 w=4.31, ends x=8.86) - no overlap drawn (F2). Window = P3 weeks 16-21 per gantt_timeline.</t>
  </si>
  <si>
    <t>G-P3-L1-s1</t>
  </si>
  <si>
    <t xml:space="preserve">    • Install and configure base UnO platform onto AKS</t>
  </si>
  <si>
    <t>Slide 3: 'HCL install and configure base | UnO | platform and TX components (DX and Foundry) onto AKS'. Base platform install is the first listed item, so placed at the window start; the POAP draws one undifferentiated 6-wk bar with no task breakdown (F20), so internal sequencing is derived from the listed order. Status ASSUMPTION: the step ORDER follows the slide-3 sub-item sequence, but the week boundaries are a judgement split of a single undifferentiated drawn HCL bar (no per-sub-item durations are drawn).</t>
  </si>
  <si>
    <t>G-P3-L1-s2</t>
  </si>
  <si>
    <t xml:space="preserve">    • Install TX components (DX and Foundry) onto AKS</t>
  </si>
  <si>
    <t>Slide 3: 'platform and TX components (DX and Foundry) onto AKS' - second listed install item, so positioned after the base UnO install within the drawn bar. Status ASSUMPTION: the step ORDER follows the slide-3 sub-item sequence, but the week boundaries are a judgement split of a single undifferentiated drawn HCL bar (no per-sub-item durations are drawn).</t>
  </si>
  <si>
    <t>G-P3-L1-s3</t>
  </si>
  <si>
    <t xml:space="preserve">    • Platform validation of the installed UnO/TX stack</t>
  </si>
  <si>
    <t>Slide 3: 'including: | platform validation' - validation can only follow the install, so positioned after s1/s2 in the drawn window. Status ASSUMPTION: the step ORDER follows the slide-3 sub-item sequence, but the week boundaries are a judgement split of a single undifferentiated drawn HCL bar (no per-sub-item durations are drawn).</t>
  </si>
  <si>
    <t>G-P3-L1-s4</t>
  </si>
  <si>
    <t xml:space="preserve">    • Connectivity configuration to SEGRO platform services</t>
  </si>
  <si>
    <t>Slide 3: 'connectivity' - listed after platform validation in the bar text, so positioned late in the window. Status ASSUMPTION: the step ORDER follows the slide-3 sub-item sequence, but the week boundaries are a judgement split of a single undifferentiated drawn HCL bar (no per-sub-item durations are drawn).</t>
  </si>
  <si>
    <t>G-P3-L1-s5</t>
  </si>
  <si>
    <t xml:space="preserve">    • Observability integration into the SEGRO monitoring stack</t>
  </si>
  <si>
    <t>Slide 3: 'observability integration' - final listed item in the HCL install text, so closes the drawn window at week 21 ('Build phase complete' milestone x=10.89). Status ASSUMPTION: the step ORDER follows the slide-3 sub-item sequence, but the week boundaries are a judgement split of a single undifferentiated drawn HCL bar (no per-sub-item durations are drawn).</t>
  </si>
  <si>
    <t>G-P3-L2</t>
  </si>
  <si>
    <t>Build - HCL  [P3-L2]</t>
  </si>
  <si>
    <t>Slide 3 second HCL text block inside the drawn 'HCL 6 weeks' bar: 'HCL deploy Unica+ &amp; CDP services, configure: | routing, | application gateways, | certificates' (x=8.91 y=3.45, same x-extent as the bar). Cost line P3-L2. Window = P3 weeks 16-21 per gantt_timeline.</t>
  </si>
  <si>
    <t>G-P3-L2-s1</t>
  </si>
  <si>
    <t xml:space="preserve">    • Deploy Unica+ services</t>
  </si>
  <si>
    <t>Slide 3: 'HCL deploy Unica+ &amp; CDP services' - Unica+ named first; deployment of the services precedes their configuration items, so placed at the window start. The bar itself has no task breakdown (F20). Status ASSUMPTION: the step ORDER follows the slide-3 sub-item sequence, but the week boundaries are a judgement split of a single undifferentiated drawn HCL bar (no per-sub-item durations are drawn).</t>
  </si>
  <si>
    <t>G-P3-L2-s2</t>
  </si>
  <si>
    <t xml:space="preserve">    • Deploy CDP services</t>
  </si>
  <si>
    <t>Slide 3: 'HCL deploy Unica+ &amp; CDP services' - CDP named second in the deploy pair; positioned after the Unica+ deploy within the drawn window. Status ASSUMPTION: the step ORDER follows the slide-3 sub-item sequence, but the week boundaries are a judgement split of a single undifferentiated drawn HCL bar (no per-sub-item durations are drawn).</t>
  </si>
  <si>
    <t>G-P3-L2-s3</t>
  </si>
  <si>
    <t xml:space="preserve">    • Configure routing</t>
  </si>
  <si>
    <t>Slide 3: 'configure: | routing' - first listed configure item, so follows the service deploys. Status ASSUMPTION: the step ORDER follows the slide-3 sub-item sequence, but the week boundaries are a judgement split of a single undifferentiated drawn HCL bar (no per-sub-item durations are drawn).</t>
  </si>
  <si>
    <t>G-P3-L2-s4</t>
  </si>
  <si>
    <t xml:space="preserve">    • Configure application gateways</t>
  </si>
  <si>
    <t>Slide 3: 'configure: ... | application gateways' - second listed configure item in the drawn text. Status ASSUMPTION: the step ORDER follows the slide-3 sub-item sequence, but the week boundaries are a judgement split of a single undifferentiated drawn HCL bar (no per-sub-item durations are drawn).</t>
  </si>
  <si>
    <t>G-P3-L2-s5</t>
  </si>
  <si>
    <t xml:space="preserve">    • Configure certificates and confirm end-to-end service exposure</t>
  </si>
  <si>
    <t>Slide 3: 'configure: ... | certificates' - final listed configure item, closing the drawn window at week 21. Status ASSUMPTION: the step ORDER follows the slide-3 sub-item sequence, but the week boundaries are a judgement split of a single undifferentiated drawn HCL bar (no per-sub-item durations are drawn).</t>
  </si>
  <si>
    <t>G-P3-L3</t>
  </si>
  <si>
    <t>Build - HCL  [P3-L3]</t>
  </si>
  <si>
    <t>Cost line P3-L3: 'SEGRO platform/security engineers supporting HCL install (access, networking, reviews)' - support is co-extensive with the drawn 'HCL 6 weeks' bar (slide 3 x=8.91 w=1.87), a vendor install on a SEGRO-run cluster (cost-line basis: 'vendor installs on a SEGRO-run cluster always consume platform-team time (RBAC, network paths, secrets)'). Window = the drawn P3 weeks 16-21. Status ASSUMPTION: this SEGRO support line has NO bar of its own on the POAP - it is placed co-extensive with the drawn HCL/Testing bar by judgement (the support is real and costed, but its window is inferred, not drawn).</t>
  </si>
  <si>
    <t>G-P3-L3-s1</t>
  </si>
  <si>
    <t xml:space="preserve">    • Grant HCL access - RBAC, identities, secrets paths</t>
  </si>
  <si>
    <t>Cost line P3-L3 '(access, ...)' and its basis 'RBAC, network paths, secrets'; slide 3 SEGRO build item 2 built 'RBAC | Entra ID integration'. Access must exist before HCL can install, so placed at the window start. Status ASSUMPTION: step position is a judgement split within the inferred support window (no per-step boundary is drawn).</t>
  </si>
  <si>
    <t>G-P3-L3-s2</t>
  </si>
  <si>
    <t xml:space="preserve">    • Open network paths and firewall rules for the HCL install</t>
  </si>
  <si>
    <t>Cost line P3-L3 '(... networking ...)' and basis 'network paths'; positioned early because the slide-3 install text needs 'connectivity' to SEGRO services. Status ASSUMPTION: step position is a judgement split within the inferred support window (no per-step boundary is drawn).</t>
  </si>
  <si>
    <t>G-P3-L3-s3</t>
  </si>
  <si>
    <t xml:space="preserve">    • Ongoing platform support during the UnO/TX and Unica+/CDP installs</t>
  </si>
  <si>
    <t>Cost line P3-L3 desc 'SEGRO platform/security engineers supporting HCL install' - continuous support through the middle of the drawn HCL bar while both install blocks run. Status ASSUMPTION: step position is a judgement split within the inferred support window (no per-step boundary is drawn).</t>
  </si>
  <si>
    <t>G-P3-L3-s4</t>
  </si>
  <si>
    <t xml:space="preserve">    • Security and configuration reviews of HCL deployments</t>
  </si>
  <si>
    <t>Cost line P3-L3 '(... reviews)' - reviews follow the deployed components, so positioned late in the window. Status ASSUMPTION: step position is a judgement split within the inferred support window (no per-step boundary is drawn).</t>
  </si>
  <si>
    <t>G-P3-L3-s5</t>
  </si>
  <si>
    <t xml:space="preserve">    • Validate observability integration into the SEGRO monitoring stack at handover to test</t>
  </si>
  <si>
    <t>Slide 3 HCL install text ends 'observability integration'; slide 3 SEGRO build item 3 deployed the 'monitoring stack' - SEGRO-side validation closes the window at 'Build phase complete' (x=10.89). Status ASSUMPTION: step position is a judgement split within the inferred support window (no per-step boundary is drawn).</t>
  </si>
  <si>
    <t>G-P3-LIC</t>
  </si>
  <si>
    <t>Build - HCL (licences &amp; procurement)</t>
  </si>
  <si>
    <t>Folds the one-off/licence cost lines P3-L4..P3-L8 (HCL UnO / Unica+ / CDP / DX licences, all RATE_MISSING at GBP 0 'until contract shared', plus the MinIO EOL remediation package). None of these is drawn on the POAP - licence/procurement items are absent from the Decisions &amp; procurement lane (F10) - so the window is an ASSUMPTION aligned to the P3 phase (weeks 16-21) whose install these licences must precede or accompany. Steps are tiled nominally; in practice the commercial actions run in parallel.</t>
  </si>
  <si>
    <t>G-P3-LIC-s1</t>
  </si>
  <si>
    <t xml:space="preserve">    • Execute HCL UnO platform licence/subscription - initial year (P3-L4)</t>
  </si>
  <si>
    <t>P3-L4: 'HCL UnO platform licence/subscription - initial year', RATE_MISSING - 'HCL contract pricing not shared with SEGRO'. Placed at the window start because the UnO licence gates the base UnO install (G-P3-L1-s1); no procurement bar is drawn for it (F10). Position is judgement.</t>
  </si>
  <si>
    <t>G-P3-LIC-s2</t>
  </si>
  <si>
    <t xml:space="preserve">    • Execute HCL Unica+ licence/subscription - initial year (P3-L5)</t>
  </si>
  <si>
    <t>P3-L5: 'HCL Unica+ licence/subscription - initial year', RATE_MISSING ('As P3-L4'). Must precede the Unica+ deploy (G-P3-L2); not drawn anywhere on the POAP (F10). Position is judgement.</t>
  </si>
  <si>
    <t>G-P3-LIC-s3</t>
  </si>
  <si>
    <t xml:space="preserve">    • Execute HCL CDP licence/subscription - initial year (P3-L6)</t>
  </si>
  <si>
    <t>P3-L6: 'HCL CDP licence/subscription - initial year', RATE_MISSING; its basis notes 'AKS x CDP = N in HCL's own matrix - CDP scope interacts with the Platform toggle (F3)'. Must precede the CDP deploy (G-P3-L2-s2); not drawn (F10). Position is judgement.</t>
  </si>
  <si>
    <t>G-P3-LIC-s4</t>
  </si>
  <si>
    <t xml:space="preserve">    • Execute HCL DX licence/subscription - initial year (P3-L7)</t>
  </si>
  <si>
    <t>P3-L7: 'HCL DX licence/subscription - initial year', RATE_MISSING ('As P3-L4'). Must precede/accompany the TX components (DX and Foundry) install (G-P3-L1-s2); not drawn (F10). Position is judgement.</t>
  </si>
  <si>
    <t>G-P3-LIC-s5</t>
  </si>
  <si>
    <t xml:space="preserve">    • MinIO EOL remediation - technical remediation of the CDP-mandated MinIO v5.0.15 dependency (P3-L8)</t>
  </si>
  <si>
    <t>P3-L8: 'MinIO EOL remediation (community edition EOL Apr 2026; HCL: ‘Do not assume replaceable’)' - its basis: 'CDP mandates MinIO v5.0.15, community edition EOL upstream Apr 2026, Azure First tab walks back Blob substitution. Absent from POAP procurement lane (F10)'. A real technical remediation step, not just a commercial line - placed at the tail of the window after the CDP deploy exists to remediate against. Position and duration are judgement.</t>
  </si>
  <si>
    <t>G-P4-L1</t>
  </si>
  <si>
    <t>Testing  [P4-L1]</t>
  </si>
  <si>
    <t>Slide 3: 'System Integration Testing (SIT)' x=11.30 w=1.63 - ends x=12.93, i.e. the full Testing bar (x=11.19-12.9) = weeks 22-25. Cost line P4-L1 'System Integration Testing - test engineers'. Straddles Christmas weeks 24-25 (Christmas marker x=12.91; F1 peak-leave compression).</t>
  </si>
  <si>
    <t>G-P4-L1-s1</t>
  </si>
  <si>
    <t xml:space="preserve">    • SIT test-case preparation and environment shakedown</t>
  </si>
  <si>
    <t>Slide 9: '* Each report should document test cases, evidence, results, &amp; any resolutions made' - test cases must exist before execution, so preparation opens the drawn SIT item (x=11.30, start of the Testing bar).</t>
  </si>
  <si>
    <t>G-P4-L1-s2</t>
  </si>
  <si>
    <t xml:space="preserve">    • Execute SIT across the integrated UnO/TX/Unica+/CDP + Azure stack</t>
  </si>
  <si>
    <t>Slide 9 names an 'SIT report*' deliverable; execution follows preparation within the drawn weeks-22-25 SIT item.</t>
  </si>
  <si>
    <t>G-P4-L1-s3</t>
  </si>
  <si>
    <t xml:space="preserve">    • Regression testing - falls in Christmas week</t>
  </si>
  <si>
    <t>Slide 9 names a 'Regression test report*' deliverable; as drawn this lands in week 24 (Christmas marker x=12.91 sits at the tail of the Testing bar - F1 peak-leave compression, preserved as drawn).</t>
  </si>
  <si>
    <t>G-P4-L1-s4</t>
  </si>
  <si>
    <t xml:space="preserve">    • Compile SIT report and regression test report with test cases, evidence, results and resolutions</t>
  </si>
  <si>
    <t>Slide 9: 'Regression test report*' + 'SIT report*' + '* Each report should document test cases, evidence, results, &amp; any resolutions made' - reporting closes the drawn window at 'Test phase complete' (x=12.68).</t>
  </si>
  <si>
    <t>G-P4-L2</t>
  </si>
  <si>
    <t>Testing  [P4-L2]</t>
  </si>
  <si>
    <t>Cost line P4-L2 'Test management - plan, defect register, release readiness' - co-extensive with the drawn Testing bar (x=11.19-12.9, weeks 22-25); its deliverables are named on slide 9 ('Defect register &amp; resolution log', 'UAT plan &amp; sign off*', 'Production readiness assessment'). Straddles Christmas weeks 24-25 (F1).</t>
  </si>
  <si>
    <t>G-P4-L2-s1</t>
  </si>
  <si>
    <t xml:space="preserve">    • Issue UAT plan and test-phase plan</t>
  </si>
  <si>
    <t>Slide 9: 'UAT plan &amp; sign off*' - the plan half must precede UAT execution (drawn from week 23), so it opens the window.</t>
  </si>
  <si>
    <t>G-P4-L2-s2</t>
  </si>
  <si>
    <t xml:space="preserve">    • Stand up and run the defect register</t>
  </si>
  <si>
    <t>Slide 9: 'Defect register &amp; resolution log' - the register operates once SIT execution produces defects (G-P4-L1-s2, week 23).</t>
  </si>
  <si>
    <t>G-P4-L2-s3</t>
  </si>
  <si>
    <t xml:space="preserve">    • Defect triage and resolution-log maintenance across the Christmas weeks</t>
  </si>
  <si>
    <t>Slide 9: '... &amp; resolution log'; as drawn this triage load sits in week 24 with the Christmas marker (x=12.91) at the bar tail - F1 compression, preserved as drawn.</t>
  </si>
  <si>
    <t>G-P4-L2-s4</t>
  </si>
  <si>
    <t xml:space="preserve">    • Production readiness assessment input and release-readiness close-out</t>
  </si>
  <si>
    <t>Slide 9: 'Production readiness assessment' + 'Go-Live Readiness / Go-No Go Approval' - readiness outputs close the phase at 'Test phase complete' (x=12.68).</t>
  </si>
  <si>
    <t>G-P4-L3</t>
  </si>
  <si>
    <t>Testing  [P4-L3]</t>
  </si>
  <si>
    <t>F7, F1</t>
  </si>
  <si>
    <t>Slide 3: 'Pen Testing' x=11.30 w=1.16 - ends x=12.46, i.e. weeks 22-24 at the 0.4275 in/week Testing-bar scale. Cost line P4-L3 'CREST penetration test engagement (cloud platform scope)' (~10 tester-days INDICATIVE). F7: CREST firms quote 4-8 wk booking lead times and remediation + retest must land before the January go/no-go - no booking task or remediation window is drawn. Tail of the drawn item touches Christmas week 24 (F1).</t>
  </si>
  <si>
    <t>G-P4-L3-s1</t>
  </si>
  <si>
    <t xml:space="preserve">    • Scoping and rules of engagement with the CREST firm</t>
  </si>
  <si>
    <t>P4-L3 desc 'CREST penetration test engagement (cloud platform scope)' - scoping opens the engagement at the start of the drawn 'Pen Testing' item (x=11.30). F7 notes the booking itself needed procurement 'by ~October' (carried as P2-L8, outside this fragment).</t>
  </si>
  <si>
    <t>G-P4-L3-s2</t>
  </si>
  <si>
    <t xml:space="preserve">    • Penetration test execution against the cloud platform</t>
  </si>
  <si>
    <t>Slide 3: 'Pen Testing' (x=11.30 w=1.16) - the ~10-tester-day execution sits in the middle of the drawn item.</t>
  </si>
  <si>
    <t>G-P4-L3-s3</t>
  </si>
  <si>
    <t xml:space="preserve">    • Penetration Test Report delivery</t>
  </si>
  <si>
    <t>Slide 9 names a 'Penetration Test Report' deliverable - reporting closes the drawn pen-test item in week 24. F7: remediation + retest before the Jan go/no-go has no drawn window (remediation costed at P5-L4, outside this fragment).</t>
  </si>
  <si>
    <t>G-P4-L4</t>
  </si>
  <si>
    <t>Testing  [P4-L4]</t>
  </si>
  <si>
    <t>Slide 3: 'UAT &amp; release readiness' x=11.90 w=1.07 - starts ~1.7 weeks into the Testing bar and runs to its tail, i.e. weeks 23-25. Cost line P4-L4 'UAT coordination &amp; business-readiness liaison (BA)' (business-user UAT time itself is NOT costed, per the cost-line basis). Straddles Christmas weeks 24-25 (F1) - UAT lands exactly on peak leave.</t>
  </si>
  <si>
    <t>G-P4-L4-s1</t>
  </si>
  <si>
    <t xml:space="preserve">    • UAT coordination - business scenarios, user scheduling, entry criteria</t>
  </si>
  <si>
    <t>Slide 3: 'UAT &amp; release readiness' (x=11.90) + P4-L4 desc 'UAT coordination &amp; business-readiness liaison (BA)' - coordination opens the drawn item; the UAT plan comes from G-P4-L2-s1.</t>
  </si>
  <si>
    <t>G-P4-L4-s2</t>
  </si>
  <si>
    <t xml:space="preserve">    • UAT execution support - Christmas week</t>
  </si>
  <si>
    <t>Slide 3 draws UAT running through the bar tail where the 'Christmas' marker sits (x=12.91) - business-user execution falls in week 24, peak leave (F1), preserved as drawn.</t>
  </si>
  <si>
    <t>G-P4-L4-s3</t>
  </si>
  <si>
    <t xml:space="preserve">    • UAT sign off and release-readiness confirmation</t>
  </si>
  <si>
    <t>Slide 9: 'UAT plan &amp; sign off*' - the sign-off half closes the drawn item at 'Test phase complete' (x=12.68, adjacent to the Christmas marker x=12.91).</t>
  </si>
  <si>
    <t>G-P4-L5</t>
  </si>
  <si>
    <t>Testing  [P4-L5]</t>
  </si>
  <si>
    <t>Slide 3: 'Performance testing' x=11.88 w=1.07 - starts ~1.6 weeks into the Testing bar and runs to its tail, i.e. weeks 23-25. Cost line P4-L5 'Performance &amp; resilience testing (incl. DR test execution - DR Test Report is a named deliverable)'. Straddles Christmas weeks 24-25 (F1).</t>
  </si>
  <si>
    <t>G-P4-L5-s1</t>
  </si>
  <si>
    <t xml:space="preserve">    • Performance test execution against the integrated platform</t>
  </si>
  <si>
    <t>Slide 3: 'Performance testing' (x=11.88) - execution opens the drawn item once SIT is under way.</t>
  </si>
  <si>
    <t>G-P4-L5-s2</t>
  </si>
  <si>
    <t xml:space="preserve">    • Resilience testing and report drafting</t>
  </si>
  <si>
    <t>Slide 9: 'Performance resilience test report*' - the resilience half of the named deliverable; as drawn it lands in Christmas week 24 (F1), preserved as drawn.</t>
  </si>
  <si>
    <t>G-P4-L5-s3</t>
  </si>
  <si>
    <t xml:space="preserve">    • DR test execution and Disaster Recovery Test Report</t>
  </si>
  <si>
    <t>Slide 9: 'Disaster Recovery Test Report' is a named testing deliverable; P4-L5 basis costs its execution while noting 'DR infrastructure itself remains uncosted' - the report closes the drawn window.</t>
  </si>
  <si>
    <t>G-P4-L6</t>
  </si>
  <si>
    <t>Testing  [P4-L6]</t>
  </si>
  <si>
    <t>F23, F1</t>
  </si>
  <si>
    <t>Cost line P4-L6 'HCL defect-fix &amp; SIT/UAT support (their stack, their fixes)'. No defect-fix window is drawn anywhere: F23 - 'the plan draws SIT, pen test, UAT and performance testing back-to-back with no fix-and-retest loop before Test phase complete'; architect: 'There does not seem to any fix time for iusses from HCL'. Window is an ASSUMPTION co-extensive with the drawn Testing bar (weeks 22-25) because vendor-stack defects arise across all four drawn test items. Also F23: 'green field and brown field would need to tested' - no greenfield/brownfield split is drawn in the test scope. Spans Christmas weeks 24-25 (F1).</t>
  </si>
  <si>
    <t>G-P4-L6-s1</t>
  </si>
  <si>
    <t xml:space="preserve">    • HCL support to SIT on the vendor stack</t>
  </si>
  <si>
    <t>P4-L6 desc 'HCL defect-fix &amp; SIT/UAT support (their stack, their fixes)' - support starts when SIT starts (drawn x=11.30, week 22). No HCL support bar is drawn; position is judgement.</t>
  </si>
  <si>
    <t>G-P4-L6-s2</t>
  </si>
  <si>
    <t xml:space="preserve">    • HCL defect fixing on UnO/TX/Unica+/CDP components</t>
  </si>
  <si>
    <t>P4-L6 basis: 'vendor stack defects during SIT need vendor fixes'. F23 evidence (architect): 'There does not seem to any fix time for iusses from HCL' - the fixing this step represents has no drawn elapsed time; positioned where SIT defects first accumulate. Judgement.</t>
  </si>
  <si>
    <t>G-P4-L6-s3</t>
  </si>
  <si>
    <t xml:space="preserve">    • Fix-and-retest loop (undrawn) ahead of UAT sign-off</t>
  </si>
  <si>
    <t>F23: 'no fix-and-retest loop before ‘Test phase complete’ at the Christmas marker' - this step names the loop the POAP omits between HCL defect-fixing (P4-L6) and UAT (P4-L4); the drawn geometry leaves it zero elapsed weeks, so its placement in Christmas week 24 is judgement recording the gap, not a drawn window.</t>
  </si>
  <si>
    <t>G-P4-L6-s4</t>
  </si>
  <si>
    <t xml:space="preserve">    • UAT defect support and resolution-log closure - no greenfield/brownfield split in scope</t>
  </si>
  <si>
    <t>P4-L6 desc '... &amp; SIT/UAT support'; resolutions feed the slide 9 'Defect register &amp; resolution log'. F23 evidence (architect): 'In E, green field and brown field would need to tested' - the drawn test scope shows no greenfield/brownfield coverage split. Position is judgement (closing week of the phase).</t>
  </si>
  <si>
    <t>G-P4-L7</t>
  </si>
  <si>
    <t>Testing  [P4-L7]</t>
  </si>
  <si>
    <t>Cost line P4-L7 'SEGRO platform team support during test phase (env fixes, redeploys)' - co-extensive with the drawn Testing bar (x=11.19-12.9, weeks 22-25); its basis calls it 'standard test-phase platform support'. Straddles Christmas weeks 24-25 (F1). Status ASSUMPTION: this SEGRO support line has NO bar of its own on the POAP - it is placed co-extensive with the drawn HCL/Testing bar by judgement (the support is real and costed, but its window is inferred, not drawn).</t>
  </si>
  <si>
    <t>G-P4-L7-s1</t>
  </si>
  <si>
    <t xml:space="preserve">    • Environment fixes and configuration support for SIT start-up</t>
  </si>
  <si>
    <t>P4-L7 desc '(env fixes, redeploys)' - environment support is heaviest when SIT opens the drawn Testing bar (week 22). Status ASSUMPTION: step position is a judgement split within the inferred support window (no per-step boundary is drawn).</t>
  </si>
  <si>
    <t>G-P4-L7-s2</t>
  </si>
  <si>
    <t xml:space="preserve">    • Redeploys behind defect fixes</t>
  </si>
  <si>
    <t>P4-L7 desc '... redeploys' - redeploys follow the first SIT defect cycle (G-P4-L1-s2, week 23). Status ASSUMPTION: step position is a judgement split within the inferred support window (no per-step boundary is drawn).</t>
  </si>
  <si>
    <t>G-P4-L7-s3</t>
  </si>
  <si>
    <t xml:space="preserve">    • Platform support cover through the Christmas weeks to Test phase complete</t>
  </si>
  <si>
    <t>P4-L7 desc 'SEGRO platform team support during test phase' - the drawn Testing bar runs to x=12.9 with 'Test phase complete' at x=12.68 and the 'Christmas' marker at x=12.91, so as drawn the cover spans weeks 24-25, the peak-leave window (F1), preserved as drawn. Status ASSUMPTION: step position is a judgement split within the inferred support window (no per-step boundary is drawn).</t>
  </si>
  <si>
    <t>G-P4-L8</t>
  </si>
  <si>
    <t>Testing  [P4-L8]</t>
  </si>
  <si>
    <t>Cost line P4-L8 'AI red-team exercise + audit dry-run before go-live - prompt injection, tool-abuse/data-exfiltration, jailbreak testing on agent surfaces (absent from POAP, F26)'. NO bar is drawn for this anywhere - F26: 'No AI red-teaming or audit dry-run appears anywhere in the plan'; architect: 'Red Teaming or Audit Dry runs for AI not in plan'. Window weeks 22-24 is a judgement placement inside the P4 test phase so findings can inform the January go/no-go (F26 recommendation: 'named go/no-go inputs').</t>
  </si>
  <si>
    <t>G-P4-L8-s1</t>
  </si>
  <si>
    <t xml:space="preserve">    • Scope AI red-team - agent surfaces, prompt injection, tool-abuse/data-exfiltration and jailbreak test plan</t>
  </si>
  <si>
    <t>P4-L8 desc: 'prompt injection, tool-abuse/data-exfiltration, jailbreak testing on agent surfaces'. Nothing is drawn (F26), so scoping is placed at the start of the assumed window, alongside pen-test scoping. Judgement.</t>
  </si>
  <si>
    <t>G-P4-L8-s2</t>
  </si>
  <si>
    <t xml:space="preserve">    • Red-team execution (3-8 tester-days) against agent behaviour</t>
  </si>
  <si>
    <t>P4-L8 qty_model: 'ASSUMPTION-range fixed engagement: 3-8 tester-days' at the INDICATIVE CREST-proxy rate. Execution follows scoping; placed before the Christmas weeks to protect specialist availability. Judgement.</t>
  </si>
  <si>
    <t>G-P4-L8-s3</t>
  </si>
  <si>
    <t xml:space="preserve">    • Audit dry-run and red-team findings packaged as go/no-go inputs</t>
  </si>
  <si>
    <t>P4-L8 desc '... + audit dry-run before go-live'; F26 recommendation: 'Add a pre-go-live AI red-team exercise and audit dry-run as named go/no-go inputs'. Closes the assumed window ahead of the January go/no-go (drawn x=13.99). Judgement.</t>
  </si>
  <si>
    <t>G-P5-L1</t>
  </si>
  <si>
    <t>Deploy (P5)  [P5-L1]</t>
  </si>
  <si>
    <t>Slide 3 Deploy bar x=13.23-14.9 (weeks 26-29) with five staggered items: 'Production readiness review | Smoke test / Stage gates | Go / No Go decision | Migration execution | Go live'. Cost line P5-L1: 'Production readiness, smoke tests, stage gates, migration execution, go-live' - 2 FTE platform engineers x 4 wk.</t>
  </si>
  <si>
    <t>G-P5-L1-s1</t>
  </si>
  <si>
    <t xml:space="preserve">    • Production readiness review</t>
  </si>
  <si>
    <t>Slide 3 deploy item 1 'Production readiness review' drawn x=13.54 - first staggered item, offset 0.74 wk into the Deploy bar = week 26. Slide 9 names the 'Production readiness assessment' deliverable it produces.</t>
  </si>
  <si>
    <t>G-P5-L1-s2</t>
  </si>
  <si>
    <t xml:space="preserve">    • Smoke test / stage gates in production, smoke test report produced</t>
  </si>
  <si>
    <t>Slide 3 deploy item 2 'Smoke test / Stage gates' drawn x=13.71 - offset 1.15 wk = week 27. Slide 10 deploy doc 'Smoke test report' is the evidenced output.</t>
  </si>
  <si>
    <t>G-P5-L1-s3</t>
  </si>
  <si>
    <t xml:space="preserve">    • Rollback plan validation and cutover rehearsal ahead of migration</t>
  </si>
  <si>
    <t>Text sourced from slide 10 deploy docs 'Rollback plan' and 'Migration &amp; cutover plan' - both must be exercised before the week-28 migration; positioned week 27 alongside stage gates (position is our allocation, no drawn item).</t>
  </si>
  <si>
    <t>G-P5-L1-s4</t>
  </si>
  <si>
    <t xml:space="preserve">    • Migration execution per the migration &amp; cutover plan</t>
  </si>
  <si>
    <t>G-P5-L1-s2, G-P5-L1-s3</t>
  </si>
  <si>
    <t>Slide 3 deploy item 4 'Migration execution' drawn x=14.28 - offset 2.51 wk = week 28; executes the slide 10 'Migration &amp; cutover plan'.</t>
  </si>
  <si>
    <t>G-P5-L1-s5</t>
  </si>
  <si>
    <t xml:space="preserve">    • Go live</t>
  </si>
  <si>
    <t>Slide 3 deploy item 5 'Go live' drawn x=14.57 - offset 3.21 wk = week 29; matches the 'Go Live' milestone marker x=14.60 = end of week 29 (gantt_timeline).</t>
  </si>
  <si>
    <t>G-P5-L2</t>
  </si>
  <si>
    <t>Deploy (P5)  [P5-L2]</t>
  </si>
  <si>
    <t>Cost line P5-L2: 'CI/CD cutover, release automation, operational handover pack' - 1 FTE DevOps x 4 wk inside the drawn Deploy bar (weeks 26-29). Spec boundary: P2-L27 BUILDS the pipelines in P2; this line EXECUTES the CI/CD cutover and release automation at deploy.</t>
  </si>
  <si>
    <t>G-P5-L2-s1</t>
  </si>
  <si>
    <t xml:space="preserve">    • Release plan finalised and release automation configured for production</t>
  </si>
  <si>
    <t>Text sourced from slide 10 deploy doc 'Release plan' + P5-L2 desc 'release automation'; positioned week 26 to precede stage gates (position is our allocation).</t>
  </si>
  <si>
    <t>G-P5-L2-s2</t>
  </si>
  <si>
    <t xml:space="preserve">    • CI/CD cutover to production pipelines</t>
  </si>
  <si>
    <t>Text sourced from P5-L2 desc 'CI/CD cutover' + slide 7 'CI/CD Configuration Document | Automates build &amp; deploy'; positioned week 27 alongside smoke/stage gates so production deploys run through the pipeline before migration.</t>
  </si>
  <si>
    <t>G-P5-L2-s3</t>
  </si>
  <si>
    <t xml:space="preserve">    • Deployment-automation support through migration execution</t>
  </si>
  <si>
    <t>Positioned against the drawn 'Migration execution' item (x=14.28, week 28) - the DevOps FTE supports the cutover it automated; allocation ours.</t>
  </si>
  <si>
    <t>G-P5-L2-s4</t>
  </si>
  <si>
    <t xml:space="preserve">    • Operational handover pack compiled and handed to the run team</t>
  </si>
  <si>
    <t>Text sourced from slide 10 deploy doc 'Operational handover pack' (P5-L2 basis names it); positioned week 29 at go-live so the run team receives it as hypercare starts.</t>
  </si>
  <si>
    <t>G-P5-L3</t>
  </si>
  <si>
    <t>Deploy (P5)  [P5-L3]</t>
  </si>
  <si>
    <t>Cost line P5-L3: 'Release/project management - go/no-go pack, cutover comms' - 1 FTE PM x 4 wk; anchored on the drawn 'Go / No Go decision' milestone (slide 3, x=13.99).</t>
  </si>
  <si>
    <t>G-P5-L3-s1</t>
  </si>
  <si>
    <t xml:space="preserve">    • Go/no-go checklist and approval pack assembled</t>
  </si>
  <si>
    <t>Text sourced from slide 10 deploy doc 'Go / no go checklist  &amp; approval'; positioned weeks 26-27 to complete before the drawn decision point (allocation ours).</t>
  </si>
  <si>
    <t>G-P5-L3-s2</t>
  </si>
  <si>
    <t xml:space="preserve">    • Go / No Go decision</t>
  </si>
  <si>
    <t>Slide 3 deploy item 3 'Go / No Go decision' drawn x=13.99 - offset 1.82 wk into the Deploy bar = late week 27, ahead of week-28 migration execution.</t>
  </si>
  <si>
    <t>G-P5-L3-s3</t>
  </si>
  <si>
    <t xml:space="preserve">    • Cutover comms and go-live coordination</t>
  </si>
  <si>
    <t>Text sourced from P5-L3 desc 'cutover comms'; positioned weeks 28-29 spanning the drawn 'Migration execution' (wk 28) and 'Go live' (wk 29) items.</t>
  </si>
  <si>
    <t>G-P5-L4</t>
  </si>
  <si>
    <t>Deploy (P5)  [P5-L4]</t>
  </si>
  <si>
    <t>Cost line P5-L4: 'Pen-test remediation + retest sign-off before go/no-go (F7)' - 0.5 FTE cloud security x 4 wk. The POAP itself draws no remediation window (F7: 'remediation + retest must land before the January go/no-go; POAP holds no named window') - the task window is the drawn Deploy bar; the internal steps are the F7-recommended sequence. Status ASSUMPTION: the POAP draws NO remediation window (F7) - this window is placed inside the drawn Deploy bar by judgement.</t>
  </si>
  <si>
    <t>G-P5-L4-s1</t>
  </si>
  <si>
    <t xml:space="preserve">    • Triage pen-test findings and agree remediation plan</t>
  </si>
  <si>
    <t>Text sourced from P5-L4 basis (F7: 'hold a named remediation window in early Jan before go/no-go'); pen test runs in the P4 window ending week 25, so triage positioned week 26 (allocation ours).</t>
  </si>
  <si>
    <t>G-P5-L4-s2</t>
  </si>
  <si>
    <t xml:space="preserve">    • Remediate pen-test findings</t>
  </si>
  <si>
    <t>Text sourced from P5-L4 desc 'Pen-test remediation'; positioned weeks 26-27 so remediation completes before the drawn Go/No Go decision (x=13.99, late wk 27). P5-L4 basis: 'High band = material findings'.</t>
  </si>
  <si>
    <t>G-P5-L4-s3</t>
  </si>
  <si>
    <t xml:space="preserve">    • Retest and security sign-off input to the go/no-go decision</t>
  </si>
  <si>
    <t>Text sourced from P5-L4 desc 'retest sign-off before go/no-go'; positioned week 27 to land at the drawn decision point (allocation ours).</t>
  </si>
  <si>
    <t>G-P5-L5</t>
  </si>
  <si>
    <t>Deploy (P5)  [P5-L5]</t>
  </si>
  <si>
    <t>Cost line P5-L5: 'HCL go-live support (their components through cutover)' - 1 FTE x 4 wk across the drawn Deploy bar (weeks 26-29). Rate VERIFIED (HCL card); allocation ASSUMPTION per spec.</t>
  </si>
  <si>
    <t>G-P5-L5-s1</t>
  </si>
  <si>
    <t xml:space="preserve">    • HCL support at production readiness review and smoke tests of HCL components (UnO/TX, Unica+, CDP)</t>
  </si>
  <si>
    <t>Text sourced from P5-L5 desc 'their components through cutover' + slide 3 deploy items 'Production readiness review' (wk 26) and 'Smoke test / Stage gates' (wk 27); vendor components need vendor presence at both gates (allocation ours).</t>
  </si>
  <si>
    <t>G-P5-L5-s2</t>
  </si>
  <si>
    <t xml:space="preserve">    • HCL support during migration execution</t>
  </si>
  <si>
    <t>Positioned against the drawn 'Migration execution' item (x=14.28, week 28); HCL-installed services migrate under vendor support (allocation ours).</t>
  </si>
  <si>
    <t>G-P5-L5-s3</t>
  </si>
  <si>
    <t xml:space="preserve">    • HCL standby and cutover support at go-live</t>
  </si>
  <si>
    <t>Positioned against the drawn 'Go live' item (x=14.57, week 29); text sourced from P5-L5 desc 'go-live support' (allocation ours).</t>
  </si>
  <si>
    <t>G-P6-L1</t>
  </si>
  <si>
    <t>Hypercare / PGLS (P6)  [P6-L1]</t>
  </si>
  <si>
    <t>Slide 3 'PGLS + Hypercare' bar drawn from go-live (x=15.41). Duration 6 wk is the cost model's ASSUMPTION (P6 poap_ref: '4-8 wk hypercare norm... short fixed-end-date, criteria-based exit'). Cost line P6-L1: 'Hypercare squad - declining coverage, average 1.5 FTE across 6 weeks'.</t>
  </si>
  <si>
    <t>G-P6-L1-s1</t>
  </si>
  <si>
    <t xml:space="preserve">    • Hypercare full coverage - stabilisation and incident triage per the hypercare plan</t>
  </si>
  <si>
    <t>Text sourced from slide 10 deploy doc 'Hypercare plan' + slide 3 'PGLS + Hypercare' (bar start = go-live); front-loaded full coverage implements P6-L1's 'declining coverage' profile (split ours).</t>
  </si>
  <si>
    <t>G-P6-L1-s2</t>
  </si>
  <si>
    <t xml:space="preserve">    • Hypercare reduced coverage as incident volumes fall</t>
  </si>
  <si>
    <t>Text sourced from P6-L1 desc 'declining coverage, average 1.5 FTE across 6 weeks' - middle tranche of the declining profile (split ours).</t>
  </si>
  <si>
    <t>G-P6-L1-s3</t>
  </si>
  <si>
    <t xml:space="preserve">    • Criteria-based hypercare exit assessment and handover to run team</t>
  </si>
  <si>
    <t>Text sourced from P6 poap_ref 'short fixed-end-date, criteria-based exit' (programme_benchmarks hypercare norm via spec). F24 context: after this exit the POAP shows no iterative delivery - post-go-live items are only 'PGLS + Hypercare' and 'Planning &amp; scope for R2'.</t>
  </si>
  <si>
    <t>G-P6-L2</t>
  </si>
  <si>
    <t>Hypercare / PGLS (P6)  [P6-L2]</t>
  </si>
  <si>
    <t>Slide 3 'PGLS + Hypercare' bar from go-live (x=15.41). Cost line P6-L2: 'HCL PGLS / hypercare support on HCL components' - 1 FTE x 6 wk; spec basis: 'If PGLS is inside a fixed-price contract this double-counts - flexes to 0 via qty or HCL_Toggle'.</t>
  </si>
  <si>
    <t>G-P6-L2-s1</t>
  </si>
  <si>
    <t xml:space="preserve">    • PGLS defect-fix and stabilisation on HCL components</t>
  </si>
  <si>
    <t>Slide 3 'PGLS + Hypercare' drawn starting x=15.41 = week 30 (immediately after the go-live marker x=14.60); heaviest vendor defect-fix load lands in the first weeks post-cutover. Status ASSUMPTION: front-load position on the single drawn PGLS+Hypercare bar is judgement (matching the analogous SEGRO hypercare step G-P6-L1-s1).</t>
  </si>
  <si>
    <t>G-P6-L2-s2</t>
  </si>
  <si>
    <t xml:space="preserve">    • Tapering HCL support - ticket-driven fixes and knowledge transfer</t>
  </si>
  <si>
    <t>Text sourced from P6-L2 desc 'HCL PGLS / hypercare support on HCL components'; taper mirrors the SEGRO-side declining-coverage profile (split ours).</t>
  </si>
  <si>
    <t>G-P6-L2-s3</t>
  </si>
  <si>
    <t xml:space="preserve">    • PGLS exit - HCL components transition to steady-state AMS/support contract</t>
  </si>
  <si>
    <t>Text sourced from P6-L2 basis 'If PGLS is inside a fixed-price contract this double-counts - flexes to 0'; exit at the end of the 6-wk window hands to the run-model AMS line (R-L24, RATE_MISSING).</t>
  </si>
  <si>
    <t>G-P6-L3</t>
  </si>
  <si>
    <t>Hypercare / PGLS (P6)  [P6-L3]</t>
  </si>
  <si>
    <t>Cost line P6-L3: 'Change management, comms, training delivery &amp; business readiness (spread P2-P6, booked here)' - drawn as the lane D bars (Change Management x=4.65, Stakeholder engagement &amp; Comms x=4.60, Training x=6.74) spanning weeks ~6-26, with delivery and close-out running into P6; windowed weeks 6-35 to match the drawn spread while the cost books in P6. Sized from the VERIFIED Prosci benchmark: '10% of project budget' (spec basis).</t>
  </si>
  <si>
    <t>G-P6-L3-s1</t>
  </si>
  <si>
    <t xml:space="preserve">    • Change management and stakeholder engagement across build and test</t>
  </si>
  <si>
    <t>Slide 3 lane D bars 'Change Management' (x=4.65 w=6.98 = weeks 6-22) and 'Stakeholder engagement &amp; Comms' (x=4.60 w=8.62 = weeks 6-26) at the 2.388 wk/in calibration; window = the wider of the two drawn extents. Slide 8 doc: 'Comms plan'.</t>
  </si>
  <si>
    <t>G-P6-L3-s2</t>
  </si>
  <si>
    <t xml:space="preserve">    • Training strategy and materials development</t>
  </si>
  <si>
    <t>Slide 3 lane D bar 'Training' drawn x=6.74 w=5.96 = weeks 11-25 at the calibration; slide 8 doc 'Training strategy &amp; materials'.</t>
  </si>
  <si>
    <t>G-P6-L3-s3</t>
  </si>
  <si>
    <t xml:space="preserve">    • Business Readiness Assessment and process updates ahead of go-live</t>
  </si>
  <si>
    <t>Text sourced from slide 8 docs 'Business Readiness Assessment' and 'Process Updates'; positioned weeks 22-27 (test phase into the go/no-go) so readiness evidence feeds the drawn 'Go / No Go decision' - position is our allocation, no drawn item.</t>
  </si>
  <si>
    <t>G-P6-L3-s4</t>
  </si>
  <si>
    <t xml:space="preserve">    • Go-live comms and end-user training delivery through deploy</t>
  </si>
  <si>
    <t>G-P6-L3-s2, G-P6-L3-s3</t>
  </si>
  <si>
    <t>Text sourced from P6-L3 desc 'comms, training delivery'; positioned across the drawn Deploy bar (weeks 26-29) so users are trained and informed at cutover (allocation ours).</t>
  </si>
  <si>
    <t>G-P6-L3-s5</t>
  </si>
  <si>
    <t xml:space="preserve">    • Post-go-live adoption support and business-readiness close-out (booked here)</t>
  </si>
  <si>
    <t>Text sourced from P6-L3 desc '(spread P2-P6, booked here)' - the P6 booking window itself (weeks 30-35), covering adoption support and embedding of slide 8 'Process Updates' during hypercare.</t>
  </si>
  <si>
    <t>G-P6-L4</t>
  </si>
  <si>
    <t>Hypercare / PGLS (P6)  [P6-L4]</t>
  </si>
  <si>
    <t>Cost line P6-L4: 'End-user training materials/licence cost per employee (per-rollout unit cost unpublished)' - RATE_MISSING at GBP 0; 'Headcount VERIFIED (SEGRO ARA25: 463)'. No drawn POAP item carries this - the lane D 'Training' bar covers strategy/materials (D4); this per-employee rollout unit-cost line is windowed to the P6 booking (weeks 30-35) as an ASSUMPTION. Spec: 'Trainer delivery days already inside P6-L3'.</t>
  </si>
  <si>
    <t>G-P6-L4-s1</t>
  </si>
  <si>
    <t xml:space="preserve">    • Confirm per-employee training materials/licence procurement (unit rate GBP 0 until published)</t>
  </si>
  <si>
    <t>Text sourced from P6-L4 basis 'Per-rollout training unit cost is RATE_MISSING in people_rates... GBP 0 adjustable'; positioned at the start of the P6 booking window (allocation ours).</t>
  </si>
  <si>
    <t>G-P6-L4-s2</t>
  </si>
  <si>
    <t xml:space="preserve">    • Materials/licence rollout to 463 employees during hypercare</t>
  </si>
  <si>
    <t>Text sourced from P6-L4 qty_model '463 employees x per-rollout rate GBP 0' (headcount VERIFIED, SEGRO ARA25); positioned weeks 31-34 inside the hypercare window (allocation ours).</t>
  </si>
  <si>
    <t>G-P6-L4-s3</t>
  </si>
  <si>
    <t xml:space="preserve">    • Completion tracking and training records close-out</t>
  </si>
  <si>
    <t>Close-out of the rollout at the end of the P6 window; supports the slide 8 'Business Readiness Assessment' evidence trail (position is our allocation, no drawn item).</t>
  </si>
  <si>
    <t>G-P6-L5</t>
  </si>
  <si>
    <t>Hypercare / PGLS (P6)  [P6-L5]</t>
  </si>
  <si>
    <t>Cost line P6-L5: 'Service transition &amp; application support model into ITIL/ServiceNow (transition pack, RACI, ownership matrix)' - 0.5 FTE PM x 6 wk. The preparatory work is the drawn lane D item 1 'Service transition &amp; application support model' (x=5.83 w=6.83, weeks 9-25, carried in G-D-BIZ); this task is the P6-booked close-out into BAU. Spec basis: 'SEGRO principle - ITIL/ServiceNow service transition for everything'.</t>
  </si>
  <si>
    <t>G-P6-L5-s1</t>
  </si>
  <si>
    <t xml:space="preserve">    • Finalise Support RACI and Service ownership matrix from the transition pack</t>
  </si>
  <si>
    <t>Text sourced from slide 8 docs 'Support RACI' and 'Service ownership matrix' + P6-L5 desc '(transition pack, RACI, ownership matrix)'; positioned at the start of the P6 window using the P5-L2 operational handover pack as input (allocation ours).</t>
  </si>
  <si>
    <t>G-P6-L5-s2</t>
  </si>
  <si>
    <t xml:space="preserve">    • ServiceNow onboarding - service catalogue, support groups, knowledge articles</t>
  </si>
  <si>
    <t>Text sourced from P6-L5 desc 'into ITIL/ServiceNow' + spec basis 'SEGRO principle - ITIL/ServiceNow service transition for everything'; positioned mid-window after RACI/ownership agreed (allocation ours).</t>
  </si>
  <si>
    <t>G-P6-L5-s3</t>
  </si>
  <si>
    <t xml:space="preserve">    • Formal service acceptance into BAU at hypercare exit</t>
  </si>
  <si>
    <t>Positioned to coincide with the criteria-based hypercare exit (G-P6-L1-s3, weeks 34-35) so the support model is live when hypercare ends; text sourced from P6-L5 desc 'Service transition &amp; application support model' (allocation ours).</t>
  </si>
  <si>
    <t>G-D-BIZ</t>
  </si>
  <si>
    <t>Business readiness (lane D)</t>
  </si>
  <si>
    <t>F22, F4, F24</t>
  </si>
  <si>
    <t>Slide 3 lane D 'Business readiness' (label x=4.59): six drawn items D1-D6 staggered from mid-build (starts x=4.60-6.83), read at the 2.388 wk/in calibration (build-bar start x=4.55 = start wk 6; Go Live x=14.60 = end wk 29). Per-item extents span weeks 6-30 - a refinement of the timeline fact's approximate [8,25] lane envelope (which defers per-item reads to this fragment); D5 is drawn past the go-live marker. Costed via cost line P6-L3 (booked in P6, spread P2-P6). F22: D1-D4 imply an op-model change with no stated IT-governance alignment ('Has IT Governance Capability been aligned to this, and can it support the op model changes and the change management for AI?'). F4: comms/readiness must handle slides 13/14 showing use cases 'Live' in Q3/Q4 2026 - before this platform's Feb 2027 go-live. F24: the lane is one-pass bars ending at/near go-live - no iterative agent-delivery or learning-to-rules loop follows ('agents will require more agility that this with a feedback loop and many iterations').</t>
  </si>
  <si>
    <t>G-D-BIZ-s1</t>
  </si>
  <si>
    <t xml:space="preserve">    • Service transition &amp; application support model (D1)</t>
  </si>
  <si>
    <t>Slide 3 lane D item 1 'Service transition &amp; application support model' drawn x=5.83 w=6.83 = weeks 9-25 at the 2.388 wk/in calibration; P6-booked close-out carried in G-P6-L5.</t>
  </si>
  <si>
    <t>G-D-BIZ-s2</t>
  </si>
  <si>
    <t xml:space="preserve">    • IT Operating Model (ITOM) (D2)</t>
  </si>
  <si>
    <t>Slide 3 lane D item 2 'IT Operating Model (ITOM)' drawn x=5.83 w=6.83 = weeks 9-25 - same drawn extent as D1. F22 bites here: the op-model change has no stated IT-governance owner.</t>
  </si>
  <si>
    <t>G-D-BIZ-s3</t>
  </si>
  <si>
    <t xml:space="preserve">    • Change Management (D3)</t>
  </si>
  <si>
    <t>Slide 3 lane D item 3 'Change Management' drawn x=4.65 w=6.98 = weeks 6-22 at the calibration - starts with the build phase.</t>
  </si>
  <si>
    <t>G-D-BIZ-s4</t>
  </si>
  <si>
    <t xml:space="preserve">    • Training (D4)</t>
  </si>
  <si>
    <t>Slide 3 lane D item 4 'Training' drawn x=6.74 w=5.96 = weeks 11-25 at the calibration; slide 8 doc 'Training strategy &amp; materials'.</t>
  </si>
  <si>
    <t>G-D-BIZ-s5</t>
  </si>
  <si>
    <t xml:space="preserve">    • Planning &amp; scope for R2 (D5)</t>
  </si>
  <si>
    <t>Slide 3 lane D item 5 'Planning &amp; scope for R2' drawn x=6.83 w=8.19 = weeks 11-30 at the calibration - the widest lane D bar, drawn past the go-live marker (x end 15.02 vs Go Live x=14.60). F5: this is the only Release-item in the plan - 'no Release 1 use-case build/test/deploy appears anywhere after platform go-live; the only R-item is Planning &amp; scope for R2'. Slide 8 docs: 'Release 2 scope document', 'Roadmap'.</t>
  </si>
  <si>
    <t>G-D-BIZ-s6</t>
  </si>
  <si>
    <t xml:space="preserve">    • Stakeholder engagement &amp; Comms (D6)</t>
  </si>
  <si>
    <t>Slide 3 lane D item 6 'Stakeholder engagement &amp; Comms' drawn x=4.60 w=8.62 = weeks 6-26 at the calibration - the earliest-starting lane D bar, running into the deploy window. Slide 8 docs: 'Stakeholder impact assessment', 'Comms plan'. F4 bites here: comms must reconcile slides 13/14 'Customer P1 (Live)' / 'Sustainability UL 360 (Live)' / 'Content Agent (Live)' in Q3 2026 against this plan's Feb 2027 go-live.</t>
  </si>
  <si>
    <t>G-P2-L28</t>
  </si>
  <si>
    <t>Data integration (scope gap)  [P2-L28]</t>
  </si>
  <si>
    <t>NO drawn bar — the absence IS finding F15: the POAP costs the platform but no integration to MRI (the critical backbone), SAMA or Anaplan. Agents with no data path to the systems of record cannot deliver business value. Visible £0 on the cost tab (P2-L28, RATE_MISSING). Window is the implied shape (a delivery-prerequisite lane that would run across the build); judgement, not drawn geometry. [td_override=true: this is a people/delivery LANE — its elapsed effort dilates with slip even though the cost line is RATE_MISSING £0, so the bar must stretch like other people lanes, not sit fixed.]</t>
  </si>
  <si>
    <t>G-P2-L28-s1</t>
  </si>
  <si>
    <t xml:space="preserve">    • Integration design to MRI / SAMA / Anaplan via APIM + staging layer</t>
  </si>
  <si>
    <t>Absent from the POAP (F15); the SEGRO architecture mandates APIM + staging-layer integration to systems of record. £0 un-costed.</t>
  </si>
  <si>
    <t>G-P2-L28-s2</t>
  </si>
  <si>
    <t xml:space="preserve">    • Build + test data pipelines to the operational backbones</t>
  </si>
  <si>
    <t>No integration build lane exists in the POAP (F15). Prerequisite for any business-facing use case.</t>
  </si>
  <si>
    <t>G-P2-L28-s3</t>
  </si>
  <si>
    <t xml:space="preserve">    • Reconciliation + cutover of the integration layer</t>
  </si>
  <si>
    <t>Implied tail of an integration workstream the POAP omits (F15).</t>
  </si>
  <si>
    <t>G-P4-L9</t>
  </si>
  <si>
    <t>Eval golden-set labelling (scope gap)  [P4-L9]</t>
  </si>
  <si>
    <t>NO drawn bar — the absence IS finding F13: FND-4 costs the eval-harness MACHINERY but nobody has costed the business-SME weeks that label the golden sets it scores against. Without labelled goldens the promotion gates are hollow. Visible £0 on the cost tab (P4-L9). Window aligns to the test phase where the eval harness runs. [td_override=true: this is a people/delivery LANE — its elapsed effort dilates with slip even though the cost line is RATE_MISSING £0, so the bar must stretch like other people lanes, not sit fixed.]</t>
  </si>
  <si>
    <t>G-P4-L9-s1</t>
  </si>
  <si>
    <t xml:space="preserve">    • SMEs assemble representative golden-set inputs per use case</t>
  </si>
  <si>
    <t>Business SME effort absent from the POAP (F13); needed before the eval harness can score anything.</t>
  </si>
  <si>
    <t>G-P4-L9-s2</t>
  </si>
  <si>
    <t xml:space="preserve">    • SMEs label expected outputs + edge cases; sign-off</t>
  </si>
  <si>
    <t>Labelling effort un-costed (F13). The promotion gates depend on it.</t>
  </si>
  <si>
    <t>G-P5-L9</t>
  </si>
  <si>
    <t>R1 use-case delivery lane (scope gap)  [P5-L9]</t>
  </si>
  <si>
    <t>NO drawn bar — the absence IS finding F5: A101 concedes £830k buys a platform with zero business-facing capability at go-live. There is no R1 use-case delivery lane in the POAP. Visible £0 on the cost tab (P5-L9); the £37k supervised September pilot (R1 Pilot tab) is the costed alternative. Window would run from build into deploy. [td_override=true: this is a people/delivery LANE — its elapsed effort dilates with slip even though the cost line is RATE_MISSING £0, so the bar must stretch like other people lanes, not sit fixed.]</t>
  </si>
  <si>
    <t>G-P5-L9-s1</t>
  </si>
  <si>
    <t xml:space="preserve">    • Build the first business-facing use cases against the platform</t>
  </si>
  <si>
    <t>No R1 delivery lane in the POAP (F5); the platform delivers no capability without it.</t>
  </si>
  <si>
    <t>G-P5-L9-s2</t>
  </si>
  <si>
    <t xml:space="preserve">    • Supervised pilot + iterate to promotion</t>
  </si>
  <si>
    <t>The costed alternative is the R1 September pilot (out-of-total). Absent from the POAP (F5).</t>
  </si>
  <si>
    <t>G-P2-L30-ALT</t>
  </si>
  <si>
    <t>Llama GPU-quota procurement (ALTERNATIVE branch)  [P2-L30]</t>
  </si>
  <si>
    <t>ALTERNATIVE branch only (ModelChoice=Llama). GPU capacity needs a quota request / reserved-capacity commitment — a SCHEDULE RISK (lead time to grant) as well as a cost (P2-L30, RATE_MISSING £0). It PRECEDES commissioning (you cannot spin up GPU nodes before quota is granted), which is why the commissioning bar G-P2-L29-ALT starts after this one completes. Shown as an ASSUMPTION row so the procurement lead-time is visible on the schedule under the self-host branch; toggle-gated off otherwise.</t>
  </si>
  <si>
    <t>G-P2-L30-ALT-s1</t>
  </si>
  <si>
    <t xml:space="preserve">    • Raise Azure GPU quota increase request</t>
  </si>
  <si>
    <t>Llama-branch procurement (P2-L30); grant lead time is a schedule risk. Gates commissioning.</t>
  </si>
  <si>
    <t>G-P2-L30-ALT-s2</t>
  </si>
  <si>
    <t xml:space="preserve">    • Grant + negotiate reserved-capacity / capacity-reservation commitment</t>
  </si>
  <si>
    <t>Llama-branch procurement (P2-L30); RATE_MISSING until quoted. Grant at end of wk 9 unblocks commissioning.</t>
  </si>
  <si>
    <t>G-P2-L29-ALT</t>
  </si>
  <si>
    <t>Llama GPU commissioning (ALTERNATIVE branch)  [P2-L29]</t>
  </si>
  <si>
    <t>ALTERNATIVE branch only — this bar exists ONLY under ModelChoice=Llama (self-hosting), which is NOT the POAP as drawn (the POAP assumes hosted Azure OpenAI). Starts in week 10, AFTER the GPU-quota grant (G-P2-L30-ALT completes wk 9) — you cannot commission GPU nodes before quota is granted (the source flags quota as a prerequisite / schedule risk). Shown as an ASSUMPTION row so the self-host build cost is visible on the schedule when that branch is chosen; toggle-gated £0 otherwise. Bounded GPU commissioning/eval window during P2 bring-up (cost line P2-L29).</t>
  </si>
  <si>
    <t>G-P2-L29-ALT-s1</t>
  </si>
  <si>
    <t xml:space="preserve">    • Provision GPU node pool + drivers/CUDA for model bring-up (post quota grant)</t>
  </si>
  <si>
    <t>Llama-branch build work (P2-L29); only if self-hosting is chosen. Follows the quota grant.</t>
  </si>
  <si>
    <t>G-P2-L29-ALT-s2</t>
  </si>
  <si>
    <t xml:space="preserve">    • Quantise + throughput-tune + eval the served model</t>
  </si>
  <si>
    <t>Llama-branch commissioning (P2-L29); bounded window, not 24/7 serving.</t>
  </si>
  <si>
    <t>G-P2-MODEL</t>
  </si>
  <si>
    <t>Azure model endpoint bring-up (Foundry/AOAI)  [P2-L29..P2-L29]</t>
  </si>
  <si>
    <t>Platform model serving path (v3). Llama GPU ALT remains G-P2-L29-ALT. [td_override=true: people/platform lane dilates with slip.]</t>
  </si>
  <si>
    <t>G-P2-MODEL-s1</t>
  </si>
  <si>
    <t xml:space="preserve">    • Scaffold Azure OpenAI / Foundry deployments</t>
  </si>
  <si>
    <t>Agent-stack build step (v3). Judgement split of parent window; not drawn on HCL POAP.</t>
  </si>
  <si>
    <t>G-P2-MODEL-s2</t>
  </si>
  <si>
    <t xml:space="preserve">    • Wire SKU endpoint + quota</t>
  </si>
  <si>
    <t>G-P2-MODEL-s3</t>
  </si>
  <si>
    <t xml:space="preserve">    • Smoke eval harness calls</t>
  </si>
  <si>
    <t>G-P2-MCP</t>
  </si>
  <si>
    <t>MCP estate on Container Apps (McpServerCount servers)  [R-L40..R-L42]</t>
  </si>
  <si>
    <t>MCP estate scales with McpServerCount calculator. [td_override=true: people/platform lane dilates with slip.]</t>
  </si>
  <si>
    <t>G-P2-MCP-s1</t>
  </si>
  <si>
    <t xml:space="preserve">    • Scaffold MCP servers on ACA</t>
  </si>
  <si>
    <t>G-P2-MCP-s2</t>
  </si>
  <si>
    <t xml:space="preserve">    • APIM products + OAuth for each MCP</t>
  </si>
  <si>
    <t>G-P2-MCP-s3</t>
  </si>
  <si>
    <t xml:space="preserve">    • Contract tests per application plug</t>
  </si>
  <si>
    <t>G-P2-RAG</t>
  </si>
  <si>
    <t>RAG index (AI Search or Cosmos vectors)  [R-L43..R-L44]</t>
  </si>
  <si>
    <t>Shape from RagMemoryShape toggle. [td_override=true: people/platform lane dilates with slip.]</t>
  </si>
  <si>
    <t>G-P2-RAG-s1</t>
  </si>
  <si>
    <t xml:space="preserve">    • Choose RagMemoryShape path</t>
  </si>
  <si>
    <t>G-P2-RAG-s2</t>
  </si>
  <si>
    <t xml:space="preserve">    • Index / vector store bring-up</t>
  </si>
  <si>
    <t>G-P2-RAG-s3</t>
  </si>
  <si>
    <t xml:space="preserve">    • Retrieval eval smoke</t>
  </si>
  <si>
    <t>G-P2-MEM</t>
  </si>
  <si>
    <t>Cosmos Mongo agent memory store  [R-L45..R-L45]</t>
  </si>
  <si>
    <t>Shared memory platform for all catalogue agents. [td_override=true: people/platform lane dilates with slip.]</t>
  </si>
  <si>
    <t>G-P2-MEM-s1</t>
  </si>
  <si>
    <t xml:space="preserve">    • Provision Cosmos Mongo</t>
  </si>
  <si>
    <t>G-P2-MEM-s2</t>
  </si>
  <si>
    <t xml:space="preserve">    • Memory schema + retention</t>
  </si>
  <si>
    <t>G-P2-MEM-s3</t>
  </si>
  <si>
    <t xml:space="preserve">    • Per-agent memory wiring pattern</t>
  </si>
  <si>
    <t>G-P2-FABRIC</t>
  </si>
  <si>
    <t>Agent hosting / orchestration fabric  [R-L40..R-L45]</t>
  </si>
  <si>
    <t>Ties named agents to platform stack. [td_override=true: people/platform lane dilates with slip.]</t>
  </si>
  <si>
    <t>G-P2-FABRIC-s1</t>
  </si>
  <si>
    <t xml:space="preserve">    • Host agent runtimes</t>
  </si>
  <si>
    <t>G-P2-FABRIC-s2</t>
  </si>
  <si>
    <t xml:space="preserve">    • Bind MCP + RAG + memory</t>
  </si>
  <si>
    <t>G-P2-FABRIC-s3</t>
  </si>
  <si>
    <t xml:space="preserve">    • Supervisor / orchestration hooks</t>
  </si>
  <si>
    <t>G-AGT-OPEX</t>
  </si>
  <si>
    <t>Agent: OpEx categorisation agent  [R-L40..R-L45]</t>
  </si>
  <si>
    <t>NAMED AGENT (which to build). Absent from HCL POAP (F5). Apps=['MRI']; rag_required=True. Agents tab Include flag. [td_override=true]</t>
  </si>
  <si>
    <t>G-AGT-OPEX-s1</t>
  </si>
  <si>
    <t xml:space="preserve">    • Scope OpEx categorisation agent + eval golden-set hooks</t>
  </si>
  <si>
    <t>G-AGT-OPEX-s2</t>
  </si>
  <si>
    <t xml:space="preserve">    • MCP tools via APIM into MRI + Entra NHI</t>
  </si>
  <si>
    <t>G-AGT-OPEX-s3</t>
  </si>
  <si>
    <t xml:space="preserve">    • RAG grounding corpus for OpEx categorisation agent</t>
  </si>
  <si>
    <t>G-AGT-OPEX-s4</t>
  </si>
  <si>
    <t xml:space="preserve">    • Cosmos Mongo memory wiring for OpEx categorisation agent</t>
  </si>
  <si>
    <t>G-AGT-OPEX-s5</t>
  </si>
  <si>
    <t xml:space="preserve">    • Pilot → hypercare gate for OpEx categorisation agent</t>
  </si>
  <si>
    <t>G-AGT-CAPEX</t>
  </si>
  <si>
    <t>Agent: CapEx assist agent  [R-L40..R-L45]</t>
  </si>
  <si>
    <t>NAMED AGENT (which to build). Absent from HCL POAP (F5). Apps=['MRI', 'Anaplan']; rag_required=True. Agents tab Include flag. [td_override=true]</t>
  </si>
  <si>
    <t>G-AGT-CAPEX-s1</t>
  </si>
  <si>
    <t xml:space="preserve">    • Scope CapEx assist agent + eval golden-set hooks</t>
  </si>
  <si>
    <t>G-AGT-CAPEX-s2</t>
  </si>
  <si>
    <t xml:space="preserve">    • MCP tools via APIM into MRI, Anaplan + Entra NHI</t>
  </si>
  <si>
    <t>G-AGT-CAPEX-s3</t>
  </si>
  <si>
    <t xml:space="preserve">    • RAG grounding corpus for CapEx assist agent</t>
  </si>
  <si>
    <t>G-AGT-CAPEX-s4</t>
  </si>
  <si>
    <t xml:space="preserve">    • Cosmos Mongo memory wiring for CapEx assist agent</t>
  </si>
  <si>
    <t>G-AGT-CAPEX-s5</t>
  </si>
  <si>
    <t xml:space="preserve">    • Pilot → hypercare gate for CapEx assist agent</t>
  </si>
  <si>
    <t>G-AGT-GROWTH</t>
  </si>
  <si>
    <t>Agent: Growth / Research Pack agent  [R-L40..R-L45]</t>
  </si>
  <si>
    <t>NAMED AGENT (which to build). Absent from HCL POAP (F5). Apps=['SAMA']; rag_required=True. Agents tab Include flag. [td_override=true]</t>
  </si>
  <si>
    <t>G-AGT-GROWTH-s1</t>
  </si>
  <si>
    <t xml:space="preserve">    • Scope Growth / Research Pack agent + eval golden-set hooks</t>
  </si>
  <si>
    <t>G-AGT-GROWTH-s2</t>
  </si>
  <si>
    <t xml:space="preserve">    • MCP tools via APIM into SAMA + Entra NHI</t>
  </si>
  <si>
    <t>G-AGT-GROWTH-s3</t>
  </si>
  <si>
    <t xml:space="preserve">    • RAG grounding corpus for Growth / Research Pack agent</t>
  </si>
  <si>
    <t>G-AGT-GROWTH-s4</t>
  </si>
  <si>
    <t xml:space="preserve">    • Cosmos Mongo memory wiring for Growth / Research Pack agent</t>
  </si>
  <si>
    <t>G-AGT-GROWTH-s5</t>
  </si>
  <si>
    <t xml:space="preserve">    • Pilot → hypercare gate for Growth / Research Pack agent</t>
  </si>
  <si>
    <t>G-AGT-METER</t>
  </si>
  <si>
    <t>Agent: Meter exception agent  [R-L40..R-L45]</t>
  </si>
  <si>
    <t>NAMED AGENT (which to build). Absent from HCL POAP (F5). Apps=['UL360']; rag_required=False. Agents tab Include flag. [td_override=true]</t>
  </si>
  <si>
    <t>G-AGT-METER-s1</t>
  </si>
  <si>
    <t xml:space="preserve">    • Scope Meter exception agent + eval golden-set hooks</t>
  </si>
  <si>
    <t>G-AGT-METER-s2</t>
  </si>
  <si>
    <t xml:space="preserve">    • MCP tools via APIM into UL360 + Entra NHI</t>
  </si>
  <si>
    <t>G-AGT-METER-s3</t>
  </si>
  <si>
    <t xml:space="preserve">    • Confirm tool-only path (RAG not required)</t>
  </si>
  <si>
    <t>G-AGT-METER-s4</t>
  </si>
  <si>
    <t xml:space="preserve">    • Cosmos Mongo memory wiring for Meter exception agent</t>
  </si>
  <si>
    <t>G-AGT-METER-s5</t>
  </si>
  <si>
    <t xml:space="preserve">    • Pilot → hypercare gate for Meter exception agent</t>
  </si>
  <si>
    <t>G-AGT-RECON</t>
  </si>
  <si>
    <t>Agent: Recon discrepancy agent  [R-L40..R-L45]</t>
  </si>
  <si>
    <t>NAMED AGENT (which to build). Absent from HCL POAP (F5). Apps=['MRI', 'UL360']; rag_required=False. Agents tab Include flag. [td_override=true]</t>
  </si>
  <si>
    <t>G-AGT-RECON-s1</t>
  </si>
  <si>
    <t xml:space="preserve">    • Scope Recon discrepancy agent + eval golden-set hooks</t>
  </si>
  <si>
    <t>G-AGT-RECON-s2</t>
  </si>
  <si>
    <t xml:space="preserve">    • MCP tools via APIM into MRI, UL360 + Entra NHI</t>
  </si>
  <si>
    <t>G-AGT-RECON-s3</t>
  </si>
  <si>
    <t>G-AGT-RECON-s4</t>
  </si>
  <si>
    <t xml:space="preserve">    • Cosmos Mongo memory wiring for Recon discrepancy agent</t>
  </si>
  <si>
    <t>G-AGT-RECON-s5</t>
  </si>
  <si>
    <t xml:space="preserve">    • Pilot → hypercare gate for Recon discrepancy agent</t>
  </si>
  <si>
    <t>G-AGT-R1</t>
  </si>
  <si>
    <t>Agent: R1 Content Agent (supervised pilot)  [R-L40..R-L45]</t>
  </si>
  <si>
    <t>NAMED AGENT (which to build). Absent from HCL POAP (F5). Apps=[]; rag_required=False. Agents tab Include flag. [td_override=true]</t>
  </si>
  <si>
    <t>G-AGT-R1-s1</t>
  </si>
  <si>
    <t xml:space="preserve">    • Scope R1 Content Agent (supervised pilot) + eval golden-set hooks</t>
  </si>
  <si>
    <t>G-AGT-R1-s2</t>
  </si>
  <si>
    <t xml:space="preserve">    • MCP tools via APIM into platform tools only + Entra NHI</t>
  </si>
  <si>
    <t>G-AGT-R1-s3</t>
  </si>
  <si>
    <t>G-AGT-R1-s4</t>
  </si>
  <si>
    <t xml:space="preserve">    • Cosmos Mongo memory wiring for R1 Content Agent (supervised pilot)</t>
  </si>
  <si>
    <t>G-AGT-R1-s5</t>
  </si>
  <si>
    <t xml:space="preserve">    • Pilot → hypercare gate for R1 Content Agent (supervised pilot)</t>
  </si>
  <si>
    <t>G-AGT-ORCH</t>
  </si>
  <si>
    <t>Agent: Platform orchestrator / supervisor agent  [R-L40..R-L45]</t>
  </si>
  <si>
    <t>G-AGT-ORCH-s1</t>
  </si>
  <si>
    <t xml:space="preserve">    • Scope Platform orchestrator / supervisor agent + eval golden-set hooks</t>
  </si>
  <si>
    <t>G-AGT-ORCH-s2</t>
  </si>
  <si>
    <t>G-AGT-ORCH-s3</t>
  </si>
  <si>
    <t>G-AGT-ORCH-s4</t>
  </si>
  <si>
    <t xml:space="preserve">    • Cosmos Mongo memory wiring for Platform orchestrator / supervisor agent</t>
  </si>
  <si>
    <t>G-AGT-ORCH-s5</t>
  </si>
  <si>
    <t xml:space="preserve">    • Pilot → hypercare gate for Platform orchestrator / supervisor agent</t>
  </si>
  <si>
    <t>Gantt - Corrected — technical step decomposition per major line of work</t>
  </si>
  <si>
    <t>The corrected sequence implementing review findings (F1/F2/F10/F16/F17/F19/F23/F26). Every window is RECOMMENDED — a proposed re-draw, not a committed plan. Cost totals are unchanged: windows move, quantities do not. The F1 re-anchor moves nominal go-live to week 31 (range weeks 29-33); the sheet renders BOTH the nominal marker and the range band, not a single committed date.  Bars recalc live: SlipWeeks dilates TIME-DRIVEN windows (people + Azure commissioning) pro-rata — the same elongation the slip cost prices; FIXED-fee engagements (licences, third-party pen-test/red-team) shift but keep their duration; hypercare shifts whole. A ▶ in the Slip column flags any bar clipped at the grid edge under a large slip. Milestones: ▲ nominal go-live · ◁▷ F1 range band · ✕ Christmas · ! Bank holiday · ◆ drawn phase gate. Bar colours: SEGRO red · HCL dark blue · Azure mid blue · Third-party purple · corrected bars green (proposed, not committed).</t>
  </si>
  <si>
    <t>Change vs as-drawn (per finding)</t>
  </si>
  <si>
    <t>Go-live range (F1)</t>
  </si>
  <si>
    <t>G-P2-L4-R</t>
  </si>
  <si>
    <t>Build - SEGRO (pulled forward into Design)  [P2-L4]</t>
  </si>
  <si>
    <t>RECOMMENDED</t>
  </si>
  <si>
    <t>Pulled forward from the full P2 span (weeks 6-15) to weeks 3-8 so security design completes before network build-out completes, not weeks after it.</t>
  </si>
  <si>
    <t>F17: 'Front-load the security-design decisions that constrain network layout (segmentation model, WAF placement, private endpoints, API security) into the design phase or build weeks 1-2; keep only implementation hardening in the parallel bar' - the corrected bar starts week 3 in P1, alongside the Cyber Sec Workshop in the P1 workshop chain, and completes end of week 8 (first 3 weeks of P2), BEFORE the as-drawn network build-out (item 1, first ~half of the 10-week build) completes - avoiding rework of an already-provisioned network layout. Implementation hardening only remains in the parallel build bar per the recommendation. Quantity unchanged (25 pd likely, P2-L4).</t>
  </si>
  <si>
    <t>G-P2-L4-R-s1</t>
  </si>
  <si>
    <t xml:space="preserve">    • Security-design decisions that constrain network layout - segmentation model, WAF placement, private endpoints, API security - taken in the design phase alongside the Cyber Sec Workshop</t>
  </si>
  <si>
    <t>F17: 'Front-load the security-design decisions that constrain network layout (segmentation model, WAF placement, private endpoints, API security) into the design phase or build weeks 1-2' - taken in P1 weeks 3-5 so they are settled before any network provisioning starts in P2.</t>
  </si>
  <si>
    <t>G-P2-L4-R-s2</t>
  </si>
  <si>
    <t xml:space="preserve">    • Complete remaining cyber security design - managed identities, Key Vault, secrets management, PAM - in build weeks 1-3, before network build-out completes</t>
  </si>
  <si>
    <t>F17: 'keep only implementation hardening in the parallel bar' - the design content completes by week 8, ahead of the network build-out finishing; only implementation hardening continues alongside the rest of the build.</t>
  </si>
  <si>
    <t>G-P1-REV-R</t>
  </si>
  <si>
    <t>New TAD/HLD/LLD review-and-revision track inside P1 extending 2 weeks into early P2; no as-drawn counterpart exists - the as-drawn plan has no review or revision cycle at all.</t>
  </si>
  <si>
    <t>F16: 'Publish a review/approval schedule per gating document (owner, turnaround SLA, revision allowance) and hold at least one built-in revision cycle before the build-start gate' - NEW explicit TAD/HLD/LLD review + revision track covering the 14 slide-5 design documents. One full revision loop for 14 documents does not fit inside the 5-week P1 window on top of authoring, so the track runs weeks 2-7, extending 2 weeks into early P2. Build-start impact, stated honestly: SEGRO build tasks gated on an approved TAD/HLD/LLD/DRG pack carry up to a 2-week start risk against the week-6 build start; this risk is absorbed in the go-live range shown in G-TEST-REANCHOR-R. No cost change - review effort sits inside the existing P1 role lines (P1-L1 to P1-L7), which is why no single cost_line is cited.</t>
  </si>
  <si>
    <t>G-P1-REV-R-s1</t>
  </si>
  <si>
    <t xml:space="preserve">    • Publish the review/approval schedule per gating document - owner, turnaround SLA, revision allowance - for all 14 slide-5 design documents (TAD, HLD, LLD, DRG pack and the rest)</t>
  </si>
  <si>
    <t>F16: 'Publish a review/approval schedule per gating document (owner, turnaround SLA, revision allowance)' - schedule issued in week 2 so reviews can start as documents land.</t>
  </si>
  <si>
    <t>G-P1-REV-R-s2</t>
  </si>
  <si>
    <t xml:space="preserve">    • First-pass reviews of the 14 slide-5 design documents as they land through the P1 workshop chain</t>
  </si>
  <si>
    <t>F16: reviews executed against the published schedule's 'turnaround SLA' during weeks 3-5, while the documents are being authored - not deferred past 'Design phase complete'.</t>
  </si>
  <si>
    <t>G-P1-REV-R-s3</t>
  </si>
  <si>
    <t xml:space="preserve">    • Built-in revision cycle: revise, re-review and approve the gating documents (TAD, HLD, LLD, DRG approval) before the build-start gate</t>
  </si>
  <si>
    <t>F16: 'hold at least one built-in revision cycle before the build-start gate' - the revision loop runs weeks 6-7 (early P2); build tasks gated on approved designs carry up to a 2-week start risk, noted in the parent basis.</t>
  </si>
  <si>
    <t>G-P1-PROC-R</t>
  </si>
  <si>
    <t>Decisions &amp; procurement</t>
  </si>
  <si>
    <t>Procurement starts week 1 and runs 5 weeks with named owners and latest-order dates, replacing the drawn ~2.5-week allowance that starts mid-P1.</t>
  </si>
  <si>
    <t>F10: 'Add named procurement tasks with owners and latest-order dates back-planned from the HCL install start' - the corrected procurement track starts week 1 and runs the full 5-week P1 window (&gt;=4 weeks), covering the Oracle 19 and Aerospike licence lead times (P1-L8, P1-L9) plus the MinIO EOL remediation scoping (P3-L8) and the ARO subscription branch if KDD-1 selects ARO. F10's evidence: the drawn bar is roughly a 2.5-2.7 week allowance starting mid-P1, which the senior architect independently challenged ('Procurrent of commercial components would take longer than 2 weeks'). Quantities unchanged - the licence lines remain RATE_MISSING at GBP 0 until quoted. cost_line is null (this track spans P1-L8/P1-L9 plus the P3-L8 MinIO remediation scoping and the conditional ARO subscription - no single cost-model id represents it); the covered lines are listed in 'covers'.</t>
  </si>
  <si>
    <t>G-P1-PROC-R-s1</t>
  </si>
  <si>
    <t xml:space="preserve">    • Name the procurement tasks with owners; back-plan latest-order dates from the corrected HCL install start (week 13) for Oracle 19, Aerospike, MinIO successor and the conditional ARO subscription</t>
  </si>
  <si>
    <t>F10: 'Add named procurement tasks with owners and latest-order dates back-planned from the HCL install start' - done in week 1 so lead times run from the earliest possible date.</t>
  </si>
  <si>
    <t>G-P1-PROC-R-s2</t>
  </si>
  <si>
    <t xml:space="preserve">    • Issue quotes/orders for the long-lead commercial components: Oracle 19 (mandatory for Unica+ MaxAI CDM, P1-L8) and Aerospike edition/licence (P1-L9)</t>
  </si>
  <si>
    <t>F10: these items 'can gate the HCL install bar' per the finding - orders issued weeks 2-3 against the week-1 latest-order dates.</t>
  </si>
  <si>
    <t>G-P1-PROC-R-s3</t>
  </si>
  <si>
    <t xml:space="preserve">    • Track lead times and confirm delivery/entitlement against the latest-order dates before the Design phase complete gate</t>
  </si>
  <si>
    <t>F10: confirmation weeks 4-5 keeps the 'latest-order dates back-planned from the HCL install start' honest - any slip is visible ~8 weeks before the corrected HCL install start (week 13).</t>
  </si>
  <si>
    <t>G-P2-L27-R</t>
  </si>
  <si>
    <t>Build - SEGRO  [P2-L27]</t>
  </si>
  <si>
    <t>Concentrated into the first 3 weeks of P2 (weeks 6-8) so pipelines and policy gates exist before workloads deploy, instead of running across the full 10-week build.</t>
  </si>
  <si>
    <t>F19: 'Add a named DevSecOps workstream (IaC for foundations, policy-as-code, image scanning, CI/CD for platform and agent deployment) to the build phase; the workbook carries it as P2-L27' - placed in the FIRST 3 weeks of P2 (weeks 6-8) so pipelines and policy gates exist before workloads deploy onto the platform, rather than being spread across the full 10-week build where later workstreams would deploy without gates. Quantity unchanged (30 pd likely, P2-L27) - the same effort concentrated into a shorter elapsed window. PLANNING NOTE: 30 pd across 3 weeks implies ~2.0 DevSecOps FTE vs the P2-L27 profile of 0.6 FTE over 10 weeks - a resourcing assumption, not a cost change (pd constant); if 2.0 FTE is infeasible in the first 3 build weeks, spread to weeks 6-10 while still landing the pipelines before the bulk of workloads deploy, which is all F19 requires.</t>
  </si>
  <si>
    <t>G-P2-L27-R-s1</t>
  </si>
  <si>
    <t xml:space="preserve">    • IaC pipelines for foundations stood up first - before foundations provisioning scales</t>
  </si>
  <si>
    <t>F19: 'IaC for foundations' is the first named element of the recommended workstream - it must exist in week 6 so build item 1 provisions through pipelines, not by hand.</t>
  </si>
  <si>
    <t>G-P2-L27-R-s2</t>
  </si>
  <si>
    <t xml:space="preserve">    • Policy-as-code gates and image scanning wired into the pipelines</t>
  </si>
  <si>
    <t>F19: 'policy-as-code, image scanning' - gates live in week 7, ahead of shared-services and AKS workload deployments.</t>
  </si>
  <si>
    <t>G-P2-L27-R-s3</t>
  </si>
  <si>
    <t xml:space="preserve">    • CI/CD for platform and agent deployment operational; all subsequent P2/P3 deployments flow through the gated pipelines</t>
  </si>
  <si>
    <t>F19: 'CI/CD for platform and agent deployment' complete by end week 8 - the pipelines the slide-7 'CI/CD Configuration Document' describes now exist before the workloads they deploy.</t>
  </si>
  <si>
    <t>G-P3-L1-R</t>
  </si>
  <si>
    <t>G-P1-PROC-R, G-P2-L27-R</t>
  </si>
  <si>
    <t>Starts week 13 (once AKS hardening completes at end of SEGRO build week 7), overlapping the SEGRO build tail by 3 weeks instead of running strictly sequential from week 16.</t>
  </si>
  <si>
    <t>F2: 'Re-plan the HCL install to start once the AKS platform is hardened (end of SEGRO week 6-7) rather than after the full SEGRO bar; validate the overlap window with HCL' - corrected start week 13 = end of SEGRO build week 7 (grid week 12), giving a 3-week overlap with the SEGRO build tail (weeks 13-15), inside F2's 2-4 week planning assumption. Later HCL scope (connectivity, routing, observability integration) is sequenced after the wider SEGRO stack completes at week 15. Priced via the model's OverlapWeeks lever: 'Priced via the OverlapWeeks input (Azure double-running saving only - person-days are not reduced by parallel working)' - the 90 pd likely quantity is unchanged; only elapsed double-running shortens. The install remains gated on KDD-1 closure per F3.</t>
  </si>
  <si>
    <t>G-P3-L1-R-s1</t>
  </si>
  <si>
    <t xml:space="preserve">    • HCL install base UnO platform onto the hardened AKS platform, overlapping the SEGRO build tail</t>
  </si>
  <si>
    <t>F2: 'start once the AKS platform is hardened (end of SEGRO week 6-7)' - the base install needs only the hardened AKS platform (SEGRO item 2), not the full stack, so it starts week 13 in parallel with the remaining SEGRO build.</t>
  </si>
  <si>
    <t>G-P3-L1-R-s2</t>
  </si>
  <si>
    <t xml:space="preserve">    • Install TX components (DX, Foundry) and run platform validation</t>
  </si>
  <si>
    <t>F2: overlap sequencing - component installs proceed while the SEGRO build completes (week 15); 'validate the overlap window with HCL' applies to this boundary.</t>
  </si>
  <si>
    <t>G-P3-L1-R-s3</t>
  </si>
  <si>
    <t xml:space="preserve">    • Connectivity, routing and observability integration against the completed SEGRO stack</t>
  </si>
  <si>
    <t>F2: the finding notes 'later HCL scope (connectivity, routing, gateways, certificates) depends on the wider stack' - so this step runs weeks 17-18, after the SEGRO build ends (week 15).</t>
  </si>
  <si>
    <t>G-TEST-REANCHOR-R</t>
  </si>
  <si>
    <t>Testing &amp; Deploy (re-anchored)</t>
  </si>
  <si>
    <t>F1, F14, F23</t>
  </si>
  <si>
    <t>New re-anchoring task: SIT pulled left to mid-Nov (week 19), explicit Christmas freeze gap weeks 24-25, UAT in January weeks 26-27; go-live moves from end of week 29 to an honest week 29-33 range (ASSUMPTION-within-RECOMMENDED).</t>
  </si>
  <si>
    <t>F1: 'Pull testing left (start mid-Nov) or extend to 6 weeks crossing Christmas with an explicit freeze gap; do not book UAT sign-off or go/no-go inputs in the week of 21 Dec' - the corrected sequence does both: SIT/pen test start week 19 (w/c 16 Nov 2026 = mid-Nov, enabled by the F2 overlap ending the HCL install at week 18), an explicit freeze gap holds weeks 24-25 (Christmas), and UAT sign-off runs weeks 26-27, clear of w/c 21 Dec. Resulting go-live movement, stated HONESTLY as a range and labelled ASSUMPTION-within-RECOMMENDED: nominal go-live end of week 31 vs the as-drawn end of week 29, presented as a week 29-33 range (late Jan to late Feb 2027) - NOT a new committed date - because F14 says 'Present go-live as a range' until the Arch workshop confirms durations, and the range must absorb the F16 review-cycle build-start risk (up to 2 weeks). The week 29-33 band shown here is the mechanical Christmas-freeze + F16 floor; F14's own recommendation cites the wider Green Book ICT optimism-bias band (+3 to +16 wk, i.e. potentially into Q2 2027), which the SlipWeeks lever on the As-Drawn sheet prices beyond this floor - so the true upper bound is SlipWeeks-driven, not capped at week 33. No cost change: the P4/P5 quantities are unchanged; this task only re-anchors their windows (spans cost lines P4-L1 to P5-L5, so no single cost_line is cited).</t>
  </si>
  <si>
    <t>G-TEST-REANCHOR-R-s1</t>
  </si>
  <si>
    <t xml:space="preserve">    • SIT + pen test execution, pulled left to start mid-November</t>
  </si>
  <si>
    <t>F1: 'Pull testing left (start mid-Nov)' - week 19 is w/c 16 Nov 2026; possible because the overlapped HCL install (G-P3-L1-R) completes at week 18. The F7-booked pen test lands here, well clear of December.</t>
  </si>
  <si>
    <t>G-TEST-REANCHOR-R-s2</t>
  </si>
  <si>
    <t xml:space="preserve">    • HCL fix-and-retest window between the SIT defect surge and UAT (detail carried in G-P4-FIX-R - same window, not double-counted)</t>
  </si>
  <si>
    <t>F23: 'Add an explicit fix-and-retest loop with an HCL turnaround SLA inside (or immediately after) the test window' - this step reserves the elapsed weeks in the re-anchored sequence; the task-level detail is G-P4-FIX-R.</t>
  </si>
  <si>
    <t>G-TEST-REANCHOR-R-s3</t>
  </si>
  <si>
    <t xml:space="preserve">    • Explicit Christmas freeze gap - no UAT sign-off, no go/no-go inputs, no cutover activity booked</t>
  </si>
  <si>
    <t>F1: 'extend to 6 weeks crossing Christmas with an explicit freeze gap; do not book UAT sign-off or go/no-go inputs in the week of 21 Dec' - weeks 24-25 (w/c 21 Dec and 28 Dec) are held as a named freeze, not silently worked through.</t>
  </si>
  <si>
    <t>G-TEST-REANCHOR-R-s4</t>
  </si>
  <si>
    <t xml:space="preserve">    • UAT execution and sign-off, clear of the freeze</t>
  </si>
  <si>
    <t>F1: 'do not book UAT sign-off or go/no-go inputs in the week of 21 Dec' - UAT runs weeks 26-27 (w/c 4 and 11 Jan 2027), after the freeze, with the fix-and-retest loop already complete.</t>
  </si>
  <si>
    <t>G-TEST-REANCHOR-R-s5</t>
  </si>
  <si>
    <t xml:space="preserve">    • Deploy: production readiness, go/no-go, migration execution, go-live within the stated range</t>
  </si>
  <si>
    <t>F14: 'Present go-live as a range' - deploy runs weeks 28-31 with nominal go-live end of week 31; the movement vs the as-drawn week-29 go-live is labelled ASSUMPTION-within-RECOMMENDED and shown as a week 29-33 range, not a new committed date. The go/no-go gate (~week 30) takes the G-P4-L8-R red-team/audit outputs as named inputs.</t>
  </si>
  <si>
    <t>G-P4-FIX-R</t>
  </si>
  <si>
    <t>New 2-week explicit HCL fix-and-retest window inserted between SIT and UAT, with greenfield and brownfield retest coverage; no as-drawn counterpart exists.</t>
  </si>
  <si>
    <t>F23: 'Add an explicit fix-and-retest loop with an HCL turnaround SLA inside (or immediately after) the test window, and state greenfield/brownfield coverage in the test scope; P4-L6 carries the HCL-side cost but the elapsed time must be planned' - NEW ~2-week window at weeks 22-23, between the SIT defect surge (weeks 19-21) and UAT (weeks 26-27) in the re-anchored sequence, so material HCL defects no longer slip the go/no-go directly. Cost unchanged: P4-L6 (20 pd likely) already carries the HCL-side effort; this task plans the elapsed time the as-drawn plan omitted.</t>
  </si>
  <si>
    <t>G-P4-FIX-R-s1</t>
  </si>
  <si>
    <t xml:space="preserve">    • HCL defect triage and fix under a stated turnaround SLA, on defects raised by SIT against HCL-installed components</t>
  </si>
  <si>
    <t>F23: 'an explicit fix-and-retest loop with an HCL turnaround SLA' - week 22 is the fix half of the loop; the SLA makes HCL turnaround a managed commitment rather than untimed goodwill.</t>
  </si>
  <si>
    <t>G-P4-FIX-R-s2</t>
  </si>
  <si>
    <t xml:space="preserve">    • Retest with explicit greenfield coverage (clean-install paths) AND brownfield coverage (integration with the existing estate) before UAT entry</t>
  </si>
  <si>
    <t>F23: 'state greenfield/brownfield coverage in the test scope' - the architect flagged both scenarios need testing; the retest week exercises fixed components on both paths so UAT starts on a known-good baseline.</t>
  </si>
  <si>
    <t>G-P4-L8-R</t>
  </si>
  <si>
    <t>Moved from inside the December test window to weeks 26-28 as a named go/no-go input completing immediately before the gate, clear of the Christmas freeze.</t>
  </si>
  <si>
    <t>F26: 'Add a pre-go-live AI red-team exercise and audit dry-run as named go/no-go inputs (carried as P4-L8), plus a recurring cadence as agent surfaces and edge cases grow (R-L31)' - placed at weeks 26-28, late in the re-anchored test window running into the deploy start, completing BEFORE the go/no-go gate (~week 30 in G-TEST-REANCHOR-R-s5) so its findings are genuine gate inputs. It cannot sit earlier without landing in the Christmas freeze (weeks 24-25), which F1 rules out for go/no-go inputs. Cost unchanged: fixed engagement of 3-8 tester-days (P4-L8); the recurring cadence is already carried as R-L31 in the run model.</t>
  </si>
  <si>
    <t>G-P4-L8-R-s1</t>
  </si>
  <si>
    <t xml:space="preserve">    • AI red-team exercise on agent surfaces - prompt injection, tool-abuse/data-exfiltration, jailbreak testing</t>
  </si>
  <si>
    <t>F26: 'Add a pre-go-live AI red-team exercise' - scope drawn from the finding's own list (prompt injection, data exfiltration via tools, jailbreaks); runs week 26 in parallel with UAT on the same environments.</t>
  </si>
  <si>
    <t>G-P4-L8-R-s2</t>
  </si>
  <si>
    <t xml:space="preserve">    • Audit dry-run against the platform's operational and governance evidence</t>
  </si>
  <si>
    <t>F26: 'and audit dry-run' - the finding notes 'no audit dry-run precedes go-live on a platform whose product is agent behaviour'; week 27 closes that gap before the gate.</t>
  </si>
  <si>
    <t>G-P4-L8-R-s3</t>
  </si>
  <si>
    <t xml:space="preserve">    • Findings triage and red-team/audit report issued as named go/no-go inputs</t>
  </si>
  <si>
    <t>F26: 'as named go/no-go inputs (carried as P4-L8)' - the report lands week 28, ahead of the go/no-go gate in the re-anchored deploy step (G-TEST-REANCHOR-R-s5).</t>
  </si>
  <si>
    <t>SEGRO POAP Costings — Control Panel (all scenarios drive live)</t>
  </si>
  <si>
    <t>Amber cells are editable inputs — change a toggle and every tab, total and chart recalculates live. Status labels: VERIFIED (grounded to source) / VERIFIED-ESTIMATE / INDICATIVE (list price, editable) / DERIVED (formula) / ASSUMPTION (stated basis, editable) / RATE_MISSING (no source rate — £0 until entered).</t>
  </si>
  <si>
    <t>SCENARIO SWITCHES &amp; LOADINGS</t>
  </si>
  <si>
    <t>Include HCL delivery &amp; licence lines</t>
  </si>
  <si>
    <t>Include</t>
  </si>
  <si>
    <t>Includes/excludes all people_hcl rate lines and HCL RATE_MISSING licence/AMS input cells from build and run totals</t>
  </si>
  <si>
    <t>Effort estimate basis</t>
  </si>
  <si>
    <t>Likely</t>
  </si>
  <si>
    <t>Selects the effort column (low/likely/high person-days) used for all people cost lines</t>
  </si>
  <si>
    <t>Container platform</t>
  </si>
  <si>
    <t>AKS</t>
  </si>
  <si>
    <t>AKS: aks_standard_mgmt_hr flat per cluster. ARO: adds aro_openshift_licence_vcpu_hr per worker vCPU plus 3 control-plane node VMs. Note HCL's own matrix marks AKS x CDP = N</t>
  </si>
  <si>
    <t>Number of environments</t>
  </si>
  <si>
    <t>Multiplies per-environment infrastructure lines (dev/test/preprod/prod)</t>
  </si>
  <si>
    <t>Cluster topology</t>
  </si>
  <si>
    <t>Single</t>
  </si>
  <si>
    <t>Open KDD (F3; CDP AKS incompatibility may force a split). Dual doubles cluster-level fees only (AKS mgmt fee, ARO control planes) - total worker-node count is workload-driven and does not double when the same workload is split across two clusters.</t>
  </si>
  <si>
    <t>Node pool sizing</t>
  </si>
  <si>
    <t>M</t>
  </si>
  <si>
    <t>Maps node pool SKU: S/M -&gt; vm_d4s_v5_node_hr, L -&gt; vm_d8s_v5_node_hr (S = fewer nodes of D4s_v5)</t>
  </si>
  <si>
    <t>Blended day rate (GBP) - adjustable placeholder, RATE_MISSING in sources</t>
  </si>
  <si>
    <t>Overrides blended_day_rate for lines costed on the blended basis (role-specific lines keep their own VERIFIED medians)</t>
  </si>
  <si>
    <t>Contingency % on build (HM Treasury ICT optimism-bias band is 10-200% on capex - 15% sits at the optimistic end)</t>
  </si>
  <si>
    <t>Uplift applied to build-phase totals</t>
  </si>
  <si>
    <t>Annual indexation % on run costs</t>
  </si>
  <si>
    <t>Annual uplift applied to run-cost years 2-5</t>
  </si>
  <si>
    <t>Schedule slip (weeks)</t>
  </si>
  <si>
    <t>Extends build-phase duration (and people cost) by N weeks; HM Treasury ICT duration optimism-bias is +10% to +54% (programme_benchmarks.json) as sensitivity anchors</t>
  </si>
  <si>
    <t>Phase overlap (weeks)</t>
  </si>
  <si>
    <t>Weeks the HCL install runs PARALLEL to the SEGRO build. Models a COST saving only — nets off Azure environment double-running on the time-driven P1–P5 lines. It does NOT move the modelled go-live (the as-drawn Gantt draws HCL sequential — that is finding F2; the schedule benefit is shown on the Corr</t>
  </si>
  <si>
    <t>Organisation headcount for per-user licences (brief assumed ~700; SEGRO ARA25 VERIFIED headcount is 463, average 454 - set to ~463 for ARA-anchored runs)</t>
  </si>
  <si>
    <t>Multiplies all per-user licence lines</t>
  </si>
  <si>
    <t>Observability stack (Azure-native vs Datadog)</t>
  </si>
  <si>
    <t>Azure (default): Log Analytics + Azure Monitor (Azure-native). Datadog: APM + Infrastructure + LLM Observability metered SKUs (LLM spans) — a separate metered line Azure Monitor does not charge for. List prices are INDICATIVE ceilings; negotiated discount tier is RATE_MISSING.</t>
  </si>
  <si>
    <t>Model vendor (Azure-served)</t>
  </si>
  <si>
    <t>AzureOpenAI</t>
  </si>
  <si>
    <t>Azure-only serving plane family. Pair with ModelSKU.</t>
  </si>
  <si>
    <t>Model SKU (GPT→5.6 / Claude→Fable / Grok→4.5 / Llama)</t>
  </si>
  <si>
    <t>GPT-4o</t>
  </si>
  <si>
    <t>Foundation-model SKU. Default GPT-4o = headline continuity. Wrong-vendor SKUs evaluate to £0 via vendor_gate+model_gate. Llama uses GPU lines (not token mirrors).</t>
  </si>
  <si>
    <t>Agent stack (MCP + RAG + memory)</t>
  </si>
  <si>
    <t>Exclude</t>
  </si>
  <si>
    <t>Exclude (default): no MCP/RAG/memory/agent-intensity cost — headline-neutral. Include: ACA MCP × McpServerCount, APIM, embeddings, RAG shape, Cosmos memory × AgentCount.</t>
  </si>
  <si>
    <t>RAG + memory store shape</t>
  </si>
  <si>
    <t>AISearch_Cosmos</t>
  </si>
  <si>
    <t>AISearch_Cosmos: Azure AI Search + Cosmos Mongo memory. CosmosOnly: Cosmos for memory and vectors (AI Search £0).</t>
  </si>
  <si>
    <t>Agent count (intensity calculator)</t>
  </si>
  <si>
    <t>Scales per-agent tokens/memory/embeddings when AgentStack=Include (1–100 guidance).</t>
  </si>
  <si>
    <t>MCP server count (application plugs)</t>
  </si>
  <si>
    <t>Scales MCP Container Apps + APIM when AgentStack=Include (1–50 application plugs).</t>
  </si>
  <si>
    <t>SCOPE NOTES</t>
  </si>
  <si>
    <t>▪ HCL FLOOR caveat: all HCL licence/subscription/AMS lines (UnO, Unica+, CDP, DX, AMS) are RATE_MISSING at GBP 0 because HCL has not shared contract pricing. Any total that includes them is therefore a FLOOR, not an estimate - never present it as the expected HCL cost.</t>
  </si>
  <si>
    <t>▪ INDICATIVE and VERIFIED prices are vendor LIST prices with no EA/MACC discount applied. Azure PAYG list is the ceiling: SEGRO's EA discount, 1-yr/3-yr reservations (typically 30-60% off VMs and databases) and savings plans would all reduce the infra figures. Microsoft GBP licence prices are paid-yea</t>
  </si>
  <si>
    <t>▪ Headcount: SEGRO ARA25 (VERIFIED) reports 463 employees (average 454, of which 168 indirect/administration). The brief's ~700 figure is retained as the OrgSize toggle default per instruction, but per-user licence maths should be sanity-checked at ~463; the delta overstates per-user costs by ~50%.</t>
  </si>
  <si>
    <t>▪ Contingency: the default 15% is an ASSUMPTION. HM Treasury Green Book optimism-bias guidance (programme_benchmarks.json, VERIFIED) puts Equipment/ICT-development capex uplift at 10% (lower bound, achievable at contract award with evidenced risk mitigation) to 200% (upper bound, the mandated starting</t>
  </si>
  <si>
    <t>▪ FX: all USD-quoted sources convert at 0.74015 GBP/USD (ECB reference rate via Frankfurter API, 16 Jul 2026, VERIFIED in both people_rates.json and org_it_benchmarks.json). Converted lines are status INDICATIVE and show the arithmetic in notes - nothing converted silently.</t>
  </si>
  <si>
    <t>▪ ServiceNow: no published list prices exist; the GBP 74.02/user/mo line is aggregator-sourced INDICATIVE, the adversarial verdict confirmed the source says per USER not per fulfiller, and ServiceNow moved to Foundation/Advanced/Prime packaging with a consumption meter in April 2026 - treat as an adju</t>
  </si>
  <si>
    <t>▪ M365/Copilot baseline: SEGRO already licenses M365 and rolled Copilot out to all employees in 2025 (ARA25 p21). These lines are in the spec for completeness and marginal-cost modelling - treat core M365 + Copilot as existing baseline, not incremental POAP cost.</t>
  </si>
  <si>
    <t>▪ Azure scope exclusions (will appear on a real bill but are not priced in the fact files): managed disks for node pools, bandwidth/egress, Azure Firewall, Private Link endpoints, backup storage. Defender for Cloud is carried explicitly as RATE_MISSING. Log Analytics ingestion is the most under-estima</t>
  </si>
  <si>
    <t>▪ Training: no authoritative per-rollout per-employee figure exists (RATE_MISSING, GBP 0 adjustable). The Training Magazine USD 774/learner/yr (~GBP 573) enterprise average is INDICATIVE context for annual all-training spend only - not a rollout unit cost.</t>
  </si>
  <si>
    <t>▪ Maker/verifier provenance: all four source fact files carry APPROVE verdicts in workbook_build/poap/verdicts/ (17 Jul 2026). Every VERIFIED value_gbp in this spec is copied unchanged from its fact file; DERIVED/INDICATIVE lines state their arithmetic; nothing is invented at spec time.</t>
  </si>
  <si>
    <t>Rates — every figure on this tab is an editable input</t>
  </si>
  <si>
    <t>Azure rates VERIFIED from the Azure Retail Prices API (GBP, uksouth); people rates VERIFIED from ITJobsWatch / G-Cloud 14 published rate cards; RATE_MISSING lines are £0 until a real rate is supplied. Sources cited per row.</t>
  </si>
  <si>
    <t>AZURE — COMPUTE &amp; PLATFORM</t>
  </si>
  <si>
    <t>Rate</t>
  </si>
  <si>
    <t>Unit</t>
  </si>
  <si>
    <t>Value (£)</t>
  </si>
  <si>
    <t>Source</t>
  </si>
  <si>
    <t>Notes</t>
  </si>
  <si>
    <t>AKS cluster management - Standard tier (Uptime SLA)</t>
  </si>
  <si>
    <t>per cluster per hour</t>
  </si>
  <si>
    <t>VERIFIED</t>
  </si>
  <si>
    <t>azure_infra_rates.json: AKS cluster management - Standard tier (Uptime SLA), as-of 2026-07-16</t>
  </si>
  <si>
    <t>~GBP 55.3/cluster/month at 730 hrs. Production default tier. Azure Retail Prices API, uksouth, PAYG.</t>
  </si>
  <si>
    <t>AKS node - Standard_D4s_v5 (4 vCPU / 16 GiB) Linux</t>
  </si>
  <si>
    <t>per node per hour</t>
  </si>
  <si>
    <t>azure_infra_rates.json: VM Standard_D4s_v5 (4 vCPU / 16 GiB) Linux - AKS node pool, as-of 2026-07-16</t>
  </si>
  <si>
    <t>~GBP 122.8/month at 730 hrs. OS disk billed separately. Candidate NodeSize=S/M mapping.</t>
  </si>
  <si>
    <t>VM Standard_D4ds_v5 (4 vCPU / 16 GiB / local temp disk) Linux — ARO minimum worker family</t>
  </si>
  <si>
    <t>facts/azure_infra_rates.json: 'VM Standard_D4ds_v5 (4 vCPU / 16 GiB / local temp disk) Linux', as_of 2026-07-1</t>
  </si>
  <si>
    <t>Ddsv5 (with local disk) is the ARO minimum-spec worker family per the fact file. Used for the ARO branch worker lines; AKS branch uses D4s_v5.</t>
  </si>
  <si>
    <t>AKS node - Standard_D8s_v5 (8 vCPU / 32 GiB) Linux</t>
  </si>
  <si>
    <t>azure_infra_rates.json: VM Standard_D8s_v5 (8 vCPU / 32 GiB) Linux - AKS node pool, as-of 2026-07-16</t>
  </si>
  <si>
    <t>~GBP 245.6/month at 730 hrs. Candidate NodeSize=L mapping.</t>
  </si>
  <si>
    <t>ARO OpenShift worker licence uplift (General Purpose)</t>
  </si>
  <si>
    <t>per vCPU per hour</t>
  </si>
  <si>
    <t>azure_infra_rates.json: Azure Red Hat OpenShift (ARO) - OpenShift worker licence uplift, General Purpose, as-o</t>
  </si>
  <si>
    <t>Charged on top of base Linux VM rate per worker node: 4 vCPU = 0.1296/hr, 8 vCPU = 0.2591/hr. ARO also needs 3 control-plane nodes billed as plain VMs. Drives t</t>
  </si>
  <si>
    <t>AZURE — DATA SERVICES</t>
  </si>
  <si>
    <t>PostgreSQL Flexible Server - GP D4ds_v5 (4 vCore) compute</t>
  </si>
  <si>
    <t>per hour</t>
  </si>
  <si>
    <t>azure_infra_rates.json: Azure Database for PostgreSQL Flexible Server - General Purpose D4ds_v5 (4 vCore) comp</t>
  </si>
  <si>
    <t>~GBP 227.8/month at 730 hrs. Per-vCore rate 0.078/hr scales linearly. Storage extra (separate line).</t>
  </si>
  <si>
    <t>PostgreSQL Flexible Server - provisioned storage</t>
  </si>
  <si>
    <t>per GB per month</t>
  </si>
  <si>
    <t>azure_infra_rates.json: Azure Database for PostgreSQL Flexible Server - storage, as-of 2026-07-16</t>
  </si>
  <si>
    <t>Backup storage up to 100% of provisioned is free; excess billed separately.</t>
  </si>
  <si>
    <t>Azure SQL Database - General Purpose Gen5, 4 vCore (provisioned)</t>
  </si>
  <si>
    <t>azure_infra_rates.json: Azure SQL Database - General Purpose Gen5, 4 vCore (provisioned, single DB), as-of 202</t>
  </si>
  <si>
    <t>~GBP 421/month at 730 hrs. PAYG rate includes SQL licence; storage billed separately.</t>
  </si>
  <si>
    <t>Cosmos DB - serverless request units</t>
  </si>
  <si>
    <t>per 1 million RUs consumed</t>
  </si>
  <si>
    <t>azure_infra_rates.json: Cosmos DB - serverless request units, as-of 2026-07-16</t>
  </si>
  <si>
    <t>Best for spiky/low agent-state workloads; no minimum. Storage billed separately.</t>
  </si>
  <si>
    <t>Event Hubs - Standard tier, Throughput Unit</t>
  </si>
  <si>
    <t>per Throughput Unit per hour</t>
  </si>
  <si>
    <t>azure_infra_rates.json: Event Hubs - Standard tier, Throughput Unit, as-of 2026-07-16</t>
  </si>
  <si>
    <t>~GBP 16.6/TU/month; 1 TU = 1 MB/s ingress. Ingress events charged additionally at 0.0212 per 1M events (same source file).</t>
  </si>
  <si>
    <t>Azure Cache for Redis - Standard C1 (1 GB, replicated)</t>
  </si>
  <si>
    <t>per cache per hour</t>
  </si>
  <si>
    <t>azure_infra_rates.json: Azure Cache for Redis - Standard C1 (1 GB, replicated), as-of 2026-07-16</t>
  </si>
  <si>
    <t>~GBP 95.7/month.</t>
  </si>
  <si>
    <t>AZURE — NETWORKING</t>
  </si>
  <si>
    <t>Application Gateway WAF_v2 - fixed gateway cost</t>
  </si>
  <si>
    <t>per gateway per hour</t>
  </si>
  <si>
    <t>azure_infra_rates.json: Application Gateway WAF_v2 - fixed gateway cost, as-of 2026-07-16</t>
  </si>
  <si>
    <t>~GBP 248.9/month fixed, plus capacity units. WAF policies included in v2 SKU.</t>
  </si>
  <si>
    <t>Application Gateway WAF_v2 - capacity unit</t>
  </si>
  <si>
    <t>per capacity unit per hour</t>
  </si>
  <si>
    <t>azure_infra_rates.json: Application Gateway WAF_v2 - capacity unit, as-of 2026-07-16</t>
  </si>
  <si>
    <t>Typical small prod ~10 CU avg adds ~GBP 79.6/month.</t>
  </si>
  <si>
    <t>API Management - Standard tier (classic)</t>
  </si>
  <si>
    <t>per unit per hour</t>
  </si>
  <si>
    <t>azure_infra_rates.json: API Management - Standard tier (classic), as-of 2026-07-16</t>
  </si>
  <si>
    <t>~GBP 520.3/unit/month. SEGRO already runs APIM (all integration via APIM per architecture principles) - existing estate APIM may absorb this; treat as marginal-</t>
  </si>
  <si>
    <t>VPN Gateway - VpnGw1</t>
  </si>
  <si>
    <t>azure_infra_rates.json: VPN Gateway - VpnGw1, as-of 2026-07-16</t>
  </si>
  <si>
    <t>~GBP 105/month. SEGRO single-tenant Azure estate likely already has connectivity - marginal cost may be nil.</t>
  </si>
  <si>
    <t>Azure Private DNS - hosted zone</t>
  </si>
  <si>
    <t>per zone per month (first 25 zones)</t>
  </si>
  <si>
    <t>azure_infra_rates.json: Azure Private DNS - hosted zone, as-of 2026-07-16</t>
  </si>
  <si>
    <t>Zones 26+ at 0.0758/zone/month. Billed globally, not per region.</t>
  </si>
  <si>
    <t>AZURE — OBSERVABILITY</t>
  </si>
  <si>
    <t>Log Analytics - PAYG data ingestion (Analytics Logs)</t>
  </si>
  <si>
    <t>per GB ingested</t>
  </si>
  <si>
    <t>azure_infra_rates.json: Log Analytics - Pay-As-You-Go data ingestion (Analytics Logs), as-of 2026-07-16</t>
  </si>
  <si>
    <t>First 5 GB/month free. Single biggest observability cost driver for agent platforms - budget by GB/day. Basic Logs alternative 0.4735/GB (same source file).</t>
  </si>
  <si>
    <t>Azure Monitor - metric alert rule</t>
  </si>
  <si>
    <t>per monitored metric timeseries per month</t>
  </si>
  <si>
    <t>azure_infra_rates.json: Azure Monitor - metric alert rule (per monitored metric timeseries), as-of 2026-07-16</t>
  </si>
  <si>
    <t>First 10 metric timeseries free. Log alert at 5-min frequency 0.1136/rule/month.</t>
  </si>
  <si>
    <t>OBSERVABILITY — DATADOG (Observability=Datadog branch)</t>
  </si>
  <si>
    <t>Datadog LLM Observability (Agent Observability) - Pro tier, up to 100K LLM spans (annual/c</t>
  </si>
  <si>
    <t>per month, includes up to 100,000 LLM spans</t>
  </si>
  <si>
    <t>INDICATIVE</t>
  </si>
  <si>
    <t>datadoghq.com/product/llm-observability - Pro tier USD 160/month, up to 100K LLM spans, 15-day retention (annu</t>
  </si>
  <si>
    <t>USD 160 x 0.74015 = 118.424, rounded 118.42. Billing unit = LLM span, defined by Datadog as 'a single call to an LLM provider' - tool/workflow/agent/embedding/r</t>
  </si>
  <si>
    <t>Datadog LLM Observability - on-demand, first 100K LLM spans</t>
  </si>
  <si>
    <t>per month, for first 100,000 LLM spans</t>
  </si>
  <si>
    <t>datadoghq.com/pricing/list - Agent Observability 'For first 100k LLM spans, per month' on-demand USD 240, fetc</t>
  </si>
  <si>
    <t>USD 240 x 0.74015 = 177.636, rounded 177.64. On-demand (uncommitted) list price for the same 100K-span base tier that costs USD 160 committed - i.e. the committ</t>
  </si>
  <si>
    <t>Datadog LLM Observability - overage per additional 10K LLM spans (on-demand)</t>
  </si>
  <si>
    <t>per 10,000 additional LLM spans per month</t>
  </si>
  <si>
    <t>datadoghq.com/pricing/list - Agent Observability 'Per 10K additional LLM spans, per month' on-demand USD 5, fe</t>
  </si>
  <si>
    <t xml:space="preserve">USD 5 x 0.74015 = 3.70075, rounded 3.70. Charged for LLM spans beyond the 100K included in the base tier. This is the true volume driver for an agent platform: </t>
  </si>
  <si>
    <t>Datadog APM (Application Performance Monitoring) - per host per month (annual, with Infras</t>
  </si>
  <si>
    <t>per APM host per month, billed annually</t>
  </si>
  <si>
    <t>datadoghq.com/pricing - APM 'Per host, per month' USD 31 billed annually (with Infrastructure Monitoring attac</t>
  </si>
  <si>
    <t xml:space="preserve">USD 31 x 0.74015 = 22.94465, rounded 22.94. This is the INFRA-ATTACHED APM rate. Per Datadog's pricing page, the attached rate REQUIRES a paired Pro/Enterprise </t>
  </si>
  <si>
    <t xml:space="preserve">Datadog APM (Application Performance Monitoring) - per host per month (annual, STANDALONE </t>
  </si>
  <si>
    <t>datadoghq.com/pricing - APM standalone 'Per host, per month' USD 36 billed annually (rate quoted when Infrastr</t>
  </si>
  <si>
    <t>USD 36 x 0.74015 = 26.6454, rounded 26.65. The STANDALONE APM rate — used ONLY when Infrastructure Monitoring is NOT bought at all on the host. It is HIGHER tha</t>
  </si>
  <si>
    <t>Datadog Infrastructure Monitoring - Pro tier, per host per month (annual)</t>
  </si>
  <si>
    <t>per infra host per month, billed annually</t>
  </si>
  <si>
    <t xml:space="preserve">datadoghq.com/pricing - Infrastructure Monitoring Pro 'Per host, per month' USD 15 billed annually (or USD 18 </t>
  </si>
  <si>
    <t>USD 15 x 0.74015 = 11.10225, rounded 11.10. The foundational per-host SKU; APM is typically attached to it (the USD 31 APM line above assumes Infra attached). V</t>
  </si>
  <si>
    <t>Datadog enterprise committed-annual-spend discount tier (negotiated)</t>
  </si>
  <si>
    <t>GBP per year (committed spend / EA discount)</t>
  </si>
  <si>
    <t>RATE_MISSING</t>
  </si>
  <si>
    <t>Not published - Datadog volume/multi-year discounts are quote-only ('Multi-Year/Volume discounts available', c</t>
  </si>
  <si>
    <t>£0 until a rate is supplied. Adjustable input defaulting to 0. Datadog's public list prices above are the pre-negotiation CEILING; enterprise agreements with co</t>
  </si>
  <si>
    <t>AZURE — SECURITY</t>
  </si>
  <si>
    <t>Key Vault - operations (secrets/software keys)</t>
  </si>
  <si>
    <t>per 10,000 operations</t>
  </si>
  <si>
    <t>azure_infra_rates.json: Key Vault - operations (Standard and Premium, secrets/software keys), as-of 2026-07-16</t>
  </si>
  <si>
    <t>Negligible at platform scale (millions of ops = a few GBP).</t>
  </si>
  <si>
    <t>Microsoft Defender for Cloud (workload protection plans)</t>
  </si>
  <si>
    <t>per resource per month</t>
  </si>
  <si>
    <t>azure_infra_rates.json narrative_notes: explicitly listed under 'Excluded (not in scope of the request, but wi</t>
  </si>
  <si>
    <t>£0 until a rate is supplied. Not priced in the fact files - adjustable input defaulting to 0. Defender plans are per-resource-type (servers, containers, databas</t>
  </si>
  <si>
    <t>FOUNDATION MODEL — SELF-HOSTED SERVING (ModelVendor=Llama)</t>
  </si>
  <si>
    <t>Azure GPU VM Standard_NC24ads_A100_v4 (1x NVIDIA A100 80GB / 24 vCPU / 220 GiB) Linux - si</t>
  </si>
  <si>
    <t>Azure Retail Prices API, uksouth, Consumption (PAYG): armSkuName 'Standard_NC24ads_A100_v4', productName 'NCad</t>
  </si>
  <si>
    <t>LLAMA branch (self-hosted). Modest, defensible single-GPU serving SKU for a single-model inference pool (1x A100 80GB serves a quantised ~70B or smaller Llama c</t>
  </si>
  <si>
    <t>Azure GPU VM Standard_NC40ads_H100_v5 (1x NVIDIA H100 NVL 94GB / 40 vCPU) Linux - higher-t</t>
  </si>
  <si>
    <t>Azure Retail Prices API, uksouth, Consumption (PAYG): armSkuName 'Standard_NC40ads_H100_v5', productName 'Virt</t>
  </si>
  <si>
    <t xml:space="preserve">LLAMA branch alternative. Newer H100-class single-GPU node for larger models or higher throughput than the A100 line above. ~GBP 4825.37/node/month at 730 hrs. </t>
  </si>
  <si>
    <t>Azure GPU capacity - quota request / reserved-capacity commitment (procurement act)</t>
  </si>
  <si>
    <t>per procurement (one-off / annual commitment)</t>
  </si>
  <si>
    <t>No clean public unit price - Azure GPU (NC/ND-series) capacity requires a quota-increase request and, at scale</t>
  </si>
  <si>
    <t>£0 until a rate is supplied. LLAMA branch. Adjustable input cell defaulting to GBP 0 - never a verified figure. Same RATE_MISSING procurement FAMILY as the exis</t>
  </si>
  <si>
    <t>FOUNDATION MODEL — AZURE-SERVED TOKENS (ModelSKU ladder)</t>
  </si>
  <si>
    <t>Anthropic Claude Sonnet (current production tier) - input tokens, standard list</t>
  </si>
  <si>
    <t>GBP per 1M input tokens</t>
  </si>
  <si>
    <t>Anthropic pricing (platform.claude.com/docs pricing table, fetched 2026-07-18): Claude Sonnet 5 base input USD</t>
  </si>
  <si>
    <t>CLAUDE branch (hosted API) - token meters only, like the existing Azure OpenAI GPT-4o pattern (aoai_gpt4o_input_1m_tokens). NO GPU node and NO inference-ops FTE</t>
  </si>
  <si>
    <t>Anthropic Claude Sonnet (current production tier) - output tokens, standard list</t>
  </si>
  <si>
    <t>GBP per 1M output tokens</t>
  </si>
  <si>
    <t>Anthropic pricing (platform.claude.com/docs pricing table, fetched 2026-07-18): Claude Sonnet 5 output USD 15.</t>
  </si>
  <si>
    <t>CLAUDE branch. Standard list USD 15/MTok out. INTRODUCTORY USD 10/MTok out through 31 Aug 2026 (= GBP 7.40) then reverts to USD 15 - use the standard 11.10 as t</t>
  </si>
  <si>
    <t>Azure OpenAI GPT-4.1 — input tokens, Global, uksouth</t>
  </si>
  <si>
    <t>Azure Retail API uksouth meter 'gpt 4.1 Inp glbl Tokens' £0.0015/1K, retrieved 2026-07-19</t>
  </si>
  <si>
    <t>Cheaper than GPT-4o; AzureOpenAI ladder.</t>
  </si>
  <si>
    <t>Azure OpenAI GPT-4.1 — output tokens, Global, uksouth</t>
  </si>
  <si>
    <t>Azure Retail API uksouth meter 'gpt 4.1 Outp glbl Tokens' £0.0061/1K, retrieved 2026-07-19</t>
  </si>
  <si>
    <t>Azure OpenAI / Foundry GPT-5.6 Terra — input (Azure-served list)</t>
  </si>
  <si>
    <t>OpenAI list USD 2.50/MTok × 0.74015; no Azure Retail meter yet 2026-07-19</t>
  </si>
  <si>
    <t>Balance tier of GPT-5.6 family. INDICATIVE until uksouth meter publishes.</t>
  </si>
  <si>
    <t>Azure OpenAI / Foundry GPT-5.6 Terra — output (Azure-served list)</t>
  </si>
  <si>
    <t>OpenAI list USD 15.00/MTok × 0.74015</t>
  </si>
  <si>
    <t>Azure OpenAI / Foundry GPT-5.6 Sol — input (Azure-served list)</t>
  </si>
  <si>
    <t>OpenAI list USD 5.00/MTok × 0.74015; no Azure Retail meter yet 2026-07-19</t>
  </si>
  <si>
    <t>Frontier tier. INDICATIVE until uksouth meter publishes.</t>
  </si>
  <si>
    <t>Azure OpenAI / Foundry GPT-5.6 Sol — output (Azure-served list)</t>
  </si>
  <si>
    <t>OpenAI list USD 30.00/MTok × 0.74015</t>
  </si>
  <si>
    <t>Claude Fable 5 on Azure — input tokens, standard list</t>
  </si>
  <si>
    <t>Anthropic Claude Fable 5 USD 10/MTok × 0.74015; Azure-served (Foundry/BYOK)</t>
  </si>
  <si>
    <t>ClaudeOnAzure top of ladder.</t>
  </si>
  <si>
    <t>Claude Fable 5 on Azure — output tokens, standard list</t>
  </si>
  <si>
    <t>Anthropic Claude Fable 5 USD 50/MTok × 0.74015</t>
  </si>
  <si>
    <t>Grok 4.3 on Azure AI Foundry — input (&lt;200k)</t>
  </si>
  <si>
    <t>xAI/Foundry list USD 1.25/MTok × 0.74015</t>
  </si>
  <si>
    <t>GrokOnAzure mid tier.</t>
  </si>
  <si>
    <t>Grok 4.3 on Azure AI Foundry — output (&lt;200k)</t>
  </si>
  <si>
    <t>xAI/Foundry list USD 2.50/MTok × 0.74015</t>
  </si>
  <si>
    <t>Grok 4.5 on Azure AI Foundry — input (&lt;200k)</t>
  </si>
  <si>
    <t>xAI docs grok-4.5 USD 2.00/MTok × 0.74015</t>
  </si>
  <si>
    <t>GrokOnAzure top of ladder.</t>
  </si>
  <si>
    <t>Grok 4.5 on Azure AI Foundry — output (&lt;200k)</t>
  </si>
  <si>
    <t>xAI docs grok-4.5 USD 6.00/MTok × 0.74015</t>
  </si>
  <si>
    <t>Azure OpenAI text-embedding-ada — tokens, Global uksouth</t>
  </si>
  <si>
    <t>GBP per 1M tokens</t>
  </si>
  <si>
    <t>Azure Retail API uksouth meter 'embedding-ada-glbl Tokens' £0.0001/1K, retrieved 2026-07-19</t>
  </si>
  <si>
    <t>RAG embedding meter.</t>
  </si>
  <si>
    <t>FOUNDATION MODEL — INFERENCE-OPS (ModelVendor=Llama)</t>
  </si>
  <si>
    <t>MLOps engineer contractor day rate (UK median) - basis for the inference-ops uplift</t>
  </si>
  <si>
    <t>GBP per day</t>
  </si>
  <si>
    <t>ITJobsWatch - MLOps contracts UK, 6 months to 18 Jul 2026 (242 rate quotes): median GBP 575/day, 25th pct 500,</t>
  </si>
  <si>
    <t xml:space="preserve">LLAMA branch. The day rate itself is VERIFIED (ITJobsWatch median, 242 quotes). It is the RATE basis for the inference-ops FTE uplift line below - self-hosting </t>
  </si>
  <si>
    <t>Inference-ops run-team uplift for self-hosted model serving (FTE fraction of an MLOps engi</t>
  </si>
  <si>
    <t xml:space="preserve">FTE fraction (of mlops_engineer_contractor_day) - </t>
  </si>
  <si>
    <t>No published per-platform headcount figure. Expressed as a basis: 0.2-0.5 FTE of an MLOps engineer at the VERI</t>
  </si>
  <si>
    <t>LLAMA branch ONLY. Value shipped as 0 (adjustable) so a total never silently bakes in an invented headcount; the intended live cell = FTE_fraction x 575 x worki</t>
  </si>
  <si>
    <t>AGENT STACK — MCP / RAG / MEMORY (AgentStack=Include)</t>
  </si>
  <si>
    <t>Azure Container Apps — active vCPU-second (MCP hosting)</t>
  </si>
  <si>
    <t>per vCPU-second</t>
  </si>
  <si>
    <t>tco/facts/azure_rates.json aca_vcpu_second (Retail API £0 free-grant; USD list converted)</t>
  </si>
  <si>
    <t>Per MCP server scale via McpServerCount.</t>
  </si>
  <si>
    <t>Azure Container Apps — active GiB-second (MCP hosting)</t>
  </si>
  <si>
    <t>per GiB-second</t>
  </si>
  <si>
    <t>tco/facts/azure_rates.json aca_gib_second</t>
  </si>
  <si>
    <t>APIM — marginal call unit (derived from Standard tier capacity ASSUMPTION)</t>
  </si>
  <si>
    <t>GBP per 1K calls</t>
  </si>
  <si>
    <t>Derived: APIM Standard ~£520.27/mo (tco azure_rates VERIFIED-lineage INDICATIVE) / ~12M calls/mo capacity floo</t>
  </si>
  <si>
    <t>SEGRO principle: all MCP behind APIM. Not a published per-call meter — ASSUMPTION unit for estate scaling.</t>
  </si>
  <si>
    <t>Azure AI Search Basic — search unit hour</t>
  </si>
  <si>
    <t>per unit-hour</t>
  </si>
  <si>
    <t>Azure Retail API uksouth meter 'Basic CC Unit' product Azure AI Search £0.0842/hr, retrieved 2026-07-19</t>
  </si>
  <si>
    <t>Active when RagMemoryShape=AISearch_Cosmos.</t>
  </si>
  <si>
    <t>Azure Cosmos DB autoscale — 100 RU/s hour (Mongo API memory/vector)</t>
  </si>
  <si>
    <t>per 100 RU/s per hour</t>
  </si>
  <si>
    <t>Azure Retail API uksouth Cosmos DB autoscale 100 RUs £0.0091/hr, retrieved 2026-07-19</t>
  </si>
  <si>
    <t>Agent memory always; vectors when CosmosOnly.</t>
  </si>
  <si>
    <t>PEOPLE — SEGRO INTERNAL</t>
  </si>
  <si>
    <t>SEGRO internal fully-loaded FTE cost (platform engineer)</t>
  </si>
  <si>
    <t>GBP per FTE per year</t>
  </si>
  <si>
    <t>Not in fact files - ASSUMPTION per brief</t>
  </si>
  <si>
    <t>Rationale: UK fully-loaded platform engineer cost (salary + NI + pension + overheads), consistent with the existing TCO workbook input. Adjustable. Context only</t>
  </si>
  <si>
    <t>PEOPLE — UK CONTRACTOR MARKET (ITJobsWatch medians)</t>
  </si>
  <si>
    <t>Platform Engineer contractor day rate (UK median)</t>
  </si>
  <si>
    <t>people_rates.json: Platform Engineer contractor median day rate, UK (ITJobsWatch, 6 months to 16 Jul 2026), as</t>
  </si>
  <si>
    <t>Median of 362 rate quotes; 25th pct 481, 75th pct 624. London median 581.</t>
  </si>
  <si>
    <t>DevOps Engineer contractor day rate (UK median)</t>
  </si>
  <si>
    <t>people_rates.json: DevOps Engineer contractor median day rate, UK (ITJobsWatch, 6 months to 16 Jul 2026), as-o</t>
  </si>
  <si>
    <t>25th pct 449, 75th pct 613.</t>
  </si>
  <si>
    <t>Kubernetes-skill contractor day rate (UK median)</t>
  </si>
  <si>
    <t>people_rates.json: Kubernetes (skill) contractor median day rate, UK (ITJobsWatch, 6 months to 16 Jul 2026), a</t>
  </si>
  <si>
    <t>Median of 1,819 rate quotes; 25th pct 459, 75th pct 624.</t>
  </si>
  <si>
    <t>Cloud Security contractor day rate (UK median)</t>
  </si>
  <si>
    <t>people_rates.json: Cloud Security (skill) contractor median day rate, UK (ITJobsWatch, 6 months to 16 Jul 2026</t>
  </si>
  <si>
    <t>Median of 687 rate quotes; 25th pct 481, 75th pct 650.</t>
  </si>
  <si>
    <t>Solutions Architect contractor day rate (UK median)</t>
  </si>
  <si>
    <t xml:space="preserve">people_rates.json: Solutions Architect contractor median day rate, UK (ITJobsWatch, 6 months to 16 Jul 2026), </t>
  </si>
  <si>
    <t>Median of 1,120 rate quotes; 25th pct 525, 75th pct 725.</t>
  </si>
  <si>
    <t>Project Manager contractor day rate (UK median)</t>
  </si>
  <si>
    <t>people_rates.json: Project Manager contractor median day rate, UK (ITJobsWatch, 6 months to 16 Jul 2026), as-o</t>
  </si>
  <si>
    <t>25th pct 450, 75th pct 625. Delivery Manager median 533 (same source file) if that role label is preferred.</t>
  </si>
  <si>
    <t>Test Engineer contractor day rate (UK median)</t>
  </si>
  <si>
    <t xml:space="preserve">people_rates.json: Test Engineer contractor median day rate, UK (ITJobsWatch, 6 months to 16 Jul 2026), as-of </t>
  </si>
  <si>
    <t>Median of 206 rate quotes; 25th pct 363, 75th pct 538. SDET median 453 (small sample, 49 quotes).</t>
  </si>
  <si>
    <t>Test Manager contractor day rate (UK median)</t>
  </si>
  <si>
    <t>people_rates.json: Test Manager contractor median day rate, UK (ITJobsWatch, 6 months to 16 Jul 2026), as-of 2</t>
  </si>
  <si>
    <t>25th pct 450, 75th pct 600.</t>
  </si>
  <si>
    <t>Data Engineer contractor day rate (UK median)</t>
  </si>
  <si>
    <t xml:space="preserve">people_rates.json: Data Engineer contractor median day rate, UK (ITJobsWatch, 6 months to 16 Jul 2026), as-of </t>
  </si>
  <si>
    <t>Median of 1,322 rate quotes; 25th pct 425, 75th pct 588.</t>
  </si>
  <si>
    <t>Business Analyst contractor day rate (UK median)</t>
  </si>
  <si>
    <t>people_rates.json: Business Analyst contractor median day rate, UK (ITJobsWatch, 6 months to 16 Jul 2026), as-</t>
  </si>
  <si>
    <t>Median of 1,430 rate quotes; 25th pct 413, 75th pct 588.</t>
  </si>
  <si>
    <t>Blended delivery day rate (adjustable placeholder)</t>
  </si>
  <si>
    <t>people_rates.json: Tier-1 Indian SI blended onshore/offshore day rate = RATE_MISSING (no public analyst-publis</t>
  </si>
  <si>
    <t>RATE_MISSING in sources; ships as a visible, user-adjustable GBP 850 placeholder per project convention (same treatment as the TCO workbook). Sits between ITJob</t>
  </si>
  <si>
    <t>PEOPLE — HCL (G-Cloud 14 published rate card)</t>
  </si>
  <si>
    <t>HCL G-Cloud 14 SFIA rate - Solution development &amp; implementation, Level 3 (Apply)</t>
  </si>
  <si>
    <t>GBP per day (8-hr day excl. travel/lunch)</t>
  </si>
  <si>
    <t>people_rates.json: HCLTech G-Cloud 14 SFIA rate card - Solution development &amp; implementation, Level 3 (Apply),</t>
  </si>
  <si>
    <t>HCL's own published UK public-sector ceiling rate (SFIA card, Oct 2024). Grid context: L1 750 / L2 850 / L3 950 / L4 1050 / L5 1150 / L6 1250 / L7 1850; Strateg</t>
  </si>
  <si>
    <t>HCL G-Cloud 14 published day-rate range - floor</t>
  </si>
  <si>
    <t>people_rates.json: HCLTech G-Cloud 14 Cloud Application Services day-rate range (published) 550-1650, as-of 20</t>
  </si>
  <si>
    <t>Low end of HCL's published SFIA-graded band (UK Digital Marketplace service 613304395170242). Per HCL's pricing document the card includes offshore India delive</t>
  </si>
  <si>
    <t>HCL G-Cloud 14 published day-rate range - ceiling</t>
  </si>
  <si>
    <t>High end of HCL's published band. Note the SFIA card itself lists Strategy &amp; architecture L7 at 2050 for that category (same source file); 1650 is the range pub</t>
  </si>
  <si>
    <t>LICENCES &amp; SUBSCRIPTIONS</t>
  </si>
  <si>
    <t>Microsoft 365 E3 (with Teams)</t>
  </si>
  <si>
    <t>GBP per user per month (paid yearly, annual commit</t>
  </si>
  <si>
    <t>org_it_benchmarks.json: Microsoft 365 E3 (with Teams), Microsoft UK pricing page fetched 16 Jul 2026</t>
  </si>
  <si>
    <t>E3 without Teams: 27.00. Monthly-billed annual-term subs carry +5% premium (since 1 Apr 2025). SEGRO baseline - treat as existing cost, not incremental.</t>
  </si>
  <si>
    <t>Microsoft 365 E5 (with Teams)</t>
  </si>
  <si>
    <t>org_it_benchmarks.json: Microsoft 365 E5 (with Teams), Microsoft UK pricing page fetched 16 Jul 2026</t>
  </si>
  <si>
    <t>E5 without Teams: 45.00.</t>
  </si>
  <si>
    <t>Microsoft 365 Copilot add-on</t>
  </si>
  <si>
    <t>GBP per user per month (annual subscription, ex VA</t>
  </si>
  <si>
    <t>org_it_benchmarks.json: Microsoft 365 Copilot add-on, Microsoft UK pricing page fetched 16 Jul 2026</t>
  </si>
  <si>
    <t>SEGRO already rolled Copilot out to all employees in 2025 (ARA25 p21) - existing baseline, not incremental to POAP.</t>
  </si>
  <si>
    <t>Microsoft Entra ID P1</t>
  </si>
  <si>
    <t>org_it_benchmarks.json: Microsoft Entra ID P1, Microsoft Entra UK pricing page fetched 16 Jul 2026</t>
  </si>
  <si>
    <t>Included in M365 E3 - relevant only for standalone licensing (e.g. service identities).</t>
  </si>
  <si>
    <t>Microsoft Entra ID P2</t>
  </si>
  <si>
    <t>org_it_benchmarks.json: Microsoft Entra ID P2, Microsoft Entra UK pricing page fetched 16 Jul 2026</t>
  </si>
  <si>
    <t>Included in M365 E5.</t>
  </si>
  <si>
    <t>Power BI Pro</t>
  </si>
  <si>
    <t>GBP per user per month (paid yearly, ex VAT)</t>
  </si>
  <si>
    <t>org_it_benchmarks.json: Power BI Pro, Microsoft Power BI UK pricing page fetched 16 Jul 2026</t>
  </si>
  <si>
    <t>Included in E5. Premium Per User 18.50 (same source file) if step-up needed.</t>
  </si>
  <si>
    <t>ServiceNow ITSM Standard (indicative per-user)</t>
  </si>
  <si>
    <t>GBP per user per month</t>
  </si>
  <si>
    <t xml:space="preserve">org_it_benchmarks.json: ServiceNow ITSM Standard USD 100/user/mo (NowTribe aggregator, Feb 2026) converted at </t>
  </si>
  <si>
    <t>USD 100 x 0.74015 = 74.015, rounded 74.02. Adversarial verdict (org_it_benchmarks.verdict.json MINOR): source says per USER, not per fulfiller - only the Pro US</t>
  </si>
  <si>
    <t>HCL UnO (Universal Orchestrator) platform licence/subscription</t>
  </si>
  <si>
    <t>GBP per year</t>
  </si>
  <si>
    <t>Not in any fact file - HCL contract/price list not shared with SEGRO</t>
  </si>
  <si>
    <t>£0 until a rate is supplied. Adjustable input defaulting to 0. Any total excluding this line is a FLOOR, not an estimate.</t>
  </si>
  <si>
    <t>HCL Unica+ licence/subscription</t>
  </si>
  <si>
    <t>£0 until a rate is supplied. Adjustable input defaulting to 0.</t>
  </si>
  <si>
    <t>HCL CDP licence/subscription</t>
  </si>
  <si>
    <t>£0 until a rate is supplied. Adjustable input defaulting to 0. Note HCL's own compatibility matrix marks AKS x CDP = N (hcl_v1 evidence) - relevant to the Platf</t>
  </si>
  <si>
    <t>HCL DX licence/subscription</t>
  </si>
  <si>
    <t>SERVICES (pen test, training, tooling)</t>
  </si>
  <si>
    <t>CREST penetration testing day rate (mid of published G-Cloud bands)</t>
  </si>
  <si>
    <t>people_rates.json: CREST penetration testing day rate, UK - DigitalXRAID G-Cloud 14 range 800-1250 AND Stratia</t>
  </si>
  <si>
    <t>GBP 950/day DERIVED as the midpoint of the combined CREST-accredited UK day-rate range GBP 650-1250 ((650+1250)/2 = 950), spanning the two published bands in pe</t>
  </si>
  <si>
    <t>HCL AMS / ongoing support &amp; maintenance</t>
  </si>
  <si>
    <t>£0 until a rate is supplied. Adjustable input defaulting to 0. HM Treasury outsourcing (ICT services) optimism-bias upper bound is +41% on opex (programme_bench</t>
  </si>
  <si>
    <t>OTHER</t>
  </si>
  <si>
    <t>Azure OpenAI GPT-4o (2024-11-20) - input tokens, Global deployment</t>
  </si>
  <si>
    <t>org_it_benchmarks.json: Azure OpenAI GPT-4o input tokens, Azure Retail Prices API uksouth meter 'gpt 4o 1120 I</t>
  </si>
  <si>
    <t>Consumption meter, not a licence. Cached input 0.90/1M. Regional (UK data residency) deployments ~20% more. GPT-4.1 is cheaper (1.50 in / 6.10 out) and GPT-4o m</t>
  </si>
  <si>
    <t>Azure OpenAI GPT-4o (2024-11-20) - output tokens, Global deployment</t>
  </si>
  <si>
    <t xml:space="preserve">org_it_benchmarks.json: Azure OpenAI GPT-4o output tokens, Azure Retail Prices API uksouth meter 'gpt 4o 1120 </t>
  </si>
  <si>
    <t>Batch API halves this (3.80/1M).</t>
  </si>
  <si>
    <t>Training cost per employee for this platform rollout (one-off)</t>
  </si>
  <si>
    <t>GBP per employee per rollout</t>
  </si>
  <si>
    <t>people_rates.json: Training cost per employee for THIS platform rollout (per-user, one-off) = RATE_MISSING (no</t>
  </si>
  <si>
    <t>£0 until a rate is supplied. Adjustable input defaulting to 0. INDICATIVE context only: Training Magazine 2024 enterprise average USD 774/learner/YEAR (~GBP 573</t>
  </si>
  <si>
    <t>POAP Build Cost — phase by phase (aligned to POAP slide 3)</t>
  </si>
  <si>
    <t>P1 — DESIGN &amp; PLAN  (5 wk, from 2026-07-13, Slide 3: Design &amp; Plan bar '5 weeks' x=1.98-4.52; workshop chain (Arch kick-off, Sizing, Cyber, IAM, Data Mgmt); KDD + procurement lane)</t>
  </si>
  <si>
    <t>Cost line</t>
  </si>
  <si>
    <t>Quantity model</t>
  </si>
  <si>
    <t>Qty Low</t>
  </si>
  <si>
    <t>Qty Likely</t>
  </si>
  <si>
    <t>Qty High</t>
  </si>
  <si>
    <t>Qty (live)</t>
  </si>
  <si>
    <t>Rate/unit £</t>
  </si>
  <si>
    <t>Cost £ (live)</t>
  </si>
  <si>
    <t>Schedule</t>
  </si>
  <si>
    <t>Solutions architect - workshop lead, HLD/LLD, target arch for EA, KDD papers (AKS v ARO, env count, cluster topology)</t>
  </si>
  <si>
    <t>1 FTE x 5 wk x 5 d = 25 days</t>
  </si>
  <si>
    <t>Team size ASSUMPTION: slide 3 workshop chain + slide 5 doc list (HLD, LLD, TCO for options, KDDs) need a full-time architect for the 5-wk phase. Rate VERIFIED (ITJobsWatch median).</t>
  </si>
  <si>
    <t>TD</t>
  </si>
  <si>
    <t>Platform engineer - sizing workshop, physical infrastructure diagrams, physical sizing of infrastructure</t>
  </si>
  <si>
    <t>0.6 FTE x 5 wk x 5 d = 15 days</t>
  </si>
  <si>
    <t>ASSUMPTION: slide 5 requires 'Physical sizing of infrastructure' + 'Physical Low Level Technical Arch Diagrams'. Rate VERIFIED.</t>
  </si>
  <si>
    <t>Cloud security - Cyber Sec Workshop, cyber security impact analysis + diagrams</t>
  </si>
  <si>
    <t>0.4 FTE x 5 wk x 5 d = 10 days</t>
  </si>
  <si>
    <t>ASSUMPTION sized to slide 5 cyber deliverables (impact analysis, diagrams). Rate VERIFIED.</t>
  </si>
  <si>
    <t>Data engineer - Data Mgmt Workshop, data flow design, data governance principles input</t>
  </si>
  <si>
    <t>ASSUMPTION sized to slide 5 'Data flow design' + slide 3 Data Mgmt workshop. Rate VERIFIED.</t>
  </si>
  <si>
    <t>Business analyst - Use case scope for Release 1 Agreed, KDD documentation, DRG/ARG approval pack</t>
  </si>
  <si>
    <t>ASSUMPTION: slide 3 'Use case scope for Release 1 Agreed' milestone + 'Arch decisions for DRG / ARG'. Rate VERIFIED.</t>
  </si>
  <si>
    <t>Project manager - mobilisation, delivery plan, procurement specification and coordination</t>
  </si>
  <si>
    <t>ASSUMPTION: slide 5 'Delivery plan' + 'Procurement specification' deliverables. Rate VERIFIED.</t>
  </si>
  <si>
    <t>HCL architecture/product SME input to design workshops (UnO/TX/Unica/CDP sizing and prerequisites)</t>
  </si>
  <si>
    <t>Rate = HCL's own published G-Cloud 14 SFIA card (Solution dev L3 950/day, VERIFIED); grade mix and attendance ASSUMPTION. HCL named team incl. product SMEs per HCL_V1 brief; Platform Architect still TBD.</t>
  </si>
  <si>
    <t>Oracle 19 licence (mandatory for Unica+ MaxAI CDM) - procurement item, price not shared</t>
  </si>
  <si>
    <t>1 licence x rate GBP 0 until quoted</t>
  </si>
  <si>
    <t>HCL Support Matrix (HCL_V1 brief section 3.7): Oracle 19 mandatory for Unica+ MaxAI CDM; absent from POAP Decisions &amp; procurement lane (F10). GBP 0 adjustable input - FLOOR until quoted.</t>
  </si>
  <si>
    <t>FIXED</t>
  </si>
  <si>
    <t>Aerospike edition/licence (CDP caching, V6.3.0.35 disclosed, edition/licence unstated) - procurement item</t>
  </si>
  <si>
    <t>HCL Support Matrix (HCL_V1 brief section 2 blocker 7): Aerospike version disclosed, edition/licence still unstated; absent from POAP procurement lane (F10). GBP 0 adjustable input.</t>
  </si>
  <si>
    <t>SUBTOTAL — Design &amp; Plan</t>
  </si>
  <si>
    <t>P2 — BUILD - SEGRO (AZURE FOUNDATIONS, AKS, SHARED SERVICES)  (10 wk, from 2026-08-17, Slide 3: 'SEGRO 10 weeks' bar x=4.55-8.86 (start DERIVED from bar geometry ~ late Aug); items 1-6 incl. cyber design + data governance; 'To be validated based on Arch workshop' annotation (F14))</t>
  </si>
  <si>
    <t>Azure foundations - env segregation, networking, subscriptions, Private DNS, VPN tunnel connectivity, workspaces</t>
  </si>
  <si>
    <t>2 FTE x 10 wk x 5 d = 100 days</t>
  </si>
  <si>
    <t>Squad shape ASSUMPTION anchored to platform.json 5.5-effective-FTE squad convention (2 of 5.5 FTE on foundations). Scope = slide 3 build item 1. Rate VERIFIED.</t>
  </si>
  <si>
    <t>Build and harden AKS platform - cluster ops processes, node pools, RBAC, Entra ID integration, backup strategy</t>
  </si>
  <si>
    <t>1 FTE x 10 wk x 5 d = 50 days</t>
  </si>
  <si>
    <t>Squad shape ASSUMPTION (1 of 5.5 FTE). Scope = slide 3 build item 2. Kubernetes-skill rate VERIFIED (ITJobsWatch median 535).</t>
  </si>
  <si>
    <t>Deploy shared platform services - PostgreSQL, SQL Server, MongoDB/Cosmos, Kafka, Redis, monitoring stack, ingress, cert mgmt</t>
  </si>
  <si>
    <t>1.5 FTE x 10 wk x 5 d = 75 days</t>
  </si>
  <si>
    <t>Squad shape ASSUMPTION (1.5 of 5.5 FTE). Scope = slide 3 build item 3 (8 named services). Rate VERIFIED.</t>
  </si>
  <si>
    <t>Complete cyber security design - managed identities, Key Vault, secrets mgmt, network segmentation, WAF, API security, PAM</t>
  </si>
  <si>
    <t>0.5 FTE x 10 wk x 5 d = 25 days</t>
  </si>
  <si>
    <t>Squad shape ASSUMPTION (0.5 of 5.5 FTE). Scope = slide 3 build item 4. Rate VERIFIED.</t>
  </si>
  <si>
    <t>Data mgmt &amp; governance principles - classification, ownership, retention, lineage, master data, information architecture</t>
  </si>
  <si>
    <t>Squad shape ASSUMPTION (0.5 of 5.5 FTE). Scope = slide 3 build item 6. Rate VERIFIED.</t>
  </si>
  <si>
    <t>FND-4 Agent eval harness &amp; observability - golden sets, scored promotion gates, run-trace logging, eval dashboard (absent from POAP, F13)</t>
  </si>
  <si>
    <t>20 pd (range 12-25) per platform.json FND-4</t>
  </si>
  <si>
    <t>Quantity traced to platform.json FND-4 (12/20/25 pd, 0.44 FTE/wk over 9 wks) - the source itself labels the task ASSUMPTION, so it is carried as ASSUMPTION here. F13: no eval workstream anywhere in the POAP. Rate = blended GBP 850 ASSUMPTION placeholder (RATE_MISSING in sources).</t>
  </si>
  <si>
    <t>Project/delivery management across SEGRO build</t>
  </si>
  <si>
    <t>ASSUMPTION: 1 PM on a 6-workstream build phase. Rate VERIFIED. PM-as-%-of-delivery benchmark is RATE_MISSING in programme_benchmarks - sized bottom-up instead.</t>
  </si>
  <si>
    <t>Book CREST pen test + hold remediation window (F7: 4-8 wk booking lead time, must start by ~Oct)</t>
  </si>
  <si>
    <t>2 days procurement admin</t>
  </si>
  <si>
    <t>F7 recommendation: add a 'book pen test' task in October; POAP shows none. Trivial cost, scheduled-risk critical.</t>
  </si>
  <si>
    <t>AKS cluster management fee (Standard tier) - commissioning window</t>
  </si>
  <si>
    <t>1 cluster x 22 wk x 168 h x 50% ramp = 1,848 hrs</t>
  </si>
  <si>
    <t>Rate VERIFIED (Azure Retail Prices API uksouth). Ramp ASSUMPTION: envs commissioned progressively Sep 2026-Jan 2027 (~22 wk pre-go-live window), average 50% of full-estate hours (low 30%, high 70%). Dual-cluster KDD flexes via ClusterCount.</t>
  </si>
  <si>
    <t>AKS worker node pools - D4s_v5 class (M) - commissioning window</t>
  </si>
  <si>
    <t>12 nodes (3/env x 4 envs) x 3,696 h x 50% ramp = 22,176 node-hrs</t>
  </si>
  <si>
    <t>Rate VERIFIED. Node count ASSUMPTION: 3 workers/env x 4 envs (SEGRO standard) - no sizing published; POAP itself defers to Arch workshop (F14). Same 50% ramp ASSUMPTION as P2-L9. NodeSize toggle flexes S/M/L.</t>
  </si>
  <si>
    <t>ARO worker node pools - D4ds_v5 class (ARO minimum worker family) - commissioning window</t>
  </si>
  <si>
    <t>Rate VERIFIED (azure_infra_rates: Ddsv5 with local disk is the ARO minimum-spec worker family). Node count/ramp ASSUMPTION as P2-L10; scales with EnvCount and NodeSize. Priced only when Platform=ARO.</t>
  </si>
  <si>
    <t>ARO OpenShift worker licence uplift (only if ARO wins KDD-1)</t>
  </si>
  <si>
    <t>48 vCPU (12 nodes x 4 vCPU) x 3,696 h x 50% ramp = 88,704 vCPU-hrs</t>
  </si>
  <si>
    <t>Rate VERIFIED (0.0324/vCPU-hr on top of VM). Volume follows P2-L10 node ASSUMPTION. F3: KDD 'TCO AKS v ARO' open while build text pre-commits to AKS; this line prices the ARO branch.</t>
  </si>
  <si>
    <t>ARO control-plane nodes - 3x D8s_v5 (required by ARO, no licence uplift on masters)</t>
  </si>
  <si>
    <t>3 masters x 3,696 h x 50% ramp = 5,544 node-hrs</t>
  </si>
  <si>
    <t>Rate VERIFIED. ARO requires 3 control-plane nodes billed as plain VMs (azure_infra_rates narrative). Ramp ASSUMPTION as P2-L9.</t>
  </si>
  <si>
    <t>PostgreSQL Flexible Server GP 4-vCore - one per environment - commissioning window</t>
  </si>
  <si>
    <t>4 envs x 3,696 h x 50% ramp = 7,392 hrs</t>
  </si>
  <si>
    <t>Rate VERIFIED. 1 server/env ASSUMPTION (UnO auto-installs Percona PGVector vs Unica+ 'Percona not supported' - HCL_V1 brief 3.4 - may force 2 flavours; high band covers). Ramp ASSUMPTION as P2-L9.</t>
  </si>
  <si>
    <t>PostgreSQL provisioned storage - commissioning window</t>
  </si>
  <si>
    <t>128 GB/env x 4 envs x 5 mo x 50% ramp = 1,280 GB-months</t>
  </si>
  <si>
    <t>Rate VERIFIED. 128 GB/env sizing ASSUMPTION (no sizing published; F14).</t>
  </si>
  <si>
    <t>Azure SQL Database GP 4-vCore - one per environment - commissioning window</t>
  </si>
  <si>
    <t>Rate VERIFIED. 1 DB/env ASSUMPTION per slide 3 shared-services list. Ramp ASSUMPTION as P2-L9.</t>
  </si>
  <si>
    <t>Cosmos DB serverless (MongoDB-API workloads) - commissioning window</t>
  </si>
  <si>
    <t>50 M RU/env/mo x 4 envs x 5 mo x 50% ramp = 500 units of 1M RU</t>
  </si>
  <si>
    <t>Rate VERIFIED. RU volume ASSUMPTION - serverless chosen for low/spiky pre-go-live load; no workload sizing published (F14).</t>
  </si>
  <si>
    <t>Event Hubs Standard (Kafka endpoint) - commissioning window</t>
  </si>
  <si>
    <t>1 TU/env x 4 envs x 3,696 h x 50% ramp = 7,392 TU-hrs</t>
  </si>
  <si>
    <t>Rate VERIFIED but HCL's own matrix marks Event Hubs = N for UnO/CDP/Unica+ (HCL_V1 brief 3.3) - Kafka may be forced self-hosted on the cluster (cost then shifts into node pools). Carried as the Azure-native branch.</t>
  </si>
  <si>
    <t>Azure Cache for Redis Standard C1 - one per environment - commissioning window</t>
  </si>
  <si>
    <t>4 envs x 3,696 h x 50% ramp = 7,392 cache-hrs</t>
  </si>
  <si>
    <t>Rate VERIFIED. 1 cache/env ASSUMPTION per slide 3 shared-services list. Ramp ASSUMPTION as P2-L9.</t>
  </si>
  <si>
    <t>Application Gateway WAF_v2 - fixed gateway fee (prod + shared non-prod) - commissioning window</t>
  </si>
  <si>
    <t>2 gateways x 3,696 h x 50% ramp = 3,696 gw-hrs</t>
  </si>
  <si>
    <t>Rate VERIFIED. 2 gateways ASSUMPTION (1 prod + 1 shared non-prod) at the 4-env baseline; scales with EnvCount. Slide 3 cyber item names WAF explicitly.</t>
  </si>
  <si>
    <t>Application Gateway WAF_v2 - capacity units - commissioning window</t>
  </si>
  <si>
    <t>2 gw x 5 CU avg x 3,696 h x 50% ramp = 18,480 CU-hrs</t>
  </si>
  <si>
    <t>Rate VERIFIED. 5 CU avg per gateway during build ASSUMPTION (light pre-go-live traffic).</t>
  </si>
  <si>
    <t>API Management Standard unit (marginal - estate APIM may absorb) - commissioning window</t>
  </si>
  <si>
    <t>1 unit x 3,696 h x 50% ramp = 1,848 unit-hrs</t>
  </si>
  <si>
    <t>Rate VERIFIED. SEGRO principle: all integration via APIM with OAuth; estate already runs APIM so marginal cost may be nil (low = 0). Carried so the toggle maths is complete.</t>
  </si>
  <si>
    <t>VPN Gateway VpnGw1 (tunnel connectivity per slide 3 item 1) - commissioning window</t>
  </si>
  <si>
    <t>1 gateway x 3,696 h x 50% ramp = 1,848 hrs</t>
  </si>
  <si>
    <t>Rate VERIFIED. SEGRO single-tenant estate likely already has connectivity - marginal cost may be nil (low = 0). Named in slide 3 build item 1.</t>
  </si>
  <si>
    <t>Azure Private DNS zones - commissioning window</t>
  </si>
  <si>
    <t>10 zones x 5 mo = 50 zone-months</t>
  </si>
  <si>
    <t>Rate VERIFIED. 10 zones ASSUMPTION (privatelink zones for AKS, PG, SQL, KV, ACR etc). Named in slide 3 build item 1. Pennies - carried for completeness.</t>
  </si>
  <si>
    <t>Log Analytics ingestion during build (monitoring stack commissioning)</t>
  </si>
  <si>
    <t>5 GB/day x 150 days x 50% ramp = 375 GB</t>
  </si>
  <si>
    <t>Rate VERIFIED (2.1819/GB). Volume ASSUMPTION - pre-go-live estate at reduced telemetry; run-phase volume is the bigger driver (see run model).</t>
  </si>
  <si>
    <t>Key Vault operations - commissioning window</t>
  </si>
  <si>
    <t>1M ops = 100 units of 10k ops</t>
  </si>
  <si>
    <t>Rate VERIFIED; negligible at platform scale (a few GBP) - carried for completeness per slide 3 cyber item (Key Vault integration).</t>
  </si>
  <si>
    <t>Microsoft Defender for Cloud workload protection - commissioning window</t>
  </si>
  <si>
    <t>40 resources x 5 mo = 200 resource-months x rate GBP 0</t>
  </si>
  <si>
    <t>Rate not priced in fact files (explicitly excluded from azure_infra_rates scope) - GBP 0 adjustable until priced. Will appear on a real bill.</t>
  </si>
  <si>
    <t>DevSecOps automation - IaC pipelines, policy-as-code, image scanning, CI/CD for infra + agent deployment (absent from POAP, F19)</t>
  </si>
  <si>
    <t>0.6 FTE x 10 wk x 5 d = 30 days (range 0.4-0.8 FTE)</t>
  </si>
  <si>
    <t>Quantity is an ASSUMPTION pending the Arch workshop: slide 7 names a 'CI/CD Configuration Document' deliverable but the POAP contains no build task behind it anywhere. Sized as a fraction of the 10-wk build for one DevOps engineer (20/30/40 pd = 0.4-0.8 FTE). Trigger: 'Lack of any DevSecOps automation for Infra, Systems or Agents' - senior architect review 18 Jul 2026 (F19). Rate VERIFIED. Boundary vs P5-L2: this line BUILDS the pipelines/policy gates during P2; P5-L2 EXECUTES the CI/CD cutover and release automation at deploy - no double count.</t>
  </si>
  <si>
    <t>Data integration to MRI / SAMA / Anaplan — NOT in the POAP (scope gap, F15/F5)</t>
  </si>
  <si>
    <t>Integration build to the systems of record — absent from the POAP</t>
  </si>
  <si>
    <t>VISIBLE ZERO — the HCL-floor discipline applied to scope. The POAP costs the platform but no integration to MRI (the critical backbone), SAMA or Anaplan; agents with no data path to the systems of record cannot deliver business value. A delivery prerequisite, not adoption time. £0 here means UN-COSTED, not free. Absent from POAP (F15).</t>
  </si>
  <si>
    <t>GPU pool commissioning for model bring-up &amp; eval (ModelChoice=Llama; bounded window, not 24/7)</t>
  </si>
  <si>
    <t>1 A100 node x ~12h/day x 6 wk bring-up = ~500 node-hrs (low 250 / high 1000)</t>
  </si>
  <si>
    <t>LLAMA branch build cost: the same A100 meter (GBP 3.4782/hr VERIFIED) spun up for a BOUNDED commissioning/eval window during P2 bring-up (not the 24/7 prod serving in R-L34). Hours are an ASSUMPTION range. Fixes the reviewer gap that Llama moved run cost but left the build unchanged despite the fact fragment's stated dual use. Active only when ModelChoice=Llama. Fragment: model_serving_rates.json.</t>
  </si>
  <si>
    <t>GPU capacity procurement — quota / reserved-capacity commitment (ModelChoice=Llama)</t>
  </si>
  <si>
    <t>1 x GPU quota request / reserved-capacity commitment — Rates cell £0 until quoted</t>
  </si>
  <si>
    <t>LLAMA branch: Azure GPU (NC/ND) capacity needs a quota request and, at scale, a reserved-capacity commitment negotiated per subscription — no public unit price, so visible £0 adjustable, SAME family as Oracle 19 (P1-L8) / Aerospike (P1-L9). Also a schedule risk (lead time to grant). Any Llama total excluding it is a FLOOR. Active only when ModelChoice=Llama. Fragment: model_serving_rates.json (model_serving_gpu_quota_procurement).</t>
  </si>
  <si>
    <t>SUBTOTAL — Build - SEGRO (Azure foundations, AKS, shared services)</t>
  </si>
  <si>
    <t>P3 — BUILD - HCL (UNO + TX INSTALL, UNICA+/CDP DEPLOY)  (6 wk, from 2026-10-26, Slide 3: 'HCL 6 weeks' bar x=8.91-10.78, drawn strictly sequential after SEGRO bar (F2: 2-4 wk overlap realistic via OverlapWeeks toggle); gated on open KDD AKS v ARO (F3))</t>
  </si>
  <si>
    <t>HCL install &amp; configure base UnO platform + TX components (DX, Foundry) onto AKS - platform validation, connectivity, observability integration</t>
  </si>
  <si>
    <t>3 FTE x 6 wk x 5 d = 90 days</t>
  </si>
  <si>
    <t>Rate = HCL published G-Cloud SFIA L3 (VERIFIED); team size &amp; grade mix ASSUMPTION. Low anchored to HCL's own D-025 '20-30 day core-install' agreed-in-principle x 3-person team floor. F3: install pre-commits to AKS while KDD open and HCL's matrix says AKS x CDP = N.</t>
  </si>
  <si>
    <t>HCL deploy Unica+ &amp; CDP services - routing, application gateways, certificates</t>
  </si>
  <si>
    <t>2 FTE x 6 wk x 5 d = 60 days</t>
  </si>
  <si>
    <t>Rate VERIFIED (HCL's own card); team size &amp; grade mix ASSUMPTION. Slide 3 HCL bar second block. CDP 2-env exception (F9) reduces scope but weakens Dec testing.</t>
  </si>
  <si>
    <t>SEGRO platform/security engineers supporting HCL install (access, networking, reviews)</t>
  </si>
  <si>
    <t>1 FTE x 6 wk x 5 d = 30 days</t>
  </si>
  <si>
    <t>ASSUMPTION: vendor installs on a SEGRO-run cluster always consume platform-team time (RBAC, network paths, secrets). Rate VERIFIED.</t>
  </si>
  <si>
    <t>HCL UnO platform licence/subscription - initial year</t>
  </si>
  <si>
    <t>1 year x rate GBP 0 until contract shared</t>
  </si>
  <si>
    <t>HCL contract pricing not shared with SEGRO. GBP 0 adjustable input - all HCL-side totals are a FLOOR while this holds.</t>
  </si>
  <si>
    <t>HCL Unica+ licence/subscription - initial year</t>
  </si>
  <si>
    <t>As P3-L4.</t>
  </si>
  <si>
    <t>HCL CDP licence/subscription - initial year</t>
  </si>
  <si>
    <t>As P3-L4. Note AKS x CDP = N in HCL's own matrix - CDP scope interacts with the Platform toggle (F3).</t>
  </si>
  <si>
    <t>HCL DX licence/subscription - initial year</t>
  </si>
  <si>
    <t>MinIO EOL remediation (community edition EOL Apr 2026; HCL: 'Do not assume replaceable')</t>
  </si>
  <si>
    <t>1 remediation package x rate GBP 0 until scoped</t>
  </si>
  <si>
    <t>HCL_V1 brief blocker 6: CDP mandates MinIO v5.0.15, community edition EOL upstream Apr 2026, Azure First tab walks back Blob substitution. Absent from POAP procurement lane (F10). GBP 0 adjustable.</t>
  </si>
  <si>
    <t>SUBTOTAL — Build - HCL (UnO + TX install, Unica+/CDP deploy)</t>
  </si>
  <si>
    <t>P4 — TESTING (SIT, PEN TEST, UAT, PERFORMANCE)  (4 wk, from 2026-12-07, Slide 3: Testing bar x=11.19-12.9 (Dec 2026); 'Test phase complete' milestone adjacent to Christmas marker (F1: peak-leave compression risk))</t>
  </si>
  <si>
    <t>System Integration Testing - test engineers</t>
  </si>
  <si>
    <t>2 FTE x 4 wk x 5 d = 40 days</t>
  </si>
  <si>
    <t>Team size ASSUMPTION; slide 9 requires SIT report + regression test report with evidence. Rate VERIFIED. High band covers F1 Christmas compression re-runs.</t>
  </si>
  <si>
    <t>Test management - plan, defect register, release readiness</t>
  </si>
  <si>
    <t>1 FTE x 4 wk x 5 d = 20 days</t>
  </si>
  <si>
    <t>ASSUMPTION: slide 9 deliverables (defect register &amp; resolution log, UAT plan &amp; sign off). Rate VERIFIED.</t>
  </si>
  <si>
    <t>CREST penetration test engagement (cloud platform scope)</t>
  </si>
  <si>
    <t>~10 tester-days (5-day light to 15-day deep scope)</t>
  </si>
  <si>
    <t>Rate = mid of two VERIFIED published G-Cloud CREST bands (650-1250/day); 10-day scope typical for a new cloud platform per people_rates derivation (GBP 7k-12.5k engagement). F7: needs booking by ~Oct + named Jan remediation window.</t>
  </si>
  <si>
    <t>UAT coordination &amp; business-readiness liaison (BA)</t>
  </si>
  <si>
    <t>ASSUMPTION: UAT &amp; release readiness item on slide 3. SEGRO business-user UAT time itself is NOT costed (see notes). Rate VERIFIED.</t>
  </si>
  <si>
    <t>Performance &amp; resilience testing (incl. DR test execution - DR Test Report is a named deliverable)</t>
  </si>
  <si>
    <t>0.75 FTE x 4 wk x 5 d = 15 days</t>
  </si>
  <si>
    <t>ASSUMPTION: slide 9 'Performance resilience test report' + 'Disaster Recovery Test Report'. DR infrastructure itself remains uncosted (sizing_updates_missed) - see notes. Rate VERIFIED.</t>
  </si>
  <si>
    <t>HCL defect-fix &amp; SIT/UAT support (their stack, their fixes)</t>
  </si>
  <si>
    <t>Rate VERIFIED (HCL card); allocation ASSUMPTION - vendor stack defects during SIT need vendor fixes; high band covers the F1 compressed-December scenario.</t>
  </si>
  <si>
    <t>SEGRO platform team support during test phase (env fixes, redeploys)</t>
  </si>
  <si>
    <t>ASSUMPTION: standard test-phase platform support. Azure consumption for Dec is inside the P2 commissioning-window ramp lines. Rate VERIFIED.</t>
  </si>
  <si>
    <t>AI red-team exercise + audit dry-run before go-live - prompt injection, tool-abuse/data-exfiltration, jailbreak testing on agent surfaces (absent from POAP, F26)</t>
  </si>
  <si>
    <t>3/5/13 days — one-off at Likely; the HIGH case is a two-touch lifecycle red-team (a pre-UAT touch + the pre-go-live exercise)</t>
  </si>
  <si>
    <t>Engagement size is an ASSUMPTION range (3/5/13 days). Rate: the DERIVED CREST pen-test day rate (950) is used as an INDICATIVE proxy for a specialist AI red-team rate - no published AI-red-team rate exists in the fact files. Trigger: 'Red Teaming or Audit Dry runs for AI not in plan' - senior architect review 18 Jul 2026 (F26). Fixed engagement like P4-L3 - does not stretch with schedule slip. WIDENED (18 Jul 2026 review): Microsoft/industry guidance treats AI red-teaming as lifecycle-iterative, not one-shot — the HIGH effort case (13 d) prices a second, pre-UAT touch on top of the pre-go-live exercise; the annual cadence line R-L31 carries the ongoing lifecycle. Likely unchanged (5 d) so the default headline holds.</t>
  </si>
  <si>
    <t>Eval golden-set labelling by business SMEs — EXCLUDED (scope gap, F13)</t>
  </si>
  <si>
    <t>SME weeks to label the eval golden sets FND-4 consumes — not costed</t>
  </si>
  <si>
    <t>VISIBLE ZERO. FND-4 costs the eval-harness MACHINERY; nobody has costed the business-SME weeks that label the golden sets it scores against. Without labelled goldens the promotion gates are hollow. A delivery prerequisite. £0 = un-costed, not free. Absent from POAP (F13).</t>
  </si>
  <si>
    <t>SUBTOTAL — Testing (SIT, pen test, UAT, performance)</t>
  </si>
  <si>
    <t>P5 — DEPLOY (PROD READINESS, MIGRATION, GO-LIVE)  (4 wk, from 2027-01-04, Slide 3: Deploy bar x=13.23-14.9 (Jan 2027); production readiness review, smoke test/stage gates, go/no-go x=13.99, migration execution, go-live ~end Jan/Feb 2027)</t>
  </si>
  <si>
    <t>Production readiness, smoke tests, stage gates, migration execution, go-live</t>
  </si>
  <si>
    <t>Team size ASSUMPTION; scope = slide 3 Deploy items 1-5 + slide 10 deploy docs (release plan, cutover, rollback, smoke report). Rate VERIFIED.</t>
  </si>
  <si>
    <t>CI/CD cutover, release automation, operational handover pack</t>
  </si>
  <si>
    <t>ASSUMPTION: slide 10 'Operational handover pack' + CI/CD configuration doc (slide 7). Rate VERIFIED. Boundary vs P2-L27: that line builds the DevSecOps pipelines in P2; this line is the deploy-phase cutover/release execution only - no double count.</t>
  </si>
  <si>
    <t>Release/project management - go/no-go pack, cutover comms</t>
  </si>
  <si>
    <t>ASSUMPTION: go/no-go decision milestone (slide 3, x=13.99). Rate VERIFIED.</t>
  </si>
  <si>
    <t>Pen-test remediation + retest sign-off before go/no-go (F7)</t>
  </si>
  <si>
    <t>0.5 FTE x 4 wk x 5 d = 10 days</t>
  </si>
  <si>
    <t>F7: remediation + retest must land before the January go/no-go; POAP holds no named window. High band = material findings. Rate VERIFIED.</t>
  </si>
  <si>
    <t>HCL go-live support (their components through cutover)</t>
  </si>
  <si>
    <t>Rate VERIFIED (HCL card); allocation ASSUMPTION.</t>
  </si>
  <si>
    <t>R1 use-case delivery lane — ABSENT from the POAP (scope gap, F5)</t>
  </si>
  <si>
    <t>Building the first business-facing use cases against the platform — no lane in the POAP</t>
  </si>
  <si>
    <t>VISIBLE ZERO. A101: £830k buys a platform with zero business-facing capability at go-live. There is no R1 use-case delivery lane in the POAP (F5) — the £37k supervised September pilot (see the R1 Pilot block) is the costed alternative. £0 = un-costed, not free.</t>
  </si>
  <si>
    <t>SUBTOTAL — Deploy (prod readiness, migration, go-live)</t>
  </si>
  <si>
    <t>P6 — HYPERCARE / PGLS + BUSINESS READINESS CLOSE-OUT  (6 wk, from 2027-02-01, Slide 3: 'PGLS + Hypercare' bar from go-live (x=15.41, Feb 2027); duration 6 wk ASSUMPTION from the 4-8 wk hypercare norm (programme_benchmarks, Microsoft guidance: short fixed-end-date, criteria-based exit))</t>
  </si>
  <si>
    <t>Hypercare squad - declining coverage, average 1.5 FTE across 6 weeks</t>
  </si>
  <si>
    <t>avg 1.5 FTE x 6 wk x 5 d = 45 days</t>
  </si>
  <si>
    <t>Duration ASSUMPTION per programme_benchmarks hypercare norm (4-8 wk, criteria-exited fixed window); average 1.5 FTE across the window is a coverage ASSUMPTION (not a % of the build squad). Rate VERIFIED.</t>
  </si>
  <si>
    <t>HCL PGLS / hypercare support on HCL components</t>
  </si>
  <si>
    <t>Rate VERIFIED (HCL card); allocation ASSUMPTION. If PGLS is inside a fixed-price contract this double-counts - flexes to 0 via qty or HCL_Toggle.</t>
  </si>
  <si>
    <t>Change management, comms, training delivery &amp; business readiness (spread P2-P6, booked here)</t>
  </si>
  <si>
    <t>10% of ~GBP 600k delivery floor / BA rate 500 = ~120 days</t>
  </si>
  <si>
    <t>Sized from the VERIFIED Prosci benchmark: most common change-mgmt allocation = 10% of project budget (programme_benchmarks). Covers slide 3 Business readiness lane (change mgmt, training, comms, stakeholder engagement). Effort spans P2-P6; booked in one line here.</t>
  </si>
  <si>
    <t>End-user training materials/licence cost per employee (per-rollout unit cost unpublished)</t>
  </si>
  <si>
    <t>OrgSize employees x per-rollout rate GBP 0 (live headcount = the single OrgSize input; ARA25 VERIFIED = 463, brief = 700)</t>
  </si>
  <si>
    <t>Headcount now follows the single OrgSize input (default 700 per brief; SEGRO ARA25 VERIFIED = 463 — set OrgSize to 463 for the ARA-anchored run). Reconciles the previous two-headcounts issue (this line hardcoded 463 while TCO/employee used OrgSize). Per-rollout training unit cost is RATE_MISSING (£0 adjustable), so the live cost is unchanged. Trainer delivery days already inside P6-L3.</t>
  </si>
  <si>
    <t>Service transition &amp; application support model into ITIL/ServiceNow (transition pack, RACI, ownership matrix)</t>
  </si>
  <si>
    <t>0.5 FTE x 6 wk x 5 d = 15 days</t>
  </si>
  <si>
    <t>ASSUMPTION: slide 3 Business readiness item 1 + slide 8 docs (Support RACI, Service ownership matrix); SEGRO principle - ITIL/ServiceNow service transition for everything. Rate VERIFIED.</t>
  </si>
  <si>
    <t>SUBTOTAL — Hypercare / PGLS + business readiness close-out</t>
  </si>
  <si>
    <t>LOADINGS &amp; SENSITIVITY (formula-driven)</t>
  </si>
  <si>
    <t>Build subtotal (all phases)</t>
  </si>
  <si>
    <t>Contingency on build</t>
  </si>
  <si>
    <t>ContingencyPct applied once to the build subtotal (default 15% ASSUMPTION; Green Book ICT capex optimism-bias starting range is 10-200%).</t>
  </si>
  <si>
    <t>Weekly time-driven burn (P1–P5 average)</t>
  </si>
  <si>
    <t>Average weekly run-rate of time-driven P1–P5 work; drives slip cost.</t>
  </si>
  <si>
    <t>Slip cost (SlipWeeks × weekly time-driven P1–P5 burn)</t>
  </si>
  <si>
    <t>SlipWeeks x (time-driven P1-P5 cost / 29 wks). Time-driven = lines flagged time_driven (SEGRO/HCL people + Azure commissioning); RATE_MISSING licences</t>
  </si>
  <si>
    <t>Overlap saving — F2 (Azure double-running only, per parallel week)</t>
  </si>
  <si>
    <t>OverlapWeeks x (P1-P5 Azure time-driven lines / 29 wks). Parallel SEGRO/HCL working saves Azure environment DOUBLE-RUNNING cost only; it is a COST lev</t>
  </si>
  <si>
    <t>TOTAL BUILD (phases + contingency + slip − overlap)</t>
  </si>
  <si>
    <t>▪ HCL FLOOR: every HCL licence/subscription/AMS line is RATE_MISSING at GBP 0 (contract not shared) - any total including the HCL side is a FLOOR, not an estimate.</t>
  </si>
  <si>
    <t>▪ Run cost excludes SEGRO business-user time (UAT, adoption, process change) throughout.</t>
  </si>
  <si>
    <t>▪ Build durations are the POAP's own, marked 'To be validated based on Arch workshop' on the plan itself (F14) - price slips via SlipWeeks; go-live is better presented as a range (Feb-Apr 2027).</t>
  </si>
  <si>
    <t>▪ F5 value gap: ~30 weeks and the full build spend deliver zero business-facing capability at go-live - no R1 use-case delivery lane exists in the POAP; run-model token lines are placeholders until R1 lands.</t>
  </si>
  <si>
    <t>▪ Azure quantities are list-price PAYG ceilings at stated volume ASSUMPTIONS; EA/MACC discounts and reservations (30-60% off) reduce them. Managed disks, egress, Azure Firewall, Private Link and backup storage are not priced (fact-file scope) and will appear on a real bill.</t>
  </si>
  <si>
    <t>▪ DR: 'Disaster Recovery Test Report' is a named POAP deliverable and its test execution is costed (P4-L5), but DR infrastructure itself is not costed anywhere in the POAP or this model (sizing_updates_missed) - a named gap.</t>
  </si>
  <si>
    <t>▪ Kafka: HCL's matrix marks Event Hubs = N for UnO/CDP/Unica+ - the Event Hubs lines are the Azure-native branch; self-hosted Kafka on the cluster is the fallback and shifts that cost into node pools.</t>
  </si>
  <si>
    <t>▪ Phase start dates are a strictly-sequential reconstruction from the POAP's own week labels (5/10/6/4/4 + 6 wk hypercare from 13 Jul 2026, go-live ~end Jan/Feb 2027). The drawn bar geometry does NOT reconcile with these labels (HCL bar drawn ~3.8 wk vs labelled 6; 'Test phase comp</t>
  </si>
  <si>
    <t>5-Year Run Cost — recurring lines, indexed from Y2</t>
  </si>
  <si>
    <t>Run line</t>
  </si>
  <si>
    <t>Qty / yr</t>
  </si>
  <si>
    <t>Y1</t>
  </si>
  <si>
    <t>Y2</t>
  </si>
  <si>
    <t>Y3</t>
  </si>
  <si>
    <t>Y4</t>
  </si>
  <si>
    <t>Y5</t>
  </si>
  <si>
    <t>5-yr total</t>
  </si>
  <si>
    <t>AKS cluster management fee (Standard tier) - 24/7</t>
  </si>
  <si>
    <t>1 cluster x 8,760 h/yr</t>
  </si>
  <si>
    <t>Rate VERIFIED. Single cluster ASSUMPTION - dual (CDP forced split) flexes via ClusterCount.</t>
  </si>
  <si>
    <t>Worker node pools - prod 24/7 + non-prod reduced hours</t>
  </si>
  <si>
    <t>3 prod x 8,760 h + 9 non-prod x 3,120 h = 54,360 node-hrs/yr</t>
  </si>
  <si>
    <t>Rate VERIFIED. Node counts ASSUMPTION (3/env x 4 envs); non-prod at 12h weekdays (3,120 h/yr) ASSUMPTION - auto-shutdown saves ~64% vs 24/7. NodeSize toggle flexes S/M/L.</t>
  </si>
  <si>
    <t>ARO worker node pools - D4ds_v5 (ARO minimum family) - prod 24/7 + non-prod reduced</t>
  </si>
  <si>
    <t>Rate VERIFIED (ARO minimum worker family D4ds_v5). Volumes as R-L2; scales with EnvCount and NodeSize. Priced only when Platform=ARO.</t>
  </si>
  <si>
    <t>ARO OpenShift worker licence uplift (ARO branch only)</t>
  </si>
  <si>
    <t>12 prod vCPU x 8,760 + 36 non-prod vCPU x 3,120 = 217,440 vCPU-hrs/yr</t>
  </si>
  <si>
    <t>Rate VERIFIED. Volume follows R-L2 node assumptions. Prices the open KDD-1 ARO branch (F3).</t>
  </si>
  <si>
    <t>ARO control-plane nodes 3x D8s_v5 - 24/7 (ARO branch only)</t>
  </si>
  <si>
    <t>3 masters x 8,760 h = 26,280 node-hrs/yr</t>
  </si>
  <si>
    <t>Rate VERIFIED; ARO requires 3 always-on control-plane nodes (azure_infra_rates narrative).</t>
  </si>
  <si>
    <t>PostgreSQL Flexible Server GP 4-vCore - prod 24/7 + non-prod reduced</t>
  </si>
  <si>
    <t>1 prod x 8,760 + 3 non-prod x 3,120 = 18,120 hrs/yr</t>
  </si>
  <si>
    <t>Rate VERIFIED. 1 server/env at 4-env baseline; non-prod 12h weekdays ASSUMPTION.</t>
  </si>
  <si>
    <t>PostgreSQL provisioned storage</t>
  </si>
  <si>
    <t>128 GB x 4 envs x 12 mo = 6,144 GB-months/yr</t>
  </si>
  <si>
    <t>Rate VERIFIED; sizing ASSUMPTION (no published sizing, F14).</t>
  </si>
  <si>
    <t>Azure SQL Database GP 4-vCore - prod 24/7 + non-prod reduced</t>
  </si>
  <si>
    <t>Rate VERIFIED; env pattern ASSUMPTION as R-L5.</t>
  </si>
  <si>
    <t>Cosmos DB serverless (MongoDB-API workloads)</t>
  </si>
  <si>
    <t>100 M RU/mo x 12 = 1,200 units of 1M RU/yr</t>
  </si>
  <si>
    <t>Rate VERIFIED; volume ASSUMPTION - true volume unknowable until R1 use cases land (F5).</t>
  </si>
  <si>
    <t>Event Hubs Standard (Kafka endpoint) - prod 24/7 + non-prod reduced</t>
  </si>
  <si>
    <t>1 TU prod x 8,760 + 3 non-prod x 3,120 = 18,120 TU-hrs/yr</t>
  </si>
  <si>
    <t>Rate VERIFIED but HCL matrix marks Event Hubs = N for UnO/CDP/Unica+ - self-hosted Kafka on cluster is the fallback (cost shifts to node pools).</t>
  </si>
  <si>
    <t>Azure Cache for Redis Standard C1 - prod 24/7 + non-prod reduced</t>
  </si>
  <si>
    <t>1 prod x 8,760 + 3 non-prod x 3,120 = 18,120 cache-hrs/yr</t>
  </si>
  <si>
    <t>Application Gateway WAF_v2 - prod 24/7 + shared non-prod reduced</t>
  </si>
  <si>
    <t>1 prod x 8,760 + 1 non-prod x 3,120 = 11,880 gw-hrs/yr</t>
  </si>
  <si>
    <t>Rate VERIFIED; 2-gateway topology ASSUMPTION as P2-L19.</t>
  </si>
  <si>
    <t>Application Gateway WAF_v2 - capacity units (prod)</t>
  </si>
  <si>
    <t>10 CU avg x 8,760 h = 87,600 CU-hrs/yr</t>
  </si>
  <si>
    <t>Rate VERIFIED; 10 CU average ASSUMPTION (azure_infra_rates 'typical small prod ~10 CU').</t>
  </si>
  <si>
    <t>API Management Standard unit - 24/7 (marginal; estate APIM may absorb)</t>
  </si>
  <si>
    <t>1 unit x 8,760 h/yr</t>
  </si>
  <si>
    <t>Rate VERIFIED. Set qty 0 if absorbed by existing estate APIM (SEGRO already runs APIM per architecture principles).</t>
  </si>
  <si>
    <t>VPN Gateway VpnGw1 - 24/7 (marginal; estate may already carry)</t>
  </si>
  <si>
    <t>1 gateway x 8,760 h/yr</t>
  </si>
  <si>
    <t>Rate VERIFIED; marginal cost may be nil on the existing single-tenant estate - set qty 0 if absorbed.</t>
  </si>
  <si>
    <t>Azure Private DNS zones</t>
  </si>
  <si>
    <t>10 zones x 12 mo = 120 zone-months/yr</t>
  </si>
  <si>
    <t>Rate VERIFIED; zone count ASSUMPTION as P2-L23. Pennies - completeness.</t>
  </si>
  <si>
    <t>Log Analytics ingestion - platform + agent observability (the biggest observability driver)</t>
  </si>
  <si>
    <t>10 GB/day x 365 = 3,650 GB/yr</t>
  </si>
  <si>
    <t>Rate VERIFIED (2.1819/GB PAYG). 10 GB/day ASSUMPTION - agent platforms are log-heavy (azure_infra_rates narrative: budget by GB/day); commitment tiers discount 15-30% at 100 GB/day+.</t>
  </si>
  <si>
    <t>Azure Monitor metric alert rules</t>
  </si>
  <si>
    <t>100 metric timeseries x 12 mo = 1,200 metric-months/yr</t>
  </si>
  <si>
    <t>Rate VERIFIED; alert-rule count ASSUMPTION for a multi-service platform (first 10 free).</t>
  </si>
  <si>
    <t>Key Vault operations</t>
  </si>
  <si>
    <t>5M ops/yr = 500 units of 10k ops</t>
  </si>
  <si>
    <t>Rate VERIFIED; negligible (a few GBP/yr) - completeness.</t>
  </si>
  <si>
    <t>Microsoft Defender for Cloud workload protection</t>
  </si>
  <si>
    <t>40 resources x 12 mo = 480 resource-months x rate GBP 0</t>
  </si>
  <si>
    <t>Rate not priced in fact files - GBP 0 adjustable until priced; will appear on a real bill.</t>
  </si>
  <si>
    <t>Azure OpenAI - input tokens (placeholder until R1 use cases land)</t>
  </si>
  <si>
    <t>50M tokens/mo x 12 = 600 units of 1M/yr</t>
  </si>
  <si>
    <t>Rate VERIFIED (uksouth meter). Volume is a placeholder ASSUMPTION: F5 - the POAP delivers zero business-facing use cases at go-live, so token spend is near-zero until R1; adjust when R1 scope lands. GPT-4.1/4.1-mini are cheaper per the same fact file.</t>
  </si>
  <si>
    <t>Azure OpenAI - output tokens (placeholder until R1 use cases land)</t>
  </si>
  <si>
    <t>10M tokens/mo x 12 = 120 units of 1M/yr</t>
  </si>
  <si>
    <t>As R-L20; Batch API halves the rate.</t>
  </si>
  <si>
    <t>SEGRO platform run team - support &amp; maintain, patching, upgrades, evals</t>
  </si>
  <si>
    <t>2 FTE x 220 working d/yr = 440 days/yr</t>
  </si>
  <si>
    <t>2 FTE ongoing ASSUMPTION (~GBP 231k/yr at the VERIFIED 525/day median). Context: the 15-22%-of-build annual S&amp;M benchmark implies GBP 125-183k/yr on the default GBP 830k build - the 2-FTE line sits above that band because it also covers evals/upgrades, and full Y1 run (~GBP 312k incl. Azure) is 37.6% of build. Adjust the qty to taste. Rate VERIFIED. The run team also owns the agent-learning-to-rules feedback loop the architect flagged (F24, 18 Jul 2026) - evals/golden-set refresh is already within this line's scope.</t>
  </si>
  <si>
    <t>ServiceNow ITSM - platform support fulfilers</t>
  </si>
  <si>
    <t>20 fulfilers x 12 mo = 240 user-months/yr</t>
  </si>
  <si>
    <t>Rate INDICATIVE (aggregator USD 100/user/mo converted at 0.74015; ServiceNow publishes no list prices; packaging moved Apr 2026). 20 fulfilers fixed ASSUMPTION (OrgSize-agnostic). SEGRO already runs ServiceNow - marginal seats only.</t>
  </si>
  <si>
    <t>HCL AMS / ongoing support &amp; maintenance contract</t>
  </si>
  <si>
    <t>HCL contract pricing not shared. GBP 0 adjustable - HCL run totals are a FLOOR. Green Book outsourcing opex optimism bias +41% upper bound applies once a real figure lands.</t>
  </si>
  <si>
    <t>HCL UnO platform licence renewal</t>
  </si>
  <si>
    <t>As R-L24.</t>
  </si>
  <si>
    <t>HCL Unica+ licence renewal</t>
  </si>
  <si>
    <t>HCL CDP licence renewal</t>
  </si>
  <si>
    <t>HCL DX licence renewal</t>
  </si>
  <si>
    <t>Third-party licence renewals - Oracle 19 + Aerospike (+ any MinIO successor)</t>
  </si>
  <si>
    <t>1 bundle/yr x rate GBP 0 until quoted</t>
  </si>
  <si>
    <t>F10 procurement items (HCL_V1 brief): prices not shared/published. GBP 0 adjustable.</t>
  </si>
  <si>
    <t>FinOps / cost optimisation review cadence</t>
  </si>
  <si>
    <t>1 day/mo x 12 = 12 days/yr</t>
  </si>
  <si>
    <t>ASSUMPTION per sizing_updates_missed 'post go-live run-rate FinOps review cadence' - POAP shows none. Rate VERIFIED. Typically self-funding against PAYG list prices (reservations save 30-60%).</t>
  </si>
  <si>
    <t>Recurring AI red-team / audit dry-run cadence (annual refresh as agent surfaces and edge cases grow - F24/F26)</t>
  </si>
  <si>
    <t>1 engagement/yr x ~5 tester-days = 5 days/yr</t>
  </si>
  <si>
    <t>Annual cadence is an ASSUMPTION. Rate: DERIVED CREST pen-test day rate (950) used as an INDICATIVE proxy for a specialist AI red-team rate - no published AI-red-team rate exists in the fact files. Ties to the architect's point that agent learning / edge-case transfer is ongoing, so red-team scope grows with the agent surface (F24; senior architect review 18 Jul 2026, F26). Lifecycle framing reinforced 18 Jul 2026: red-team scope grows with the agent surface, so this is a standing annual cadence, not a one-off — pairs with the widened pre-go-live two-touch range on P4-L8.</t>
  </si>
  <si>
    <t>Claude Sonnet — input tokens (ModelSKU=Claude-Sonnet-5; mirrors R-L20 volume)</t>
  </si>
  <si>
    <t>50M tokens/mo x 12 = 600 units of 1M/yr (same volume, Claude list rate)</t>
  </si>
  <si>
    <t>CLAUDE branch of the ModelChoice toggle: same token VOLUME as the GPT-4o line it mirrors, priced at the Anthropic Claude Sonnet LIST rate (INDICATIVE, no committed-use discount; durable standard rate, not the intro rate that expires 31 Aug 2026). Active only when ModelChoice=Claude. Verified fragment: model_serving_rates.json (APPROVE). v3: ClaudeOnAzure / ModelSKU=Claude-Sonnet-5 (was ModelChoice=Claude).</t>
  </si>
  <si>
    <t>Claude Sonnet — output tokens (ModelSKU=Claude-Sonnet-5; mirrors R-L21 volume)</t>
  </si>
  <si>
    <t>10M tokens/mo x 12 = 120 units of 1M/yr (same volume, Claude list rate)</t>
  </si>
  <si>
    <t>Self-hosted model serving — GPU node 24/7 (ModelChoice=Llama; A100 single-model pool)</t>
  </si>
  <si>
    <t>1 x NC24ads_A100_v4 node x 8,760 hr/yr (24/7 prod serving)</t>
  </si>
  <si>
    <t>LLAMA branch: 24/7 production inference serving on a single A100 80GB node (GBP 3.4782/hr VERIFIED, Azure Retail API uksouth). PAYG list is the ceiling — 1yr/3yr reservations and spot cut it materially. This is the run-time cost the self-host argument must show: unlike a hosted API, you pay for the GPU whether or not tokens flow. Active only when ModelChoice=Llama. Fragment: model_serving_rates.json.</t>
  </si>
  <si>
    <t>Inference-ops run-team uplift for self-hosted serving (ModelChoice=Llama)</t>
  </si>
  <si>
    <t>FTE fraction x 231 billable d/yr — ships at 0 (adjustable): 0.2–0.5 FTE illustrative</t>
  </si>
  <si>
    <t>LLAMA branch ONLY. Ships at qty 0 so no invented headcount enters a total; the MLOps day rate (GBP 575, VERIFIED ITJobsWatch median) is the basis, the 0.2–0.5 FTE fraction is the ASSUMPTION (set the qty to fraction x 231). INCREMENTAL to the R-L22 platform run team — do not double-count. Self-hosting adds GPU/driver/CUDA lifecycle, quantisation &amp; throughput tuning, 24/7 serving health that a hosted API removes. Active only when ModelChoice=Llama. Fragment: model_serving_rates.json.</t>
  </si>
  <si>
    <t>Datadog Infrastructure Monitoring — per-host, ADDITIVE on top of Azure-native (Observability=Datadog)</t>
  </si>
  <si>
    <t>12 worker hosts (3/env x 4 envs, matching R-L2) x 12 mo = 144 host-months/yr; scales with EnvCount</t>
  </si>
  <si>
    <t>DATADOG branch: Infrastructure Monitoring Pro GBP 11.10/host/mo (committed annual, INDICATIVE list). Host count is DERIVED from the same worker-node estate as the run compute line R-L2 (3 nodes/env x 4 envs = 12 hosts) x 12 months = 144 host-months, and scales with EnvCount (env_scaling) so it tracks the node model rather than a static guess (fact file: 'size against the AKS/ARO node count'). APM is priced SEPARATELY on the same hosts (R-L39) — not conflated here. List price is a CEILING; the negotiated discount tier is RATE_MISSING (datadog_committed_annual_spend_tier). Active only when Observability=Datadog. Fragment: observability_datadog_rates.json.</t>
  </si>
  <si>
    <t>Datadog APM — per traced host, ADDITIVE (Observability=Datadog; attached rate, pairs with R-L36 Infra)</t>
  </si>
  <si>
    <t>Same 12-host estate as R-L36 (3/env x 4 envs) x 12 mo = 144 host-months/yr; scales with EnvCount</t>
  </si>
  <si>
    <t>DATADOG branch: APM GBP 22.94/host/mo (committed annual, INFRA-ATTACHED rate, INDICATIVE list). Datadog's attached APM rate REQUIRES a paired Infra Pro subscription on the same host — so R-L36 Infra (GBP 11.10) + R-L39 APM (GBP 22.94) = GBP 34.04/host is the CORRECT additive total (USD 15 + USD 31), NOT a double-count (verified against datadoghq.com/pricing: attached APM USD 31 is cheaper than standalone USD 36 precisely because it mandates the separate Infra line). Same host count as R-L36 (144 host-months, scales with EnvCount). List price is a CEILING; negotiated tier RATE_MISSING. Active only when Observability=Datadog. Fragment: observability_datadog_rates.json.</t>
  </si>
  <si>
    <t>Datadog LLM Observability — base 100K LLM spans/mo (Observability=Datadog; committed)</t>
  </si>
  <si>
    <t>12 months of the committed 100K-span base tier</t>
  </si>
  <si>
    <t>ADDITIVE on top of the Azure-native lines (which stay on): LLM Observability Pro base tier GBP 118.42/mo committed (up to 100K LLM spans, INDICATIVE). The metered SKU Azure Monitor does NOT charge for — this is exactly why the Azure-only run floor understated observability, so selecting Datadog RAISES the floor. Overage (GBP 3.70 per 10K additional LLM spans) is the volume driver at agent scale, carried as the adjustable overage line R-L38. Active only when Observability=Datadog. Fragment: observability_datadog_rates.json.</t>
  </si>
  <si>
    <t>Datadog LLM Observability — span overage (Observability=Datadog; ships at 0, adjustable)</t>
  </si>
  <si>
    <t>10K-span overage blocks/yr beyond the 100K base — ships at 0 (volume unknown until R1)</t>
  </si>
  <si>
    <t>DATADOG branch: the true volume driver. GBP 3.70 per 10K LLM spans over the 100K base (INDICATIVE). Ships at 0 because agent call volume is unknown until R1 use cases land (F5) — the same reason the Azure token lines are placeholders. Illustrative: 1M LLM calls/mo ~= 90 blocks x 12 = ~GBP 4,000/yr. Adjustable. Active only when Observability=Datadog. Fragment: observability_datadog_rates.json.</t>
  </si>
  <si>
    <t>GPT-4.1 — input tokens (ModelSKU=GPT-4.1; mirrors R-L20)</t>
  </si>
  <si>
    <t>50M tokens/mo x 12 = 600 units of 1M/yr (same volume, GPT-4.1 rate)</t>
  </si>
  <si>
    <t>GPT-4.1 branch (ModelVendor=AzureOpenAI, ModelSKU=GPT-4.1): same token VOLUME as the GPT-4o line it mirrors; Azure-served meter. Active only when ModelSKU=GPT-4.1. Fragment: azure_model_sku_rates.json.</t>
  </si>
  <si>
    <t>GPT-4.1 — output tokens (ModelSKU=GPT-4.1; mirrors R-L21)</t>
  </si>
  <si>
    <t>10M tokens/mo x 12 = 120 units of 1M/yr (same volume, GPT-4.1 rate)</t>
  </si>
  <si>
    <t>GPT-5.6-Terra — input tokens (ModelSKU=GPT-5.6-Terra; mirrors R-L20)</t>
  </si>
  <si>
    <t>50M tokens/mo x 12 = 600 units of 1M/yr (same volume, GPT-5.6-Terra rate)</t>
  </si>
  <si>
    <t>GPT-5.6-Terra branch (ModelVendor=AzureOpenAI, ModelSKU=GPT-5.6-Terra): same token VOLUME as the GPT-4o line it mirrors; Azure-served meter. Active only when ModelSKU=GPT-5.6-Terra. Fragment: azure_model_sku_rates.json.</t>
  </si>
  <si>
    <t>GPT-5.6-Terra — output tokens (ModelSKU=GPT-5.6-Terra; mirrors R-L21)</t>
  </si>
  <si>
    <t>10M tokens/mo x 12 = 120 units of 1M/yr (same volume, GPT-5.6-Terra rate)</t>
  </si>
  <si>
    <t>GPT-5.6-Sol — input tokens (ModelSKU=GPT-5.6-Sol; mirrors R-L20)</t>
  </si>
  <si>
    <t>50M tokens/mo x 12 = 600 units of 1M/yr (same volume, GPT-5.6-Sol rate)</t>
  </si>
  <si>
    <t>GPT-5.6-Sol branch (ModelVendor=AzureOpenAI, ModelSKU=GPT-5.6-Sol): same token VOLUME as the GPT-4o line it mirrors; Azure-served meter. Active only when ModelSKU=GPT-5.6-Sol. Fragment: azure_model_sku_rates.json.</t>
  </si>
  <si>
    <t>GPT-5.6-Sol — output tokens (ModelSKU=GPT-5.6-Sol; mirrors R-L21)</t>
  </si>
  <si>
    <t>10M tokens/mo x 12 = 120 units of 1M/yr (same volume, GPT-5.6-Sol rate)</t>
  </si>
  <si>
    <t>Claude-Fable-5 — input tokens (ModelSKU=Claude-Fable-5; mirrors R-L20)</t>
  </si>
  <si>
    <t>50M tokens/mo x 12 = 600 units of 1M/yr (same volume, Claude-Fable-5 rate)</t>
  </si>
  <si>
    <t>Claude-Fable-5 branch (ModelVendor=ClaudeOnAzure, ModelSKU=Claude-Fable-5): same token VOLUME as the GPT-4o line it mirrors; Azure-served meter. Active only when ModelSKU=Claude-Fable-5. Fragment: azure_model_sku_rates.json.</t>
  </si>
  <si>
    <t>Claude-Fable-5 — output tokens (ModelSKU=Claude-Fable-5; mirrors R-L21)</t>
  </si>
  <si>
    <t>10M tokens/mo x 12 = 120 units of 1M/yr (same volume, Claude-Fable-5 rate)</t>
  </si>
  <si>
    <t>Grok-4.3 — input tokens (ModelSKU=Grok-4.3; mirrors R-L20)</t>
  </si>
  <si>
    <t>50M tokens/mo x 12 = 600 units of 1M/yr (same volume, Grok-4.3 rate)</t>
  </si>
  <si>
    <t>Grok-4.3 branch (ModelVendor=GrokOnAzure, ModelSKU=Grok-4.3): same token VOLUME as the GPT-4o line it mirrors; Azure-served meter. Active only when ModelSKU=Grok-4.3. Fragment: azure_model_sku_rates.json.</t>
  </si>
  <si>
    <t>Grok-4.3 — output tokens (ModelSKU=Grok-4.3; mirrors R-L21)</t>
  </si>
  <si>
    <t>10M tokens/mo x 12 = 120 units of 1M/yr (same volume, Grok-4.3 rate)</t>
  </si>
  <si>
    <t>Grok-4.5 — input tokens (ModelSKU=Grok-4.5; mirrors R-L20)</t>
  </si>
  <si>
    <t>50M tokens/mo x 12 = 600 units of 1M/yr (same volume, Grok-4.5 rate)</t>
  </si>
  <si>
    <t>Grok-4.5 branch (ModelVendor=GrokOnAzure, ModelSKU=Grok-4.5): same token VOLUME as the GPT-4o line it mirrors; Azure-served meter. Active only when ModelSKU=Grok-4.5. Fragment: azure_model_sku_rates.json.</t>
  </si>
  <si>
    <t>Grok-4.5 — output tokens (ModelSKU=Grok-4.5; mirrors R-L21)</t>
  </si>
  <si>
    <t>10M tokens/mo x 12 = 120 units of 1M/yr (same volume, Grok-4.5 rate)</t>
  </si>
  <si>
    <t>MCP hosting — Container Apps vCPU-seconds × McpServerCount</t>
  </si>
  <si>
    <t>McpServerCount × always-on 0.5 vCPU floor (ASSUMPTION)</t>
  </si>
  <si>
    <t>AGENT STACK MCP on ACA. Fragment: agent_runtime_azure_rates.json.</t>
  </si>
  <si>
    <t>MCP hosting — Container Apps GiB-seconds × McpServerCount</t>
  </si>
  <si>
    <t>McpServerCount × 1 GiB floor (ASSUMPTION)</t>
  </si>
  <si>
    <t>Paired memory with R-L40.</t>
  </si>
  <si>
    <t>APIM fronting MCP tool calls × McpServerCount</t>
  </si>
  <si>
    <t>McpServerCount × calls/server/yr / 1000 (ASSUMPTION unit)</t>
  </si>
  <si>
    <t>All MCP behind APIM (SEGRO principle). apim_call_unit is ASSUMPTION.</t>
  </si>
  <si>
    <t>RAG embeddings — Ada tokens × AgentCount</t>
  </si>
  <si>
    <t>AgentCount × embedding placeholder/yr</t>
  </si>
  <si>
    <t>RAG embedding meter (VERIFIED). Active when AgentStack=Include.</t>
  </si>
  <si>
    <t>Azure AI Search Basic unit (RagMemoryShape=AISearch_Cosmos)</t>
  </si>
  <si>
    <t>1× Basic search unit × 8760h (floor)</t>
  </si>
  <si>
    <t>VERIFIED AI Search Basic. Zero when CosmosOnly.</t>
  </si>
  <si>
    <t>Cosmos Mongo agent memory — 100 RU/s × AgentCount</t>
  </si>
  <si>
    <t>AgentCount × 8760h × 100 RU/s unit</t>
  </si>
  <si>
    <t>VERIFIED Cosmos autoscale meter. Memory always when Include; also vectors if CosmosOnly.</t>
  </si>
  <si>
    <t>TOTAL RUN (per year / 5-yr)</t>
  </si>
  <si>
    <t>Agent-stack run Y1 (MCP+RAG+memory subset)</t>
  </si>
  <si>
    <t>· of which MCP-driven (scales with McpServerCount)</t>
  </si>
  <si>
    <t>· of which agent-driven (scales with AgentCount)</t>
  </si>
  <si>
    <t>· of which fixed (AI Search — flat with 1 stack)</t>
  </si>
  <si>
    <t>▪ Run totals EXCLUDE SEGRO business-user time (UAT, agent adoption, process change) throughout - consistent with the TCO workbook convention.</t>
  </si>
  <si>
    <t>▪ HCL-side run cost is a FLOOR: AMS + all four licence renewals are RATE_MISSING at GBP 0 because HCL has not shared contract pricing. Never present the run total as the expected HCL cost.</t>
  </si>
  <si>
    <t>▪ Support &amp; maintain context: R-L22 (2 FTE platform run team ~GBP 231k/yr) is ABOVE the 15-22%-of-build annual S&amp;M band (GBP 125-183k/yr on the default GBP 830k build) because it also covers evals and upgrades; the band itself is an ASSUMPTION anchored to SAP's VERIFIED 22% list ra</t>
  </si>
  <si>
    <t>▪ Azure figures are PAYG list-price ceilings (uksouth, GBP, Retail Prices API): EA/MACC discounts, 1-3 yr reservations (30-60% off VMs/DBs) and Log Analytics commitment tiers all reduce them.</t>
  </si>
  <si>
    <t>▪ Excluded Azure meters that will appear on a real bill: managed disks, bandwidth/egress, Azure Firewall, Private Link endpoints, backup storage (azure_infra_rates narrative). Defender for Cloud is carried explicitly as RATE_MISSING.</t>
  </si>
  <si>
    <t>▪ Azure OpenAI token lines are placeholders: the POAP delivers no business-facing use case at go-live (F5), so real token volumes await R1 scope.</t>
  </si>
  <si>
    <t>▪ Non-prod reduced-hours pattern (12h weekdays = 3,120 h/yr) is an ASSUMPTION; running non-prod 24/7 roughly triples those components.</t>
  </si>
  <si>
    <t>▪ M365/Copilot are existing SEGRO baseline (ARA25: Copilot rolled out to all employees 2025) - deliberately NOT carried as incremental run lines.</t>
  </si>
  <si>
    <t>R1 September Pilot — one supervised Content Agent (the costed alternative)</t>
  </si>
  <si>
    <t>▪ OUT OF TOTAL — this is the costed ALTERNATIVE to the full HCL mobilisation: one supervised Content Agent on interim infra, ~6 weeks, September. It is NOT added to TotalBuild or TotalRun5yr (those are the POAP-as-drawn figures). Every rate is VERIFIED and inherited from the Rates tab; every quantity is an ASSUMPTION low/likely/high range. ~£37k at Likely — a rounding error against the £830k build FLOOR, which is the whole point of the offer. Fragment: r1_pilot_scope.json (APPROVE).</t>
  </si>
  <si>
    <t>Pilot line</t>
  </si>
  <si>
    <t>A couple of agent/AI engineers - build &amp; supervise ONE Content Agent (prompt/tooling, content-source connectors, guardrails, eval harness for the single agent) on interim infra</t>
  </si>
  <si>
    <t>2 agent/AI engineers x 30 days each = 60 person-days over ~6 wk; low 40 (2 x 20 d, tighter scope/ramp) / high 80 (2 x 40 d, overrun or a 3rd pair of hands)</t>
  </si>
  <si>
    <t>RATE VERIFIED: contractor_devops_engineer_day = GBP 525/day (spec_rates_control.json, ITJobsWatch UK median). No dedicated 'agent-engineer' or ML-engineer rate exists in the fact files; the DevOps-engineer median is the nearest AI/dev build rate and is already the basis used elsewhere for agent-adjacent build/deploy work (spec_cost_model P2-L27 DevSecOps-for-agents, P5-L2 CI/CD-for-agents). Nearest alternative = contractor_data_engineer_day (GBP 500, VERIFIED) if an ML/data slant is preferred. QUANTITY ASSUMPTION: 2 engineers x ~6 wk; a single supervised Content Agent is a small build, so 60 person-days is the likely, 40-80 the range.</t>
  </si>
  <si>
    <t>Fractional supervising lead - human-in-the-loop oversight, guardrail/eval sign-off, go/no-go on agent outputs (the 'supervised' in the offer)</t>
  </si>
  <si>
    <t>0.25 FTE x 6 wk x 5 d = ~8 person-days; low 5 / high 12</t>
  </si>
  <si>
    <t>RATE VERIFIED: contractor_solutions_architect_day = GBP 625/day (spec_rates_control.json, ITJobsWatch UK median) used as the senior supervising-lead rate. QUANTITY ASSUMPTION: deliberately small fractional oversight (0.25 FTE) - this line embodies the human-in-the-loop supervision that makes the single-agent pilot a controlled release. Optional; set to 0 if the two engineers self-supervise.</t>
  </si>
  <si>
    <t>Sandbox worker nodes - a couple of D4s_v5 D-series nodes on an interim AKS Free-tier cluster (cluster-mgmt fee = GBP 0 on Free tier, so only node compute is costed)</t>
  </si>
  <si>
    <t>2 x D4s_v5 nodes x 6 wk; likely 1008 node-hrs (2 nodes x 84 h/wk = 12h x 7d), low 720 (12h x 5 weekdays), high 2016 (24/7)</t>
  </si>
  <si>
    <t>RATE VERIFIED: vm_d4s_v5_node_hr = GBP 0.1682/node-hr (spec_rates_control.json, Azure Retail Prices API uksouth PAYG). INTERIM infra: sandbox cluster uses AKS Free tier (azure_infra_rates.json Free tier = GBP 0.0, dev/test) so no aks_standard_mgmt_hr fee applies. QUANTITY ASSUMPTION: 2 small nodes is the minimal footprint for one low-throughput agent; running-hours range spans weekday-only to 24/7. ~GBP 170 at likely - trivially small vs people cost.</t>
  </si>
  <si>
    <t>Minimal PaaS - one small PostgreSQL Flexible Server (4 vCore) for agent state / content metadata store</t>
  </si>
  <si>
    <t>1 server x 6 wk; likely 504 server-hrs (84 h/wk), low 360 (12h weekdays), high 1008 (24/7)</t>
  </si>
  <si>
    <t>RATE VERIFIED: pg_flexible_d4ds_compute_hr = GBP 0.3121/hr (spec_rates_control.json). QUANTITY ASSUMPTION: a single small state store for one agent, on interim infra, same 6-wk window and hours pattern as PILOT-L3. The smallest published SKU in the fact files; storage priced separately (PILOT-L5).</t>
  </si>
  <si>
    <t>Minimal PaaS - PostgreSQL provisioned storage for the sandbox state store</t>
  </si>
  <si>
    <t>32 GB x ~1.5 months = 48 GB-months; low 32 / high 96</t>
  </si>
  <si>
    <t>RATE VERIFIED: pg_flexible_storage_gb_mo = GBP 0.1008/GB/mo (spec_rates_control.json). QUANTITY ASSUMPTION: 32 GB is a minimal pilot allocation; ~1.5 months covers the 6-wk window. Pennies - carried for completeness.</t>
  </si>
  <si>
    <t>Supervision observability - Log Analytics ingestion of agent run-traces (so a human can watch/audit every action; low volume for a single supervised agent)</t>
  </si>
  <si>
    <t>~0.7 GB/day x 42 days ~= 30 GB over 6 wk; low 10 / high 60 (first 5 GB/mo is free per the meter)</t>
  </si>
  <si>
    <t>RATE VERIFIED: log_analytics_gb_ingested = GBP 2.1819/GB (spec_rates_control.json). QUANTITY ASSUMPTION: a single low-throughput supervised agent generates modest run-trace volume; this line makes 'supervised' concrete (human-in-the-loop needs the traces). Gross of the 5 GB/month free allowance.</t>
  </si>
  <si>
    <t>LLM tokens - Azure OpenAI GPT-4o INPUT tokens for the Content Agent (low pilot throughput, supervised single agent)</t>
  </si>
  <si>
    <t>~10M input tokens/mo x ~1.5 mo = 15 units of 1M; low 5 / high 40</t>
  </si>
  <si>
    <t>RATE VERIFIED: aoai_gpt4o_input_1m_tokens = GBP 1.90 per 1M input tokens (spec_rates_control.json, Azure Retail Prices API uksouth meter 'gpt 4o 1120 Inp glbl'). QUANTITY ASSUMPTION: deliberately low - one supervised content agent at low throughput. GPT-4o-mini (GBP 0.10/1M in same fact file) would cut this ~19x if used; carried on GPT-4o as the conservative anchor.</t>
  </si>
  <si>
    <t>LLM tokens - Azure OpenAI GPT-4o OUTPUT tokens for the Content Agent (generated content, low pilot volume)</t>
  </si>
  <si>
    <t>~3.3M output tokens/mo x ~1.5 mo = 5 units of 1M; low 2 / high 12</t>
  </si>
  <si>
    <t>RATE VERIFIED: aoai_gpt4o_output_1m_tokens = GBP 7.60 per 1M output tokens (spec_rates_control.json, meter 'gpt 4o 1120 Outp glbl'). QUANTITY ASSUMPTION: low single-agent output volume; Batch API halves the rate (GBP 3.80/1M) per the fact file if throughput allows.</t>
  </si>
  <si>
    <t>PILOT TOTAL (out of the POAP total)</t>
  </si>
  <si>
    <t>Named agents — which to build (catalogue; Gantt ASSUMPTION lanes)</t>
  </si>
  <si>
    <t>Agent id</t>
  </si>
  <si>
    <t>Name</t>
  </si>
  <si>
    <t>Use case</t>
  </si>
  <si>
    <t>MCP apps</t>
  </si>
  <si>
    <t>RAG?</t>
  </si>
  <si>
    <t>AGT-OPEX</t>
  </si>
  <si>
    <t>OpEx categorisation agent</t>
  </si>
  <si>
    <t>opex</t>
  </si>
  <si>
    <t>MRI</t>
  </si>
  <si>
    <t>Y</t>
  </si>
  <si>
    <t>AGT-CAPEX</t>
  </si>
  <si>
    <t>CapEx assist agent</t>
  </si>
  <si>
    <t>capex</t>
  </si>
  <si>
    <t>MRI, Anaplan</t>
  </si>
  <si>
    <t>AGT-GROWTH</t>
  </si>
  <si>
    <t>Growth / Research Pack agent</t>
  </si>
  <si>
    <t>growth</t>
  </si>
  <si>
    <t>SAMA</t>
  </si>
  <si>
    <t>AGT-METER</t>
  </si>
  <si>
    <t>Meter exception agent</t>
  </si>
  <si>
    <t>meter</t>
  </si>
  <si>
    <t>UL360</t>
  </si>
  <si>
    <t>N</t>
  </si>
  <si>
    <t>AGT-RECON</t>
  </si>
  <si>
    <t>Recon discrepancy agent</t>
  </si>
  <si>
    <t>recon</t>
  </si>
  <si>
    <t>MRI, UL360</t>
  </si>
  <si>
    <t>AGT-R1-CONTENT</t>
  </si>
  <si>
    <t>R1 Content Agent (supervised September pilot)</t>
  </si>
  <si>
    <t>r1_pilot</t>
  </si>
  <si>
    <t>Costed on R1 Pilot tab OUT OF TOTAL</t>
  </si>
  <si>
    <t>AGT-ORCH</t>
  </si>
  <si>
    <t>Platform orchestrator / supervisor agent</t>
  </si>
  <si>
    <t>platform</t>
  </si>
  <si>
    <t>Not a named UC agent — catalogue ASSUMPTION for multi-agent supervision</t>
  </si>
  <si>
    <t>▪ Include column is formula-driven from AgentStack + catalogue defaults (amber). Overtype with a fixed Include/Exclude if you need a custom mix — replacing the formula is intentional. AgentCount still scales run intensity.</t>
  </si>
  <si>
    <t>Team Model — FTE by phase (reference; build lines carry the priced quantities)</t>
  </si>
  <si>
    <t>Role</t>
  </si>
  <si>
    <t>FTE</t>
  </si>
  <si>
    <t>Basis</t>
  </si>
  <si>
    <t>P1</t>
  </si>
  <si>
    <t>Solutions architect (workshops, HLD/LLD, KDDs)</t>
  </si>
  <si>
    <t>Slide 3 workshop chain + slide 5 doc list; full-time for 5 wk.</t>
  </si>
  <si>
    <t>Platform engineer (sizing, physical diagrams)</t>
  </si>
  <si>
    <t>Slide 5 physical sizing + LLD diagrams.</t>
  </si>
  <si>
    <t>Cloud security (cyber workshop, impact analysis)</t>
  </si>
  <si>
    <t>Slide 5 cyber deliverables.</t>
  </si>
  <si>
    <t>Data engineer (data mgmt workshop, data flow design)</t>
  </si>
  <si>
    <t>Slide 5 data flow design.</t>
  </si>
  <si>
    <t>Business analyst (R1 scope, DRG/ARG pack)</t>
  </si>
  <si>
    <t>Slide 3 R1-scope milestone.</t>
  </si>
  <si>
    <t>Project manager (mobilisation, procurement)</t>
  </si>
  <si>
    <t>Slide 5 delivery plan + procurement spec.</t>
  </si>
  <si>
    <t>HCL architecture/product SMEs</t>
  </si>
  <si>
    <t>HCL named team (HCL_V1 brief); Platform Architect still TBD - a named risk.</t>
  </si>
  <si>
    <t>P2</t>
  </si>
  <si>
    <t>Platform engineers (Azure foundations)</t>
  </si>
  <si>
    <t>Squad shape mirrors platform.json 5.5-effective-FTE convention: 2.0 + 1.0 + 1.5 + 0.5 + 0.5 = 5.5 FTE build squad.</t>
  </si>
  <si>
    <t>Kubernetes engineer (AKS hardening)</t>
  </si>
  <si>
    <t>Part of the 5.5-FTE squad shape.</t>
  </si>
  <si>
    <t>DevOps engineers (shared services)</t>
  </si>
  <si>
    <t>Part of the 5.5-FTE squad shape; 8 named services on slide 3.</t>
  </si>
  <si>
    <t>Cloud security engineer (cyber design)</t>
  </si>
  <si>
    <t>Data engineer (governance principles)</t>
  </si>
  <si>
    <t>Eval harness build (FND-4)</t>
  </si>
  <si>
    <t>platform.json FND-4: 20 pd over 9 wk = 0.44 FTE add-on (source labels the task ASSUMPTION); absent from POAP (F13).</t>
  </si>
  <si>
    <t>Project manager</t>
  </si>
  <si>
    <t>1 PM across 6 workstreams; PM-as-% benchmark RATE_MISSING so sized bottom-up.</t>
  </si>
  <si>
    <t>DevSecOps engineer (IaC, policy-as-code, CI/CD)</t>
  </si>
  <si>
    <t>P2-L27: 30 pd likely over 10 wk x 5 d = 0.6 FTE. F19 - no DevSecOps automation anywhere in the POAP; senior architect review 18 Jul 2026.</t>
  </si>
  <si>
    <t>P3</t>
  </si>
  <si>
    <t>HCL UnO/TX install team</t>
  </si>
  <si>
    <t>Grade mix ASSUMPTION on HCL SFIA L3 rate; low band anchored to HCL D-025 20-30 day core install.</t>
  </si>
  <si>
    <t>HCL Unica+/CDP deploy team</t>
  </si>
  <si>
    <t>Slide 3 HCL bar second block.</t>
  </si>
  <si>
    <t>SEGRO platform support to HCL install</t>
  </si>
  <si>
    <t>Vendor install on SEGRO-run cluster consumes platform-team time.</t>
  </si>
  <si>
    <t>P4</t>
  </si>
  <si>
    <t>Test engineers (SIT + performance/DR)</t>
  </si>
  <si>
    <t>2 SIT + 0.75 perf/DR; slide 9 test-report deliverables.</t>
  </si>
  <si>
    <t>Test manager</t>
  </si>
  <si>
    <t>Defect register, UAT plan/sign-off.</t>
  </si>
  <si>
    <t>UAT coordination BA</t>
  </si>
  <si>
    <t>Business-user UAT time itself not costed (see notes).</t>
  </si>
  <si>
    <t>CREST pen testers</t>
  </si>
  <si>
    <t>~10 tester-days in a 4-wk window; F7 booking lead time.</t>
  </si>
  <si>
    <t>HCL defect-fix support</t>
  </si>
  <si>
    <t>Vendor-stack defects need vendor fixes.</t>
  </si>
  <si>
    <t>SEGRO platform support</t>
  </si>
  <si>
    <t>Env fixes and redeploys during test.</t>
  </si>
  <si>
    <t>P5</t>
  </si>
  <si>
    <t>Platform engineers (readiness, migration, go-live)</t>
  </si>
  <si>
    <t>Slide 3 Deploy items 1-5.</t>
  </si>
  <si>
    <t>DevOps engineer (cutover, handover pack)</t>
  </si>
  <si>
    <t>Slide 10 deploy docs.</t>
  </si>
  <si>
    <t>Release/project manager (go/no-go)</t>
  </si>
  <si>
    <t>Go/no-go decision milestone.</t>
  </si>
  <si>
    <t>Cloud security (pen-test remediation + retest)</t>
  </si>
  <si>
    <t>F7: remediation window before go/no-go.</t>
  </si>
  <si>
    <t>HCL go-live support</t>
  </si>
  <si>
    <t>HCL components through cutover.</t>
  </si>
  <si>
    <t>P6</t>
  </si>
  <si>
    <t>Hypercare squad (avg 1.5 FTE coverage)</t>
  </si>
  <si>
    <t>Average 1.5 FTE coverage across the 6-wk hypercare window (coverage ASSUMPTION; duration from the 4-8 wk programme_benchmarks norm).</t>
  </si>
  <si>
    <t>HCL PGLS support</t>
  </si>
  <si>
    <t>Flex to 0 if inside fixed-price contract.</t>
  </si>
  <si>
    <t>Change mgmt &amp; training (spread P2-P6, booked P6)</t>
  </si>
  <si>
    <t>120 pd over ~30 wk = 0.8 FTE; sized from Prosci 10%-of-budget benchmark (VERIFIED).</t>
  </si>
  <si>
    <t>Service transition PM (ITIL/ServiceNow)</t>
  </si>
  <si>
    <t>SEGRO principle: ServiceNow service transition for everything.</t>
  </si>
  <si>
    <t>ENVIRONMENT &amp; SCALING MODEL (drives the EnvCount / Cluster / NodeSize toggles)</t>
  </si>
  <si>
    <t>Env-count scaling</t>
  </si>
  <si>
    <t>EnvCount toggle 2/3/4 scales every env_count-tagged line linearly as EnvCount/4. Baseline quantities are stated at 4 environments = SEGRO Dev/Test/Pre-Prod/Prod standard. The env count is an OPEN KDD on the POAP ('KDD: Vol of Environments', F9) - this toggle prices both answers.</t>
  </si>
  <si>
    <t>CDP 2-env exception (F9)</t>
  </si>
  <si>
    <t>HCL proposes 4 envs for UnO/TX/Commerce but only 2 for Unica/CDP (mobilisation doc line 76; Track Workbook 'Unica+ Test/Prod exception - Decision required'). Below SEGRO's 4-env standard and it weakens the December test phase - no true pre-prod for CDP (F9). Model at EnvCount=4 for the SEGRO standard; EnvCount=2 approximates HCL's CDP exception. Carry the exception as an explicit accepted-risk lin</t>
  </si>
  <si>
    <t>Single vs dual cluster (F3)</t>
  </si>
  <si>
    <t>ClusterCount Single/Dual doubles cluster-tagged lines (AKS mgmt fee, ARO masters). HCL's own support matrix marks AKS x CDP = N - if CDP stays in scope on AKS, a second cluster (or ARO) may be forced (F3), so Dual is a live branch, not a stress test.</t>
  </si>
  <si>
    <t>Node-size S/M/L multipliers</t>
  </si>
  <si>
    <t>NodeSize S=0.5x, M=1x, L=2x - applied as the NodeSize component of node_env-tagged lines (worker pools scale with EnvCount/4 x NodeSize composed; no line uses a bare node_size tag). Basis: M = D4s_v5 (4 vCPU/16 GiB, GBP 0.1682/hr VERIFIED) or D4ds_v5 (GBP 0.1985/hr VERIFIED) on the ARO branch; L = the 8-vCPU sibling at exactly 2x (linear per-vCPU Azure pricing, VERIFIED); S = half the M node-hours</t>
  </si>
  <si>
    <t>Benchmarks — web-verified market data vs this plan (comparisons recalc live)</t>
  </si>
  <si>
    <t>Grounding for a ~700-person UK/EU organisation (adjustable OrgSize input; note SEGRO ARA 2025 reports 463 direct employees — SEGRO runs lean with an outsourced supply chain, so per-employee ratios are conservative). All items adversarially verified against live sources 16-17 Jul 2026.</t>
  </si>
  <si>
    <t>Benchmark</t>
  </si>
  <si>
    <t>Value</t>
  </si>
  <si>
    <t>This plan (live)</t>
  </si>
  <si>
    <t>SEGRO plc headcount (Group, year-end basis per governance report)</t>
  </si>
  <si>
    <t>employees</t>
  </si>
  <si>
    <t xml:space="preserve">SEGRO Annual Report and Accounts 2025, Corporate Governance (p86): 'a non-unionised business with a headcount </t>
  </si>
  <si>
    <t>SEGRO plc total revenue FY2025</t>
  </si>
  <si>
    <t>GBP million per year (2024: 675)</t>
  </si>
  <si>
    <t>SEGRO ARA 2025, financial statements (p150). Comparison shows total 5-yr programme cost as a share of one year</t>
  </si>
  <si>
    <t>IT spend as % of revenue — UK cross-industry typical range (property firms typically 1.5-3</t>
  </si>
  <si>
    <t>3-6</t>
  </si>
  <si>
    <t>% of annual revenue</t>
  </si>
  <si>
    <t>Start Tech, citing Computer Economics benchmarking (2025; page names Computer Economics only, an Avasant compa</t>
  </si>
  <si>
    <t>IT operational spend per user per year — cross-industry average (this-plan column = 5-yr T</t>
  </si>
  <si>
    <t>USD per user per year (~GBP 5,635 at ECB</t>
  </si>
  <si>
    <t>Avasant IT Spending and Staffing Benchmarks (via VC3 summary). Comparison shows this plan's annualised 5-yr TC</t>
  </si>
  <si>
    <t>HM Treasury optimism-bias uplift — Equipment/Development (ICT) capex, lower-to-upper bound</t>
  </si>
  <si>
    <t>10-200</t>
  </si>
  <si>
    <t>% uplift on estimated capex (start at UP</t>
  </si>
  <si>
    <t>HM Treasury, Supplementary Green Book Guidance: Optimism Bias, Table 1 (Mott MacDonald 2002). Current asset UR</t>
  </si>
  <si>
    <t>HM Treasury optimism-bias uplift — Equipment/Development (ICT) works duration</t>
  </si>
  <si>
    <t>10-54</t>
  </si>
  <si>
    <t>% uplift on estimated duration</t>
  </si>
  <si>
    <t>HM Treasury Green Book Optimism Bias, Table 1 (same asset URL as capex row).</t>
  </si>
  <si>
    <t xml:space="preserve">Applied to the POAP's ~29-week Design-to-Deploy window: +3 weeks (lower) to +16 weeks (upper), pushing Feb 2027 go-live </t>
  </si>
  <si>
    <t>Average overrun on large IT projects (&gt;$15M)</t>
  </si>
  <si>
    <t>45 cost / 7 schedule</t>
  </si>
  <si>
    <t>% over budget / % over time (average; an</t>
  </si>
  <si>
    <t>McKinsey &amp; Company with University of Oxford, 'Delivering large-scale IT projects on time, on budget, and on v</t>
  </si>
  <si>
    <t>IT project fat-tail risk (Flyvbjerg &amp; Budzier, 1,471 projects)</t>
  </si>
  <si>
    <t>27 average; 1-in-6 projects are black swans averaging +200 cost / +70 schedule</t>
  </si>
  <si>
    <t>% overrun</t>
  </si>
  <si>
    <t>Flyvbjerg &amp; Budzier, 'Why Your IT Project May Be Riskier Than You Think', HBR 89(9), 2011 (arXiv:1304.0265). C</t>
  </si>
  <si>
    <t>Change management budget as % of total project budget (most common allocation)</t>
  </si>
  <si>
    <t>% of project budget</t>
  </si>
  <si>
    <t>Prosci, 'How to Budget for Change Management' (pub. 24 May 2023, upd. 17 Oct 2025; Prosci Best Practices resea</t>
  </si>
  <si>
    <t xml:space="preserve">Annual support &amp; maintenance as % of initial build cost (custom software, commercial rule </t>
  </si>
  <si>
    <t>15-22</t>
  </si>
  <si>
    <t>% of build cost per year</t>
  </si>
  <si>
    <t>Reasoned from SAP 22% vendor list rate (VERIFIED) and 80-90%-of-lifecycle maintenance literature — no single a</t>
  </si>
  <si>
    <t>Enterprise software vendor annual support &amp; maintenance — SAP Enterprise Support list rate</t>
  </si>
  <si>
    <t>% of licence fee per year</t>
  </si>
  <si>
    <t>SAP Support Portal: list price 'remains fixed at 22 percent until 2025' (verifier note: quote carries the 'unt</t>
  </si>
  <si>
    <t>Verified vendor anchor for the 15-22%/yr S&amp;M assumption above — no separate live comparison.</t>
  </si>
  <si>
    <t>Hypercare duration norm for an implementation of this size</t>
  </si>
  <si>
    <t>4-8</t>
  </si>
  <si>
    <t>weeks</t>
  </si>
  <si>
    <t xml:space="preserve">Reasoned from Microsoft Dynamics 365 implementation guidance (VERIFIED: short, fixed-end-date, criteria-based </t>
  </si>
  <si>
    <t>This plan carries 6 wk (within the 4-8 wk norm) at an average 1.5 FTE coverage assumption (build line P6-L1)</t>
  </si>
  <si>
    <t>Enterprise GenAI value realisation</t>
  </si>
  <si>
    <t>74% of companies struggle to achieve and scale value from AI; only 26% move beyond PoC to generate value</t>
  </si>
  <si>
    <t>% of surveyed companies (1,000 surveyed)</t>
  </si>
  <si>
    <t>BCG press release, 'AI Adoption in 2024', 24 Oct 2024 (verifier: bcg.com bot-blocked on re-fetch; URL slug con</t>
  </si>
  <si>
    <t>Benefits-realisation caveat: majority of AI programmes do not scale value — supports F5 (no R1 delivery lane = zero busi</t>
  </si>
  <si>
    <t>GBP per user per month, annual subscript</t>
  </si>
  <si>
    <t>Microsoft UK enterprise plans &amp; pricing page, fetched 16 Jul 2026. SEGRO already rolled Copilot out to all emp</t>
  </si>
  <si>
    <t>ServiceNow ITSM Standard — indicative per-user price</t>
  </si>
  <si>
    <t>USD per user per month (indicative; larg</t>
  </si>
  <si>
    <t>NowTribe 2026 cost breakdown (per USER per the source page — verifier MINOR corrected from 'per fulfiller'). S</t>
  </si>
  <si>
    <t>USD — do not silently convert; if costed, add an explicit FX input cell (ECB ref 0.74015 GBP/USD, 16 Jul 2026).</t>
  </si>
  <si>
    <t>AKS Standard tier cluster management fee, UK South</t>
  </si>
  <si>
    <t>GBP per cluster per hour (~GBP 664/clust</t>
  </si>
  <si>
    <t>Azure Retail Prices API, currencyCode=GBP, uksouth, queried 2026-07-17 (verifier re-queried: exact).</t>
  </si>
  <si>
    <t>Feeds the Platform=AKS branch; scales with ClusterCount toggle (dual cluster doubles the management fee).</t>
  </si>
  <si>
    <t>Azure Red Hat OpenShift worker licence fee (General Purpose), UK South list</t>
  </si>
  <si>
    <t>GBP per vCPU per hour (~GBP 284/vCPU/yea</t>
  </si>
  <si>
    <t xml:space="preserve">Azure Retail Prices API, GBP, queried 2026-07-17 (verifier re-queried: all scale points exact). The auditable </t>
  </si>
  <si>
    <t>Feeds the Platform=ARO branch (per-vCPU licence uplift line); the published IDC/Forrester OpenShift studies were unverif</t>
  </si>
  <si>
    <t>Short label</t>
  </si>
  <si>
    <t>Plan</t>
  </si>
  <si>
    <t>Build</t>
  </si>
  <si>
    <t>Testing</t>
  </si>
  <si>
    <t>Deploy</t>
  </si>
  <si>
    <t>Maintenance</t>
  </si>
  <si>
    <t>Slip/Overlap</t>
  </si>
  <si>
    <t>Reverse label</t>
  </si>
  <si>
    <t>Cumulative (reverse)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</si>
</sst>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0"/>
    <numFmt numFmtId="166" formatCode="\£#,##0"/>
    <numFmt numFmtId="167" formatCode="\£0.00000000"/>
    <numFmt numFmtId="168" formatCode="0.0"/>
    <numFmt numFmtId="169" formatCode="0.0%"/>
    <numFmt numFmtId="170" formatCode="dd\ mmm\ yyyy"/>
    <numFmt numFmtId="171" formatCode=";;;"/>
  </numFmts>
  <fonts count="11" x14ac:knownFonts="1">
    <font>
      <sz val="11"/>
      <color theme="1"/>
      <name val="Calibri"/>
      <family val="2"/>
      <scheme val="minor"/>
    </font>
    <font>
      <b/>
      <sz val="14"/>
      <color rgb="FFFFFFFF"/>
      <name val="Arial"/>
      <family val="2"/>
    </font>
    <font>
      <i/>
      <sz val="12"/>
      <color rgb="FF808080"/>
      <name val="Arial"/>
      <family val="2"/>
    </font>
    <font>
      <b/>
      <sz val="12"/>
      <color rgb="FFFFFFFF"/>
      <name val="Arial"/>
      <family val="2"/>
    </font>
    <font>
      <sz val="12"/>
      <name val="Arial"/>
      <family val="2"/>
    </font>
    <font>
      <b/>
      <sz val="12"/>
      <name val="Arial"/>
      <family val="2"/>
    </font>
    <font>
      <b/>
      <sz val="12"/>
      <color rgb="FFCC171E"/>
      <name val="Arial"/>
      <family val="2"/>
    </font>
    <font>
      <b/>
      <sz val="10"/>
      <color rgb="FFCC171E"/>
      <name val="Arial"/>
      <family val="2"/>
    </font>
    <font>
      <sz val="10"/>
      <color rgb="FF808080"/>
      <name val="Arial"/>
      <family val="2"/>
    </font>
    <font>
      <b/>
      <sz val="12"/>
      <color rgb="FF000000"/>
      <name val="Arial"/>
      <family val="2"/>
    </font>
    <font>
      <sz val="12"/>
      <color rgb="FF000000"/>
      <name val="Arial"/>
      <family val="2"/>
    </font>
  </fonts>
  <fills count="10">
    <fill>
      <patternFill patternType="none"/>
    </fill>
    <fill>
      <patternFill patternType="gray125"/>
    </fill>
    <fill>
      <patternFill patternType="solid">
        <fgColor rgb="FF1F1F1F"/>
      </patternFill>
    </fill>
    <fill>
      <patternFill patternType="solid">
        <fgColor rgb="FF595959"/>
      </patternFill>
    </fill>
    <fill>
      <patternFill patternType="solid">
        <fgColor rgb="FFFFF2CC"/>
      </patternFill>
    </fill>
    <fill>
      <patternFill patternType="solid">
        <fgColor rgb="FFF2F2F2"/>
      </patternFill>
    </fill>
    <fill>
      <patternFill patternType="solid">
        <fgColor rgb="FFFCE4EC"/>
      </patternFill>
    </fill>
    <fill>
      <patternFill patternType="solid">
        <fgColor rgb="FFE2EFDA"/>
      </patternFill>
    </fill>
    <fill>
      <patternFill patternType="solid">
        <fgColor rgb="FFD9E2F3"/>
      </patternFill>
    </fill>
    <fill>
      <patternFill patternType="solid">
        <fgColor rgb="FFF2F2F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top/>
      <bottom/>
      <diagonal/>
    </border>
  </borders>
  <cellStyleXfs count="1">
    <xf numFmtId="0" fontId="0" fillId="0" borderId="0"/>
  </cellStyleXfs>
  <cellXfs count="107">
    <xf numFmtId="0" fontId="0" fillId="0" borderId="0" xfId="0"/>
    <xf numFmtId="0" fontId="1" fillId="2" borderId="1" xfId="0" applyFont="1" applyFill="1" applyBorder="1"/>
    <xf numFmtId="0" fontId="3" fillId="3" borderId="1" xfId="0" applyFont="1" applyFill="1" applyBorder="1"/>
    <xf numFmtId="0" fontId="5" fillId="0" borderId="1" xfId="0" applyFont="1" applyBorder="1"/>
    <xf numFmtId="166" fontId="5" fillId="8" borderId="1" xfId="0" applyNumberFormat="1" applyFont="1" applyFill="1" applyBorder="1"/>
    <xf numFmtId="0" fontId="5" fillId="5" borderId="1" xfId="0" applyFont="1" applyFill="1" applyBorder="1"/>
    <xf numFmtId="0" fontId="2" fillId="0" borderId="1" xfId="0" applyFont="1" applyBorder="1"/>
    <xf numFmtId="166" fontId="4" fillId="0" borderId="1" xfId="0" applyNumberFormat="1" applyFont="1" applyBorder="1"/>
    <xf numFmtId="3" fontId="5" fillId="8" borderId="1" xfId="0" applyNumberFormat="1" applyFont="1" applyFill="1" applyBorder="1"/>
    <xf numFmtId="0" fontId="2" fillId="0" borderId="0" xfId="0" applyFont="1"/>
    <xf numFmtId="170" fontId="5" fillId="8" borderId="1" xfId="0" applyNumberFormat="1" applyFont="1" applyFill="1" applyBorder="1"/>
    <xf numFmtId="0" fontId="4" fillId="0" borderId="1" xfId="0" applyFont="1" applyBorder="1"/>
    <xf numFmtId="3" fontId="4" fillId="0" borderId="1" xfId="0" applyNumberFormat="1" applyFont="1" applyBorder="1"/>
    <xf numFmtId="170" fontId="0" fillId="0" borderId="0" xfId="0" applyNumberFormat="1"/>
    <xf numFmtId="0" fontId="5" fillId="8" borderId="1" xfId="0" applyFont="1" applyFill="1" applyBorder="1"/>
    <xf numFmtId="3" fontId="5" fillId="4" borderId="1" xfId="0" applyNumberFormat="1" applyFont="1" applyFill="1" applyBorder="1"/>
    <xf numFmtId="0" fontId="5" fillId="0" borderId="0" xfId="0" applyFont="1"/>
    <xf numFmtId="0" fontId="8" fillId="0" borderId="0" xfId="0" applyFont="1" applyAlignment="1">
      <alignment horizontal="center"/>
    </xf>
    <xf numFmtId="0" fontId="6" fillId="0" borderId="0" xfId="0" applyFont="1" applyAlignment="1">
      <alignment horizontal="center"/>
    </xf>
    <xf numFmtId="0" fontId="2" fillId="5" borderId="1" xfId="0" applyFont="1" applyFill="1" applyBorder="1"/>
    <xf numFmtId="0" fontId="5" fillId="5" borderId="1" xfId="0" applyFont="1" applyFill="1" applyBorder="1" applyAlignment="1">
      <alignment vertical="top" wrapText="1"/>
    </xf>
    <xf numFmtId="0" fontId="6" fillId="5" borderId="1" xfId="0" applyFont="1" applyFill="1" applyBorder="1"/>
    <xf numFmtId="3" fontId="2" fillId="0" borderId="0" xfId="0" applyNumberFormat="1" applyFont="1"/>
    <xf numFmtId="171" fontId="0" fillId="0" borderId="0" xfId="0" applyNumberFormat="1"/>
    <xf numFmtId="0" fontId="6" fillId="0" borderId="1" xfId="0" applyFont="1" applyBorder="1"/>
    <xf numFmtId="0" fontId="4" fillId="0" borderId="0" xfId="0" applyFont="1" applyAlignment="1">
      <alignment vertical="top" wrapText="1"/>
    </xf>
    <xf numFmtId="0" fontId="5" fillId="4" borderId="1" xfId="0" applyFont="1" applyFill="1" applyBorder="1" applyAlignment="1">
      <alignment horizontal="center"/>
    </xf>
    <xf numFmtId="0" fontId="6" fillId="0" borderId="1" xfId="0" applyFont="1" applyBorder="1" applyAlignment="1">
      <alignment horizontal="center"/>
    </xf>
    <xf numFmtId="3" fontId="5" fillId="4" borderId="1" xfId="0" applyNumberFormat="1" applyFont="1" applyFill="1" applyBorder="1" applyAlignment="1">
      <alignment horizontal="center"/>
    </xf>
    <xf numFmtId="0" fontId="2" fillId="0" borderId="0" xfId="0" applyFont="1" applyAlignment="1">
      <alignment vertical="top"/>
    </xf>
    <xf numFmtId="0" fontId="0" fillId="0" borderId="0" xfId="0" applyAlignment="1">
      <alignment vertical="top"/>
    </xf>
    <xf numFmtId="0" fontId="9" fillId="9" borderId="2" xfId="0" applyFont="1" applyFill="1" applyBorder="1"/>
    <xf numFmtId="0" fontId="10" fillId="0" borderId="0" xfId="0" applyFont="1"/>
    <xf numFmtId="0" fontId="9" fillId="9" borderId="3" xfId="0" applyFont="1" applyFill="1" applyBorder="1"/>
    <xf numFmtId="0" fontId="9" fillId="9" borderId="0" xfId="0" applyFont="1" applyFill="1"/>
    <xf numFmtId="166" fontId="10" fillId="0" borderId="0" xfId="0" applyNumberFormat="1" applyFont="1"/>
    <xf numFmtId="0" fontId="2" fillId="0" borderId="0" xfId="0" applyFont="1"/>
    <xf numFmtId="0" fontId="0" fillId="0" borderId="0" xfId="0"/>
    <xf numFmtId="0" fontId="7" fillId="0" borderId="0" xfId="0" applyFont="1"/>
    <xf numFmtId="0" fontId="2" fillId="0" borderId="0" xfId="0" applyFont="1" applyAlignment="1">
      <alignment vertical="top" wrapText="1"/>
    </xf>
    <xf numFmtId="0" fontId="1"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horizontal="lef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3" fillId="3" borderId="1" xfId="0" applyFont="1" applyFill="1" applyBorder="1" applyAlignment="1">
      <alignment vertical="center"/>
    </xf>
    <xf numFmtId="0" fontId="3" fillId="3" borderId="1" xfId="0" applyFont="1" applyFill="1" applyBorder="1" applyAlignment="1">
      <alignment vertical="center" wrapText="1"/>
    </xf>
    <xf numFmtId="0" fontId="5" fillId="5" borderId="1" xfId="0" applyFont="1" applyFill="1" applyBorder="1" applyAlignment="1">
      <alignment vertical="center"/>
    </xf>
    <xf numFmtId="0" fontId="5" fillId="5" borderId="1" xfId="0" applyFont="1" applyFill="1" applyBorder="1" applyAlignment="1">
      <alignment vertical="center" wrapText="1"/>
    </xf>
    <xf numFmtId="0" fontId="2" fillId="0" borderId="1" xfId="0" applyFont="1" applyBorder="1" applyAlignment="1">
      <alignment vertical="center"/>
    </xf>
    <xf numFmtId="164" fontId="5" fillId="4" borderId="1" xfId="0" applyNumberFormat="1" applyFont="1" applyFill="1" applyBorder="1" applyAlignment="1">
      <alignment vertical="center"/>
    </xf>
    <xf numFmtId="0" fontId="6" fillId="0" borderId="1" xfId="0" applyFont="1" applyBorder="1" applyAlignment="1">
      <alignment vertical="center"/>
    </xf>
    <xf numFmtId="0" fontId="2" fillId="0" borderId="0" xfId="0" applyFont="1" applyAlignment="1">
      <alignment vertical="center" wrapText="1"/>
    </xf>
    <xf numFmtId="165" fontId="5" fillId="4" borderId="1" xfId="0" applyNumberFormat="1" applyFont="1" applyFill="1" applyBorder="1" applyAlignment="1">
      <alignment vertical="center"/>
    </xf>
    <xf numFmtId="166" fontId="5" fillId="4" borderId="1" xfId="0" applyNumberFormat="1" applyFont="1" applyFill="1" applyBorder="1" applyAlignment="1">
      <alignment vertical="center"/>
    </xf>
    <xf numFmtId="167" fontId="5" fillId="4" borderId="1" xfId="0" applyNumberFormat="1" applyFont="1" applyFill="1" applyBorder="1" applyAlignment="1">
      <alignment vertical="center"/>
    </xf>
    <xf numFmtId="166" fontId="5" fillId="0" borderId="1" xfId="0" applyNumberFormat="1" applyFont="1" applyBorder="1" applyAlignment="1">
      <alignment vertical="center"/>
    </xf>
    <xf numFmtId="0" fontId="0" fillId="0" borderId="0" xfId="0" applyAlignment="1">
      <alignment vertical="center"/>
    </xf>
    <xf numFmtId="0" fontId="0" fillId="0" borderId="0" xfId="0" applyAlignment="1">
      <alignment vertical="center" wrapText="1"/>
    </xf>
    <xf numFmtId="0" fontId="1"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5" borderId="1" xfId="0" applyFont="1" applyFill="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7" fillId="0" borderId="0" xfId="0" applyFont="1" applyAlignment="1">
      <alignment vertical="center"/>
    </xf>
    <xf numFmtId="0" fontId="0" fillId="0" borderId="0" xfId="0" applyAlignment="1">
      <alignment vertical="center"/>
    </xf>
    <xf numFmtId="0" fontId="4" fillId="0" borderId="1" xfId="0" applyFont="1" applyBorder="1" applyAlignment="1">
      <alignment vertical="center" wrapText="1"/>
    </xf>
    <xf numFmtId="0" fontId="2" fillId="0" borderId="1" xfId="0" applyFont="1" applyBorder="1" applyAlignment="1">
      <alignment vertical="center" wrapText="1"/>
    </xf>
    <xf numFmtId="3" fontId="4" fillId="4" borderId="1" xfId="0" applyNumberFormat="1" applyFont="1" applyFill="1" applyBorder="1" applyAlignment="1">
      <alignment vertical="center"/>
    </xf>
    <xf numFmtId="3" fontId="5" fillId="0" borderId="1" xfId="0" applyNumberFormat="1" applyFont="1" applyBorder="1" applyAlignment="1">
      <alignment vertical="center"/>
    </xf>
    <xf numFmtId="165" fontId="4" fillId="0" borderId="1" xfId="0" applyNumberFormat="1" applyFont="1" applyBorder="1" applyAlignment="1">
      <alignment vertical="center"/>
    </xf>
    <xf numFmtId="166" fontId="4" fillId="4" borderId="1" xfId="0" applyNumberFormat="1" applyFont="1" applyFill="1" applyBorder="1" applyAlignment="1">
      <alignment vertical="center"/>
    </xf>
    <xf numFmtId="166" fontId="5" fillId="7" borderId="1" xfId="0" applyNumberFormat="1" applyFont="1" applyFill="1" applyBorder="1" applyAlignment="1">
      <alignment vertical="center"/>
    </xf>
    <xf numFmtId="0" fontId="4" fillId="0" borderId="1" xfId="0" applyFont="1" applyBorder="1" applyAlignment="1">
      <alignment vertical="center"/>
    </xf>
    <xf numFmtId="166" fontId="4" fillId="0" borderId="1" xfId="0" applyNumberFormat="1" applyFont="1" applyBorder="1" applyAlignment="1">
      <alignment vertical="center"/>
    </xf>
    <xf numFmtId="0" fontId="2" fillId="0" borderId="0" xfId="0" applyFont="1" applyAlignment="1">
      <alignment vertical="center"/>
    </xf>
    <xf numFmtId="0" fontId="5" fillId="8" borderId="1" xfId="0" applyFont="1" applyFill="1" applyBorder="1" applyAlignment="1">
      <alignment vertical="center"/>
    </xf>
    <xf numFmtId="166" fontId="5" fillId="8" borderId="1" xfId="0" applyNumberFormat="1" applyFont="1" applyFill="1" applyBorder="1" applyAlignment="1">
      <alignment vertical="center"/>
    </xf>
    <xf numFmtId="0" fontId="7" fillId="0" borderId="0" xfId="0" applyFont="1" applyAlignment="1">
      <alignment vertical="center" wrapText="1"/>
    </xf>
    <xf numFmtId="0" fontId="0" fillId="0" borderId="0" xfId="0" applyAlignment="1">
      <alignment vertical="center" wrapText="1"/>
    </xf>
    <xf numFmtId="3" fontId="4" fillId="4" borderId="1" xfId="0" applyNumberFormat="1" applyFont="1" applyFill="1" applyBorder="1" applyAlignment="1">
      <alignment vertical="center" wrapText="1"/>
    </xf>
    <xf numFmtId="3" fontId="5" fillId="0" borderId="1" xfId="0" applyNumberFormat="1" applyFont="1" applyBorder="1" applyAlignment="1">
      <alignment vertical="center" wrapText="1"/>
    </xf>
    <xf numFmtId="165" fontId="4" fillId="0" borderId="1" xfId="0" applyNumberFormat="1" applyFont="1" applyBorder="1" applyAlignment="1">
      <alignment vertical="center" wrapText="1"/>
    </xf>
    <xf numFmtId="166" fontId="5" fillId="0" borderId="1" xfId="0" applyNumberFormat="1" applyFont="1" applyBorder="1" applyAlignment="1">
      <alignment vertical="center" wrapText="1"/>
    </xf>
    <xf numFmtId="0" fontId="6" fillId="0" borderId="1" xfId="0" applyFont="1" applyBorder="1" applyAlignment="1">
      <alignment vertical="center" wrapText="1"/>
    </xf>
    <xf numFmtId="166" fontId="5" fillId="6" borderId="1" xfId="0" applyNumberFormat="1" applyFont="1" applyFill="1" applyBorder="1" applyAlignment="1">
      <alignment vertical="center" wrapText="1"/>
    </xf>
    <xf numFmtId="166" fontId="4" fillId="4" borderId="1" xfId="0" applyNumberFormat="1" applyFont="1" applyFill="1" applyBorder="1" applyAlignment="1">
      <alignment vertical="center" wrapText="1"/>
    </xf>
    <xf numFmtId="0" fontId="5" fillId="7" borderId="1" xfId="0" applyFont="1" applyFill="1" applyBorder="1" applyAlignment="1">
      <alignment vertical="center" wrapText="1"/>
    </xf>
    <xf numFmtId="166" fontId="5" fillId="7" borderId="1" xfId="0" applyNumberFormat="1" applyFont="1" applyFill="1" applyBorder="1" applyAlignment="1">
      <alignment vertical="center" wrapText="1"/>
    </xf>
    <xf numFmtId="0" fontId="5" fillId="0" borderId="1" xfId="0" applyFont="1" applyBorder="1" applyAlignment="1">
      <alignment vertical="center" wrapText="1"/>
    </xf>
    <xf numFmtId="166" fontId="4" fillId="0" borderId="1" xfId="0" applyNumberFormat="1" applyFont="1" applyBorder="1" applyAlignment="1">
      <alignment vertical="center" wrapText="1"/>
    </xf>
    <xf numFmtId="0" fontId="5" fillId="8" borderId="1" xfId="0" applyFont="1" applyFill="1" applyBorder="1" applyAlignment="1">
      <alignment vertical="center" wrapText="1"/>
    </xf>
    <xf numFmtId="166" fontId="5" fillId="8" borderId="1" xfId="0" applyNumberFormat="1" applyFont="1" applyFill="1" applyBorder="1" applyAlignment="1">
      <alignment vertical="center" wrapText="1"/>
    </xf>
    <xf numFmtId="0" fontId="2" fillId="0" borderId="0" xfId="0" applyFont="1" applyAlignment="1">
      <alignment vertical="center" wrapText="1"/>
    </xf>
    <xf numFmtId="166" fontId="4" fillId="6" borderId="1" xfId="0" applyNumberFormat="1" applyFont="1" applyFill="1" applyBorder="1" applyAlignment="1">
      <alignment vertical="center"/>
    </xf>
    <xf numFmtId="0" fontId="4" fillId="4" borderId="1" xfId="0" applyFont="1" applyFill="1" applyBorder="1" applyAlignment="1">
      <alignment vertical="center" wrapText="1"/>
    </xf>
    <xf numFmtId="168" fontId="4" fillId="0" borderId="1" xfId="0" applyNumberFormat="1" applyFont="1" applyBorder="1" applyAlignment="1">
      <alignment vertical="center"/>
    </xf>
    <xf numFmtId="0" fontId="5" fillId="5" borderId="1" xfId="0" applyFont="1" applyFill="1" applyBorder="1" applyAlignment="1">
      <alignment horizontal="center" vertical="center" wrapText="1"/>
    </xf>
    <xf numFmtId="3" fontId="5"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169" fontId="5" fillId="0" borderId="1" xfId="0" applyNumberFormat="1" applyFont="1" applyBorder="1" applyAlignment="1">
      <alignment horizontal="center" vertical="center" wrapText="1"/>
    </xf>
    <xf numFmtId="166" fontId="5" fillId="0" borderId="1" xfId="0" applyNumberFormat="1" applyFont="1" applyBorder="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132">
    <dxf>
      <fill>
        <patternFill patternType="solid">
          <fgColor indexed="64"/>
          <bgColor rgb="FFA1C5A3"/>
        </patternFill>
      </fill>
    </dxf>
    <dxf>
      <fill>
        <patternFill patternType="solid">
          <fgColor indexed="64"/>
          <bgColor rgb="FF2E7D32"/>
        </patternFill>
      </fill>
    </dxf>
    <dxf>
      <fill>
        <patternFill patternType="solid">
          <fgColor indexed="64"/>
          <bgColor rgb="FFA1C5A3"/>
        </patternFill>
      </fill>
    </dxf>
    <dxf>
      <fill>
        <patternFill patternType="solid">
          <fgColor indexed="64"/>
          <bgColor rgb="FF2E7D32"/>
        </patternFill>
      </fill>
    </dxf>
    <dxf>
      <fill>
        <patternFill patternType="solid">
          <fgColor indexed="64"/>
          <bgColor rgb="FFA1C5A3"/>
        </patternFill>
      </fill>
    </dxf>
    <dxf>
      <fill>
        <patternFill patternType="solid">
          <fgColor indexed="64"/>
          <bgColor rgb="FF2E7D32"/>
        </patternFill>
      </fill>
    </dxf>
    <dxf>
      <fill>
        <patternFill patternType="solid">
          <fgColor indexed="64"/>
          <bgColor rgb="FFA1C5A3"/>
        </patternFill>
      </fill>
    </dxf>
    <dxf>
      <fill>
        <patternFill patternType="solid">
          <fgColor indexed="64"/>
          <bgColor rgb="FF2E7D32"/>
        </patternFill>
      </fill>
    </dxf>
    <dxf>
      <fill>
        <patternFill patternType="solid">
          <fgColor indexed="64"/>
          <bgColor rgb="FFA1C5A3"/>
        </patternFill>
      </fill>
    </dxf>
    <dxf>
      <fill>
        <patternFill patternType="solid">
          <fgColor indexed="64"/>
          <bgColor rgb="FF2E7D32"/>
        </patternFill>
      </fill>
    </dxf>
    <dxf>
      <fill>
        <patternFill patternType="solid">
          <fgColor indexed="64"/>
          <bgColor rgb="FFA1C5A3"/>
        </patternFill>
      </fill>
    </dxf>
    <dxf>
      <fill>
        <patternFill patternType="solid">
          <fgColor indexed="64"/>
          <bgColor rgb="FF2E7D32"/>
        </patternFill>
      </fill>
    </dxf>
    <dxf>
      <fill>
        <patternFill patternType="solid">
          <fgColor indexed="64"/>
          <bgColor rgb="FFA1C5A3"/>
        </patternFill>
      </fill>
    </dxf>
    <dxf>
      <fill>
        <patternFill patternType="solid">
          <fgColor indexed="64"/>
          <bgColor rgb="FF2E7D32"/>
        </patternFill>
      </fill>
    </dxf>
    <dxf>
      <fill>
        <patternFill patternType="solid">
          <fgColor indexed="64"/>
          <bgColor rgb="FFA1C5A3"/>
        </patternFill>
      </fill>
    </dxf>
    <dxf>
      <fill>
        <patternFill patternType="solid">
          <fgColor indexed="64"/>
          <bgColor rgb="FF2E7D32"/>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A1C1DE"/>
        </patternFill>
      </fill>
    </dxf>
    <dxf>
      <fill>
        <patternFill patternType="solid">
          <fgColor indexed="64"/>
          <bgColor rgb="FF2E75B6"/>
        </patternFill>
      </fill>
    </dxf>
    <dxf>
      <fill>
        <patternFill patternType="solid">
          <fgColor indexed="64"/>
          <bgColor rgb="FFA1C1DE"/>
        </patternFill>
      </fill>
    </dxf>
    <dxf>
      <fill>
        <patternFill patternType="solid">
          <fgColor indexed="64"/>
          <bgColor rgb="FF2E75B6"/>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9AA5B9"/>
        </patternFill>
      </fill>
    </dxf>
    <dxf>
      <fill>
        <patternFill patternType="solid">
          <fgColor indexed="64"/>
          <bgColor rgb="FF1F3864"/>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9AA5B9"/>
        </patternFill>
      </fill>
    </dxf>
    <dxf>
      <fill>
        <patternFill patternType="solid">
          <fgColor indexed="64"/>
          <bgColor rgb="FF1F3864"/>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BFA2D4"/>
        </patternFill>
      </fill>
    </dxf>
    <dxf>
      <fill>
        <patternFill patternType="solid">
          <fgColor indexed="64"/>
          <bgColor rgb="FF7030A0"/>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9AA5B9"/>
        </patternFill>
      </fill>
    </dxf>
    <dxf>
      <fill>
        <patternFill patternType="solid">
          <fgColor indexed="64"/>
          <bgColor rgb="FF1F3864"/>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BFA2D4"/>
        </patternFill>
      </fill>
    </dxf>
    <dxf>
      <fill>
        <patternFill patternType="solid">
          <fgColor indexed="64"/>
          <bgColor rgb="FF7030A0"/>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9AA5B9"/>
        </patternFill>
      </fill>
    </dxf>
    <dxf>
      <fill>
        <patternFill patternType="solid">
          <fgColor indexed="64"/>
          <bgColor rgb="FF1F3864"/>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9AA5B9"/>
        </patternFill>
      </fill>
    </dxf>
    <dxf>
      <fill>
        <patternFill patternType="solid">
          <fgColor indexed="64"/>
          <bgColor rgb="FF1F3864"/>
        </patternFill>
      </fill>
    </dxf>
    <dxf>
      <fill>
        <patternFill patternType="solid">
          <fgColor indexed="64"/>
          <bgColor rgb="FF9AA5B9"/>
        </patternFill>
      </fill>
    </dxf>
    <dxf>
      <fill>
        <patternFill patternType="solid">
          <fgColor indexed="64"/>
          <bgColor rgb="FF1F3864"/>
        </patternFill>
      </fill>
    </dxf>
    <dxf>
      <fill>
        <patternFill patternType="solid">
          <fgColor indexed="64"/>
          <bgColor rgb="FFA1C1DE"/>
        </patternFill>
      </fill>
    </dxf>
    <dxf>
      <fill>
        <patternFill patternType="solid">
          <fgColor indexed="64"/>
          <bgColor rgb="FF2E75B6"/>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9AA5B9"/>
        </patternFill>
      </fill>
    </dxf>
    <dxf>
      <fill>
        <patternFill patternType="solid">
          <fgColor indexed="64"/>
          <bgColor rgb="FF1F3864"/>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
      <fill>
        <patternFill patternType="solid">
          <fgColor indexed="64"/>
          <bgColor rgb="FFE8979A"/>
        </patternFill>
      </fill>
    </dxf>
    <dxf>
      <fill>
        <patternFill patternType="solid">
          <fgColor indexed="64"/>
          <bgColor rgb="FFCC171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Build → 5-yr TCO waterfall (live)</a:t>
            </a:r>
          </a:p>
        </c:rich>
      </c:tx>
      <c:overlay val="0"/>
    </c:title>
    <c:autoTitleDeleted val="0"/>
    <c:plotArea>
      <c:layout/>
      <c:barChart>
        <c:barDir val="col"/>
        <c:grouping val="stacked"/>
        <c:varyColors val="1"/>
        <c:ser>
          <c:idx val="0"/>
          <c:order val="0"/>
          <c:tx>
            <c:strRef>
              <c:f>Overview!$B$12</c:f>
              <c:strCache>
                <c:ptCount val="1"/>
                <c:pt idx="0">
                  <c:v>Base (invisible)</c:v>
                </c:pt>
              </c:strCache>
            </c:strRef>
          </c:tx>
          <c:spPr>
            <a:solidFill>
              <a:srgbClr val="FFFFFF"/>
            </a:solidFill>
            <a:ln w="25400">
              <a:noFill/>
            </a:ln>
          </c:spPr>
          <c:invertIfNegative val="1"/>
          <c:cat>
            <c:strRef>
              <c:f>Overview!$H$13:$H$22</c:f>
              <c:strCache>
                <c:ptCount val="10"/>
                <c:pt idx="0">
                  <c:v>5-yr TCO</c:v>
                </c:pt>
                <c:pt idx="1">
                  <c:v>Plan</c:v>
                </c:pt>
                <c:pt idx="2">
                  <c:v>Build</c:v>
                </c:pt>
                <c:pt idx="3">
                  <c:v>Build</c:v>
                </c:pt>
                <c:pt idx="4">
                  <c:v>Testing</c:v>
                </c:pt>
                <c:pt idx="5">
                  <c:v>Deploy</c:v>
                </c:pt>
                <c:pt idx="6">
                  <c:v>Maintenance</c:v>
                </c:pt>
                <c:pt idx="7">
                  <c:v>Contingency</c:v>
                </c:pt>
                <c:pt idx="8">
                  <c:v>Slip/Overlap</c:v>
                </c:pt>
                <c:pt idx="9">
                  <c:v>Run (5yr)</c:v>
                </c:pt>
              </c:strCache>
            </c:strRef>
          </c:cat>
          <c:val>
            <c:numRef>
              <c:f>Overview!$I$13:$I$22</c:f>
              <c:numCache>
                <c:formatCode>\£#,##0</c:formatCode>
                <c:ptCount val="10"/>
                <c:pt idx="0">
                  <c:v>0</c:v>
                </c:pt>
                <c:pt idx="1">
                  <c:v>2420559.3862188645</c:v>
                </c:pt>
                <c:pt idx="2">
                  <c:v>2199412.8029188644</c:v>
                </c:pt>
                <c:pt idx="3">
                  <c:v>2041162.8029188644</c:v>
                </c:pt>
                <c:pt idx="4">
                  <c:v>1951997.8029188644</c:v>
                </c:pt>
                <c:pt idx="5">
                  <c:v>1885297.8029188644</c:v>
                </c:pt>
                <c:pt idx="6">
                  <c:v>1765147.8029188644</c:v>
                </c:pt>
                <c:pt idx="7">
                  <c:v>1656842.3154238644</c:v>
                </c:pt>
                <c:pt idx="8">
                  <c:v>1656842.3154238644</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w="25400">
                    <a:noFill/>
                  </a:ln>
                </c14:spPr>
              </c14:invertSolidFillFmt>
            </c:ext>
            <c:ext xmlns:c16="http://schemas.microsoft.com/office/drawing/2014/chart" uri="{C3380CC4-5D6E-409C-BE32-E72D297353CC}">
              <c16:uniqueId val="{00000000-57FD-BB43-9337-E997A8DD906E}"/>
            </c:ext>
          </c:extLst>
        </c:ser>
        <c:ser>
          <c:idx val="1"/>
          <c:order val="1"/>
          <c:tx>
            <c:strRef>
              <c:f>Overview!$C$12</c:f>
              <c:strCache>
                <c:ptCount val="1"/>
                <c:pt idx="0">
                  <c:v>Block (visible)</c:v>
                </c:pt>
              </c:strCache>
            </c:strRef>
          </c:tx>
          <c:spPr>
            <a:solidFill>
              <a:srgbClr val="CC171E"/>
            </a:solidFill>
            <a:ln>
              <a:prstDash val="solid"/>
            </a:ln>
          </c:spPr>
          <c:invertIfNegative val="1"/>
          <c:dPt>
            <c:idx val="0"/>
            <c:invertIfNegative val="1"/>
            <c:bubble3D val="0"/>
            <c:spPr>
              <a:solidFill>
                <a:srgbClr val="595959"/>
              </a:solidFill>
              <a:ln>
                <a:prstDash val="solid"/>
              </a:ln>
            </c:spPr>
            <c:extLst>
              <c:ext xmlns:c16="http://schemas.microsoft.com/office/drawing/2014/chart" uri="{C3380CC4-5D6E-409C-BE32-E72D297353CC}">
                <c16:uniqueId val="{0000000C-57FD-BB43-9337-E997A8DD906E}"/>
              </c:ext>
            </c:extLst>
          </c:dPt>
          <c:dPt>
            <c:idx val="9"/>
            <c:invertIfNegative val="1"/>
            <c:bubble3D val="0"/>
            <c:spPr>
              <a:solidFill>
                <a:srgbClr val="595959"/>
              </a:solidFill>
              <a:ln>
                <a:prstDash val="solid"/>
              </a:ln>
            </c:spPr>
            <c:extLst>
              <c:ext xmlns:c16="http://schemas.microsoft.com/office/drawing/2014/chart" uri="{C3380CC4-5D6E-409C-BE32-E72D297353CC}">
                <c16:uniqueId val="{00000015-57FD-BB43-9337-E997A8DD906E}"/>
              </c:ext>
            </c:extLst>
          </c:dPt>
          <c:cat>
            <c:strRef>
              <c:f>Overview!$H$13:$H$22</c:f>
              <c:strCache>
                <c:ptCount val="10"/>
                <c:pt idx="0">
                  <c:v>5-yr TCO</c:v>
                </c:pt>
                <c:pt idx="1">
                  <c:v>Plan</c:v>
                </c:pt>
                <c:pt idx="2">
                  <c:v>Build</c:v>
                </c:pt>
                <c:pt idx="3">
                  <c:v>Build</c:v>
                </c:pt>
                <c:pt idx="4">
                  <c:v>Testing</c:v>
                </c:pt>
                <c:pt idx="5">
                  <c:v>Deploy</c:v>
                </c:pt>
                <c:pt idx="6">
                  <c:v>Maintenance</c:v>
                </c:pt>
                <c:pt idx="7">
                  <c:v>Contingency</c:v>
                </c:pt>
                <c:pt idx="8">
                  <c:v>Slip/Overlap</c:v>
                </c:pt>
                <c:pt idx="9">
                  <c:v>Run (5yr)</c:v>
                </c:pt>
              </c:strCache>
            </c:strRef>
          </c:cat>
          <c:val>
            <c:numRef>
              <c:f>Overview!$J$13:$J$22</c:f>
              <c:numCache>
                <c:formatCode>\£#,##0</c:formatCode>
                <c:ptCount val="10"/>
                <c:pt idx="0">
                  <c:v>2487184.3862188645</c:v>
                </c:pt>
                <c:pt idx="1">
                  <c:v>66625</c:v>
                </c:pt>
                <c:pt idx="2">
                  <c:v>221146.58329999997</c:v>
                </c:pt>
                <c:pt idx="3">
                  <c:v>158250</c:v>
                </c:pt>
                <c:pt idx="4">
                  <c:v>89165</c:v>
                </c:pt>
                <c:pt idx="5">
                  <c:v>66700</c:v>
                </c:pt>
                <c:pt idx="6">
                  <c:v>120150</c:v>
                </c:pt>
                <c:pt idx="7">
                  <c:v>108305.48749499999</c:v>
                </c:pt>
                <c:pt idx="8">
                  <c:v>0</c:v>
                </c:pt>
                <c:pt idx="9">
                  <c:v>1656842.3154238646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57FD-BB43-9337-E997A8DD906E}"/>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GB"/>
                  <a:t>£</a:t>
                </a:r>
              </a:p>
            </c:rich>
          </c:tx>
          <c:overlay val="1"/>
        </c:title>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Cumulative spend by month (go-live marked)</a:t>
            </a:r>
          </a:p>
        </c:rich>
      </c:tx>
      <c:overlay val="0"/>
    </c:title>
    <c:autoTitleDeleted val="0"/>
    <c:plotArea>
      <c:layout/>
      <c:lineChart>
        <c:grouping val="standard"/>
        <c:varyColors val="1"/>
        <c:ser>
          <c:idx val="0"/>
          <c:order val="0"/>
          <c:tx>
            <c:strRef>
              <c:f>Overview!$B$46</c:f>
              <c:strCache>
                <c:ptCount val="1"/>
                <c:pt idx="0">
                  <c:v>Cumulative spend £</c:v>
                </c:pt>
              </c:strCache>
            </c:strRef>
          </c:tx>
          <c:spPr>
            <a:ln w="28000">
              <a:solidFill>
                <a:srgbClr val="1F1F1F"/>
              </a:solidFill>
              <a:prstDash val="solid"/>
            </a:ln>
          </c:spPr>
          <c:marker>
            <c:symbol val="none"/>
          </c:marker>
          <c:cat>
            <c:numRef>
              <c:f>Overview!$A$47:$A$62</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Overview!$B$47:$B$62</c:f>
              <c:numCache>
                <c:formatCode>\£#,##0</c:formatCode>
                <c:ptCount val="16"/>
                <c:pt idx="0">
                  <c:v>73868.379684598272</c:v>
                </c:pt>
                <c:pt idx="1">
                  <c:v>179906.90885699654</c:v>
                </c:pt>
                <c:pt idx="2">
                  <c:v>291834.50911049481</c:v>
                </c:pt>
                <c:pt idx="3">
                  <c:v>413646.10203839303</c:v>
                </c:pt>
                <c:pt idx="4">
                  <c:v>541366.54422299122</c:v>
                </c:pt>
                <c:pt idx="5">
                  <c:v>648554.86140758963</c:v>
                </c:pt>
                <c:pt idx="6">
                  <c:v>744292.73283699376</c:v>
                </c:pt>
                <c:pt idx="7">
                  <c:v>857007.13485366048</c:v>
                </c:pt>
                <c:pt idx="8">
                  <c:v>890222.28687032708</c:v>
                </c:pt>
                <c:pt idx="9">
                  <c:v>916228.4388869938</c:v>
                </c:pt>
                <c:pt idx="10">
                  <c:v>942234.59090366052</c:v>
                </c:pt>
                <c:pt idx="11">
                  <c:v>968240.74292032712</c:v>
                </c:pt>
                <c:pt idx="12">
                  <c:v>994246.89493699372</c:v>
                </c:pt>
                <c:pt idx="13">
                  <c:v>1020253.0469536604</c:v>
                </c:pt>
                <c:pt idx="14">
                  <c:v>1046259.1989703272</c:v>
                </c:pt>
                <c:pt idx="15">
                  <c:v>1072265.3509869939</c:v>
                </c:pt>
              </c:numCache>
            </c:numRef>
          </c:val>
          <c:smooth val="1"/>
          <c:extLst>
            <c:ext xmlns:c16="http://schemas.microsoft.com/office/drawing/2014/chart" uri="{C3380CC4-5D6E-409C-BE32-E72D297353CC}">
              <c16:uniqueId val="{00000000-36FB-D94A-8D75-1E547A0336D2}"/>
            </c:ext>
          </c:extLst>
        </c:ser>
        <c:ser>
          <c:idx val="1"/>
          <c:order val="1"/>
          <c:tx>
            <c:strRef>
              <c:f>Overview!$C$46</c:f>
              <c:strCache>
                <c:ptCount val="1"/>
                <c:pt idx="0">
                  <c:v>Go-live marker</c:v>
                </c:pt>
              </c:strCache>
            </c:strRef>
          </c:tx>
          <c:spPr>
            <a:ln>
              <a:noFill/>
              <a:prstDash val="solid"/>
            </a:ln>
          </c:spPr>
          <c:marker>
            <c:symbol val="circle"/>
            <c:size val="10"/>
            <c:spPr>
              <a:ln>
                <a:prstDash val="solid"/>
              </a:ln>
            </c:spPr>
          </c:marker>
          <c:cat>
            <c:numRef>
              <c:f>Overview!$A$47:$A$62</c:f>
              <c:numCache>
                <c:formatCode>#,##0</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Overview!$C$47:$C$62</c:f>
              <c:numCache>
                <c:formatCode>\£#,##0</c:formatCode>
                <c:ptCount val="16"/>
                <c:pt idx="0">
                  <c:v>#N/A</c:v>
                </c:pt>
                <c:pt idx="1">
                  <c:v>#N/A</c:v>
                </c:pt>
                <c:pt idx="2">
                  <c:v>#N/A</c:v>
                </c:pt>
                <c:pt idx="3">
                  <c:v>#N/A</c:v>
                </c:pt>
                <c:pt idx="4">
                  <c:v>#N/A</c:v>
                </c:pt>
                <c:pt idx="5">
                  <c:v>#N/A</c:v>
                </c:pt>
                <c:pt idx="6">
                  <c:v>744292.73283699376</c:v>
                </c:pt>
                <c:pt idx="7">
                  <c:v>#N/A</c:v>
                </c:pt>
                <c:pt idx="8">
                  <c:v>#N/A</c:v>
                </c:pt>
                <c:pt idx="9">
                  <c:v>#N/A</c:v>
                </c:pt>
                <c:pt idx="10">
                  <c:v>#N/A</c:v>
                </c:pt>
                <c:pt idx="11">
                  <c:v>#N/A</c:v>
                </c:pt>
                <c:pt idx="12">
                  <c:v>#N/A</c:v>
                </c:pt>
                <c:pt idx="13">
                  <c:v>#N/A</c:v>
                </c:pt>
                <c:pt idx="14">
                  <c:v>#N/A</c:v>
                </c:pt>
                <c:pt idx="15">
                  <c:v>#N/A</c:v>
                </c:pt>
              </c:numCache>
            </c:numRef>
          </c:val>
          <c:smooth val="1"/>
          <c:extLst>
            <c:ext xmlns:c16="http://schemas.microsoft.com/office/drawing/2014/chart" uri="{C3380CC4-5D6E-409C-BE32-E72D297353CC}">
              <c16:uniqueId val="{00000001-36FB-D94A-8D75-1E547A0336D2}"/>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GB"/>
                  <a:t>Month from contract signature (30 Jun 2026)</a:t>
                </a:r>
              </a:p>
            </c:rich>
          </c:tx>
          <c:overlay val="1"/>
        </c:title>
        <c:numFmt formatCode="#,##0"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Build cost by phase and side (live)</a:t>
            </a:r>
          </a:p>
        </c:rich>
      </c:tx>
      <c:overlay val="0"/>
    </c:title>
    <c:autoTitleDeleted val="0"/>
    <c:plotArea>
      <c:layout/>
      <c:barChart>
        <c:barDir val="col"/>
        <c:grouping val="stacked"/>
        <c:varyColors val="1"/>
        <c:ser>
          <c:idx val="0"/>
          <c:order val="0"/>
          <c:tx>
            <c:strRef>
              <c:f>Overview!$B$64</c:f>
              <c:strCache>
                <c:ptCount val="1"/>
                <c:pt idx="0">
                  <c:v>SEGRO</c:v>
                </c:pt>
              </c:strCache>
            </c:strRef>
          </c:tx>
          <c:spPr>
            <a:solidFill>
              <a:srgbClr val="CC171E"/>
            </a:solidFill>
            <a:ln>
              <a:prstDash val="solid"/>
            </a:ln>
          </c:spPr>
          <c:invertIfNegative val="1"/>
          <c:cat>
            <c:strRef>
              <c:f>Overview!$F$13:$F$18</c:f>
              <c:strCache>
                <c:ptCount val="6"/>
                <c:pt idx="0">
                  <c:v>Plan</c:v>
                </c:pt>
                <c:pt idx="1">
                  <c:v>Build</c:v>
                </c:pt>
                <c:pt idx="2">
                  <c:v>Build</c:v>
                </c:pt>
                <c:pt idx="3">
                  <c:v>Testing</c:v>
                </c:pt>
                <c:pt idx="4">
                  <c:v>Deploy</c:v>
                </c:pt>
                <c:pt idx="5">
                  <c:v>Maintenance</c:v>
                </c:pt>
              </c:strCache>
            </c:strRef>
          </c:cat>
          <c:val>
            <c:numRef>
              <c:f>Overview!$B$65:$B$70</c:f>
              <c:numCache>
                <c:formatCode>\£#,##0</c:formatCode>
                <c:ptCount val="6"/>
                <c:pt idx="0">
                  <c:v>52375</c:v>
                </c:pt>
                <c:pt idx="1">
                  <c:v>205445</c:v>
                </c:pt>
                <c:pt idx="2">
                  <c:v>15750</c:v>
                </c:pt>
                <c:pt idx="3">
                  <c:v>55915</c:v>
                </c:pt>
                <c:pt idx="4">
                  <c:v>47700</c:v>
                </c:pt>
                <c:pt idx="5">
                  <c:v>91650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1AB-2A49-907A-E4FC8042CD74}"/>
            </c:ext>
          </c:extLst>
        </c:ser>
        <c:ser>
          <c:idx val="1"/>
          <c:order val="1"/>
          <c:tx>
            <c:strRef>
              <c:f>Overview!$C$64</c:f>
              <c:strCache>
                <c:ptCount val="1"/>
                <c:pt idx="0">
                  <c:v>HCL</c:v>
                </c:pt>
              </c:strCache>
            </c:strRef>
          </c:tx>
          <c:spPr>
            <a:solidFill>
              <a:srgbClr val="1F3864"/>
            </a:solidFill>
            <a:ln>
              <a:prstDash val="solid"/>
            </a:ln>
          </c:spPr>
          <c:invertIfNegative val="1"/>
          <c:cat>
            <c:strRef>
              <c:f>Overview!$F$13:$F$18</c:f>
              <c:strCache>
                <c:ptCount val="6"/>
                <c:pt idx="0">
                  <c:v>Plan</c:v>
                </c:pt>
                <c:pt idx="1">
                  <c:v>Build</c:v>
                </c:pt>
                <c:pt idx="2">
                  <c:v>Build</c:v>
                </c:pt>
                <c:pt idx="3">
                  <c:v>Testing</c:v>
                </c:pt>
                <c:pt idx="4">
                  <c:v>Deploy</c:v>
                </c:pt>
                <c:pt idx="5">
                  <c:v>Maintenance</c:v>
                </c:pt>
              </c:strCache>
            </c:strRef>
          </c:cat>
          <c:val>
            <c:numRef>
              <c:f>Overview!$C$65:$C$70</c:f>
              <c:numCache>
                <c:formatCode>\£#,##0</c:formatCode>
                <c:ptCount val="6"/>
                <c:pt idx="0">
                  <c:v>14250</c:v>
                </c:pt>
                <c:pt idx="1">
                  <c:v>0</c:v>
                </c:pt>
                <c:pt idx="2">
                  <c:v>142500</c:v>
                </c:pt>
                <c:pt idx="3">
                  <c:v>19000</c:v>
                </c:pt>
                <c:pt idx="4">
                  <c:v>19000</c:v>
                </c:pt>
                <c:pt idx="5">
                  <c:v>28500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91AB-2A49-907A-E4FC8042CD74}"/>
            </c:ext>
          </c:extLst>
        </c:ser>
        <c:ser>
          <c:idx val="2"/>
          <c:order val="2"/>
          <c:tx>
            <c:strRef>
              <c:f>Overview!$D$64</c:f>
              <c:strCache>
                <c:ptCount val="1"/>
                <c:pt idx="0">
                  <c:v>Azure</c:v>
                </c:pt>
              </c:strCache>
            </c:strRef>
          </c:tx>
          <c:spPr>
            <a:solidFill>
              <a:srgbClr val="2E75B6"/>
            </a:solidFill>
            <a:ln>
              <a:prstDash val="solid"/>
            </a:ln>
          </c:spPr>
          <c:invertIfNegative val="1"/>
          <c:cat>
            <c:strRef>
              <c:f>Overview!$F$13:$F$18</c:f>
              <c:strCache>
                <c:ptCount val="6"/>
                <c:pt idx="0">
                  <c:v>Plan</c:v>
                </c:pt>
                <c:pt idx="1">
                  <c:v>Build</c:v>
                </c:pt>
                <c:pt idx="2">
                  <c:v>Build</c:v>
                </c:pt>
                <c:pt idx="3">
                  <c:v>Testing</c:v>
                </c:pt>
                <c:pt idx="4">
                  <c:v>Deploy</c:v>
                </c:pt>
                <c:pt idx="5">
                  <c:v>Maintenance</c:v>
                </c:pt>
              </c:strCache>
            </c:strRef>
          </c:cat>
          <c:val>
            <c:numRef>
              <c:f>Overview!$D$65:$D$70</c:f>
              <c:numCache>
                <c:formatCode>\£#,##0</c:formatCode>
                <c:ptCount val="6"/>
                <c:pt idx="0">
                  <c:v>0</c:v>
                </c:pt>
                <c:pt idx="1">
                  <c:v>15701.583300000002</c:v>
                </c:pt>
                <c:pt idx="2">
                  <c:v>0</c:v>
                </c:pt>
                <c:pt idx="3">
                  <c:v>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2-91AB-2A49-907A-E4FC8042CD74}"/>
            </c:ext>
          </c:extLst>
        </c:ser>
        <c:ser>
          <c:idx val="3"/>
          <c:order val="3"/>
          <c:tx>
            <c:strRef>
              <c:f>Overview!$E$64</c:f>
              <c:strCache>
                <c:ptCount val="1"/>
                <c:pt idx="0">
                  <c:v>ThirdParty</c:v>
                </c:pt>
              </c:strCache>
            </c:strRef>
          </c:tx>
          <c:spPr>
            <a:solidFill>
              <a:srgbClr val="7030A0"/>
            </a:solidFill>
            <a:ln>
              <a:prstDash val="solid"/>
            </a:ln>
          </c:spPr>
          <c:invertIfNegative val="1"/>
          <c:cat>
            <c:strRef>
              <c:f>Overview!$F$13:$F$18</c:f>
              <c:strCache>
                <c:ptCount val="6"/>
                <c:pt idx="0">
                  <c:v>Plan</c:v>
                </c:pt>
                <c:pt idx="1">
                  <c:v>Build</c:v>
                </c:pt>
                <c:pt idx="2">
                  <c:v>Build</c:v>
                </c:pt>
                <c:pt idx="3">
                  <c:v>Testing</c:v>
                </c:pt>
                <c:pt idx="4">
                  <c:v>Deploy</c:v>
                </c:pt>
                <c:pt idx="5">
                  <c:v>Maintenance</c:v>
                </c:pt>
              </c:strCache>
            </c:strRef>
          </c:cat>
          <c:val>
            <c:numRef>
              <c:f>Overview!$E$65:$E$70</c:f>
              <c:numCache>
                <c:formatCode>\£#,##0</c:formatCode>
                <c:ptCount val="6"/>
                <c:pt idx="0">
                  <c:v>0</c:v>
                </c:pt>
                <c:pt idx="1">
                  <c:v>0</c:v>
                </c:pt>
                <c:pt idx="2">
                  <c:v>0</c:v>
                </c:pt>
                <c:pt idx="3">
                  <c:v>14250</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3-91AB-2A49-907A-E4FC8042CD74}"/>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0" sourceLinked="0"/>
        <c:majorTickMark val="none"/>
        <c:minorTickMark val="none"/>
        <c:tickLblPos val="nextTo"/>
        <c:crossAx val="10"/>
        <c:crosses val="autoZero"/>
        <c:crossBetween val="between"/>
      </c:valAx>
    </c:plotArea>
    <c:legend>
      <c:legendPos val="r"/>
      <c:layout>
        <c:manualLayout>
          <c:xMode val="edge"/>
          <c:yMode val="edge"/>
          <c:x val="0.84486499343832011"/>
          <c:y val="0.19050627004957713"/>
          <c:w val="0.12388500656167979"/>
          <c:h val="0.26789501312335956"/>
        </c:manualLayout>
      </c:layout>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Run-rate Y1 composition by side (live)</a:t>
            </a:r>
          </a:p>
        </c:rich>
      </c:tx>
      <c:overlay val="0"/>
    </c:title>
    <c:autoTitleDeleted val="0"/>
    <c:plotArea>
      <c:layout/>
      <c:doughnutChart>
        <c:varyColors val="1"/>
        <c:ser>
          <c:idx val="0"/>
          <c:order val="0"/>
          <c:tx>
            <c:strRef>
              <c:f>Overview!$B$72</c:f>
              <c:strCache>
                <c:ptCount val="1"/>
                <c:pt idx="0">
                  <c:v>£/yr</c:v>
                </c:pt>
              </c:strCache>
            </c:strRef>
          </c:tx>
          <c:spPr>
            <a:ln>
              <a:prstDash val="solid"/>
            </a:ln>
          </c:spPr>
          <c:dPt>
            <c:idx val="0"/>
            <c:bubble3D val="0"/>
            <c:spPr>
              <a:solidFill>
                <a:srgbClr val="CC171E"/>
              </a:solidFill>
              <a:ln>
                <a:prstDash val="solid"/>
              </a:ln>
            </c:spPr>
            <c:extLst>
              <c:ext xmlns:c16="http://schemas.microsoft.com/office/drawing/2014/chart" uri="{C3380CC4-5D6E-409C-BE32-E72D297353CC}">
                <c16:uniqueId val="{00000001-87F5-AF42-B60A-21D843A6A744}"/>
              </c:ext>
            </c:extLst>
          </c:dPt>
          <c:dPt>
            <c:idx val="1"/>
            <c:bubble3D val="0"/>
            <c:spPr>
              <a:solidFill>
                <a:srgbClr val="1F3864"/>
              </a:solidFill>
              <a:ln>
                <a:prstDash val="solid"/>
              </a:ln>
            </c:spPr>
            <c:extLst>
              <c:ext xmlns:c16="http://schemas.microsoft.com/office/drawing/2014/chart" uri="{C3380CC4-5D6E-409C-BE32-E72D297353CC}">
                <c16:uniqueId val="{00000002-87F5-AF42-B60A-21D843A6A744}"/>
              </c:ext>
            </c:extLst>
          </c:dPt>
          <c:dPt>
            <c:idx val="2"/>
            <c:bubble3D val="0"/>
            <c:spPr>
              <a:solidFill>
                <a:srgbClr val="2E75B6"/>
              </a:solidFill>
              <a:ln>
                <a:prstDash val="solid"/>
              </a:ln>
            </c:spPr>
            <c:extLst>
              <c:ext xmlns:c16="http://schemas.microsoft.com/office/drawing/2014/chart" uri="{C3380CC4-5D6E-409C-BE32-E72D297353CC}">
                <c16:uniqueId val="{00000003-87F5-AF42-B60A-21D843A6A744}"/>
              </c:ext>
            </c:extLst>
          </c:dPt>
          <c:dPt>
            <c:idx val="3"/>
            <c:bubble3D val="0"/>
            <c:spPr>
              <a:solidFill>
                <a:srgbClr val="7030A0"/>
              </a:solidFill>
              <a:ln>
                <a:prstDash val="solid"/>
              </a:ln>
            </c:spPr>
            <c:extLst>
              <c:ext xmlns:c16="http://schemas.microsoft.com/office/drawing/2014/chart" uri="{C3380CC4-5D6E-409C-BE32-E72D297353CC}">
                <c16:uniqueId val="{00000004-87F5-AF42-B60A-21D843A6A744}"/>
              </c:ext>
            </c:extLst>
          </c:dPt>
          <c:cat>
            <c:strRef>
              <c:f>Overview!$A$73:$A$76</c:f>
              <c:strCache>
                <c:ptCount val="4"/>
                <c:pt idx="0">
                  <c:v>SEGRO</c:v>
                </c:pt>
                <c:pt idx="1">
                  <c:v>HCL</c:v>
                </c:pt>
                <c:pt idx="2">
                  <c:v>Azure</c:v>
                </c:pt>
                <c:pt idx="3">
                  <c:v>ThirdParty</c:v>
                </c:pt>
              </c:strCache>
            </c:strRef>
          </c:cat>
          <c:val>
            <c:numRef>
              <c:f>Overview!$B$73:$B$76</c:f>
              <c:numCache>
                <c:formatCode>\£#,##0</c:formatCode>
                <c:ptCount val="4"/>
                <c:pt idx="0">
                  <c:v>255064.8</c:v>
                </c:pt>
                <c:pt idx="1">
                  <c:v>0</c:v>
                </c:pt>
                <c:pt idx="2">
                  <c:v>52259.024199999985</c:v>
                </c:pt>
                <c:pt idx="3">
                  <c:v>4750</c:v>
                </c:pt>
              </c:numCache>
            </c:numRef>
          </c:val>
          <c:extLst>
            <c:ext xmlns:c16="http://schemas.microsoft.com/office/drawing/2014/chart" uri="{C3380CC4-5D6E-409C-BE32-E72D297353CC}">
              <c16:uniqueId val="{00000000-87F5-AF42-B60A-21D843A6A744}"/>
            </c:ext>
          </c:extLst>
        </c:ser>
        <c:dLbls>
          <c:showLegendKey val="0"/>
          <c:showVal val="0"/>
          <c:showCatName val="0"/>
          <c:showSerName val="0"/>
          <c:showPercent val="0"/>
          <c:showBubbleSize val="0"/>
          <c:showLeaderLines val="1"/>
        </c:dLbls>
        <c:firstSliceAng val="0"/>
        <c:holeSize val="10"/>
      </c:doughnut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9</xdr:col>
      <xdr:colOff>508000</xdr:colOff>
      <xdr:row>0</xdr:row>
      <xdr:rowOff>127000</xdr:rowOff>
    </xdr:from>
    <xdr:ext cx="6096000" cy="3429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19</xdr:col>
      <xdr:colOff>127000</xdr:colOff>
      <xdr:row>0</xdr:row>
      <xdr:rowOff>127000</xdr:rowOff>
    </xdr:from>
    <xdr:ext cx="6096000" cy="3429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9</xdr:col>
      <xdr:colOff>508000</xdr:colOff>
      <xdr:row>18</xdr:row>
      <xdr:rowOff>165100</xdr:rowOff>
    </xdr:from>
    <xdr:ext cx="6096000" cy="3429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19</xdr:col>
      <xdr:colOff>127000</xdr:colOff>
      <xdr:row>18</xdr:row>
      <xdr:rowOff>165100</xdr:rowOff>
    </xdr:from>
    <xdr:ext cx="6096000" cy="3429000"/>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E661F4-3F1C-0F4E-89B3-601E3B56E131}">
  <we:reference id="wa200009404" version="1.0.0.8" store="en-US" storeType="OMEX"/>
  <we:alternateReferences>
    <we:reference id="wa200009404" version="1.0.0.8" store="en-US" storeType="OMEX"/>
  </we:alternateReferences>
  <we:properties>
    <we:property name="claude.fileId" value="&quot;502183b1-ccb9-45e3-8fae-b1c3a834586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sheetPr>
  <dimension ref="A1:K83"/>
  <sheetViews>
    <sheetView showGridLines="0" workbookViewId="0">
      <pane ySplit="4" topLeftCell="A5" activePane="bottomLeft" state="frozen"/>
      <selection pane="bottomLeft" activeCell="F59" sqref="F59"/>
    </sheetView>
  </sheetViews>
  <sheetFormatPr baseColWidth="10" defaultColWidth="8.83203125" defaultRowHeight="15" x14ac:dyDescent="0.2"/>
  <cols>
    <col min="1" max="1" width="53.1640625" customWidth="1"/>
    <col min="2" max="9" width="15" customWidth="1"/>
    <col min="10" max="10" width="18.83203125" customWidth="1"/>
    <col min="11" max="11" width="15.83203125" customWidth="1"/>
  </cols>
  <sheetData>
    <row r="1" spans="1:11" ht="18" x14ac:dyDescent="0.2">
      <c r="A1" s="1" t="s">
        <v>0</v>
      </c>
      <c r="B1" s="1"/>
      <c r="C1" s="1"/>
      <c r="D1" s="1"/>
      <c r="E1" s="1"/>
      <c r="F1" s="1"/>
      <c r="G1" s="1"/>
      <c r="H1" s="1"/>
      <c r="I1" s="1"/>
    </row>
    <row r="2" spans="1:11" x14ac:dyDescent="0.2">
      <c r="A2" s="38" t="str">
        <f>"Active scenario:  effort = "&amp;EffortBasis&amp;"  ·  HCL = "&amp;HCL_Toggle&amp;"  ·  platform = "&amp;Platform&amp;"  ·  vendor = "&amp;ModelVendor&amp;"  ·  sku = "&amp;ModelSKU&amp;"  ·  obs = "&amp;Observability&amp;"  ·  agents = "&amp;AgentStack&amp;"/"&amp;AgentCount&amp;"  ·  mcp = "&amp;McpServerCount&amp;"  ·  rag = "&amp;RagMemoryShape&amp;"  ·  envs = "&amp;EnvCount&amp;"  ·  day rate £"&amp;TEXT(DayRate,"#,##0")&amp;"  ·  contingency "&amp;TEXT(ContingencyPct,"0%")&amp;"  ·  slip "&amp;SlipWeeks&amp;" wk  ·  overlap "&amp;OverlapWeeks&amp;" wk"</f>
        <v>Active scenario:  effort = Likely  ·  HCL = Include  ·  platform = AKS  ·  vendor = AzureOpenAI  ·  sku = GPT-4o  ·  obs = Azure  ·  agents = Exclude/1  ·  mcp = 2  ·  rag = AISearch_Cosmos  ·  envs = 4  ·  day rate £850  ·  contingency 15%  ·  slip 0 wk  ·  overlap 0 wk</v>
      </c>
      <c r="B2" s="37"/>
      <c r="C2" s="37"/>
      <c r="D2" s="37"/>
      <c r="E2" s="37"/>
      <c r="F2" s="37"/>
      <c r="G2" s="37"/>
      <c r="H2" s="37"/>
      <c r="I2" s="37"/>
    </row>
    <row r="4" spans="1:11" ht="16" x14ac:dyDescent="0.2">
      <c r="A4" s="2" t="s">
        <v>1</v>
      </c>
      <c r="B4" s="2"/>
      <c r="C4" s="2"/>
      <c r="D4" s="2"/>
      <c r="E4" s="2"/>
      <c r="F4" s="2"/>
      <c r="G4" s="2"/>
      <c r="H4" s="2"/>
      <c r="I4" s="2"/>
    </row>
    <row r="5" spans="1:11" ht="16" x14ac:dyDescent="0.2">
      <c r="A5" s="3" t="s">
        <v>2</v>
      </c>
      <c r="B5" s="4">
        <f>TotalBuild</f>
        <v>830342.07079499995</v>
      </c>
    </row>
    <row r="6" spans="1:11" ht="16" x14ac:dyDescent="0.2">
      <c r="A6" s="3" t="s">
        <v>3</v>
      </c>
      <c r="B6" s="4">
        <f>TotalRun5yr</f>
        <v>1656842.3154238646</v>
      </c>
    </row>
    <row r="7" spans="1:11" ht="16" x14ac:dyDescent="0.2">
      <c r="A7" s="3" t="s">
        <v>4</v>
      </c>
      <c r="B7" s="4">
        <f>TotalBuild+TotalRun5yr</f>
        <v>2487184.3862188645</v>
      </c>
    </row>
    <row r="8" spans="1:11" ht="16" x14ac:dyDescent="0.2">
      <c r="A8" s="3" t="s">
        <v>5</v>
      </c>
      <c r="B8" s="4">
        <f>(TotalBuild+TotalRun5yr)/OrgSize</f>
        <v>3553.120551741235</v>
      </c>
    </row>
    <row r="9" spans="1:11" ht="16" x14ac:dyDescent="0.2">
      <c r="A9" s="3" t="s">
        <v>6</v>
      </c>
      <c r="B9" s="4">
        <f>TotalBuild+RunY1</f>
        <v>1142415.894995</v>
      </c>
    </row>
    <row r="11" spans="1:11" ht="16" x14ac:dyDescent="0.2">
      <c r="A11" s="2" t="s">
        <v>7</v>
      </c>
      <c r="B11" s="2"/>
      <c r="C11" s="2"/>
      <c r="D11" s="2"/>
      <c r="E11" s="2"/>
      <c r="F11" s="2"/>
      <c r="G11" s="2"/>
      <c r="H11" s="2"/>
      <c r="I11" s="2"/>
    </row>
    <row r="12" spans="1:11" ht="16" x14ac:dyDescent="0.2">
      <c r="A12" s="5" t="s">
        <v>8</v>
      </c>
      <c r="B12" s="5" t="s">
        <v>9</v>
      </c>
      <c r="C12" s="5" t="s">
        <v>10</v>
      </c>
      <c r="D12" s="5" t="s">
        <v>11</v>
      </c>
      <c r="E12" s="5" t="s">
        <v>12</v>
      </c>
      <c r="F12" s="31" t="s">
        <v>2038</v>
      </c>
      <c r="H12" s="33" t="s">
        <v>2045</v>
      </c>
      <c r="I12" s="34" t="s">
        <v>9</v>
      </c>
      <c r="J12" s="34" t="s">
        <v>10</v>
      </c>
      <c r="K12" s="34" t="s">
        <v>2046</v>
      </c>
    </row>
    <row r="13" spans="1:11" ht="16" x14ac:dyDescent="0.2">
      <c r="A13" s="6" t="s">
        <v>13</v>
      </c>
      <c r="B13" s="7">
        <v>0</v>
      </c>
      <c r="C13" s="7">
        <f>D13</f>
        <v>66625</v>
      </c>
      <c r="D13" s="7">
        <f>'POAP Build Cost'!I15</f>
        <v>66625</v>
      </c>
      <c r="E13" s="7">
        <f>D13</f>
        <v>66625</v>
      </c>
      <c r="F13" s="32" t="s">
        <v>2039</v>
      </c>
      <c r="H13" s="32" t="str">
        <f>F22</f>
        <v>5-yr TCO</v>
      </c>
      <c r="I13" s="35">
        <v>0</v>
      </c>
      <c r="J13" s="35">
        <f>D22</f>
        <v>2487184.3862188645</v>
      </c>
      <c r="K13" s="35">
        <f>I13+J13</f>
        <v>2487184.3862188645</v>
      </c>
    </row>
    <row r="14" spans="1:11" ht="16" x14ac:dyDescent="0.2">
      <c r="A14" s="6" t="s">
        <v>14</v>
      </c>
      <c r="B14" s="7">
        <f t="shared" ref="B14:B21" si="0">MIN(E13,E14)</f>
        <v>66625</v>
      </c>
      <c r="C14" s="7">
        <f t="shared" ref="C14:C21" si="1">ABS(D14)</f>
        <v>221146.58329999997</v>
      </c>
      <c r="D14" s="7">
        <f>'POAP Build Cost'!I50</f>
        <v>221146.58329999997</v>
      </c>
      <c r="E14" s="7">
        <f t="shared" ref="E14:E21" si="2">E13+D14</f>
        <v>287771.58329999994</v>
      </c>
      <c r="F14" s="32" t="s">
        <v>2040</v>
      </c>
      <c r="H14" s="32" t="str">
        <f>F13</f>
        <v>Plan</v>
      </c>
      <c r="I14" s="35">
        <f>K14</f>
        <v>2420559.3862188645</v>
      </c>
      <c r="J14" s="35">
        <f>D13</f>
        <v>66625</v>
      </c>
      <c r="K14" s="35">
        <f>K13-D13</f>
        <v>2420559.3862188645</v>
      </c>
    </row>
    <row r="15" spans="1:11" ht="16" x14ac:dyDescent="0.2">
      <c r="A15" s="6" t="s">
        <v>15</v>
      </c>
      <c r="B15" s="7">
        <f t="shared" si="0"/>
        <v>287771.58329999994</v>
      </c>
      <c r="C15" s="7">
        <f t="shared" si="1"/>
        <v>158250</v>
      </c>
      <c r="D15" s="7">
        <f>'POAP Build Cost'!I62</f>
        <v>158250</v>
      </c>
      <c r="E15" s="7">
        <f t="shared" si="2"/>
        <v>446021.58329999994</v>
      </c>
      <c r="F15" s="32" t="s">
        <v>2040</v>
      </c>
      <c r="H15" s="32" t="str">
        <f t="shared" ref="H15:H22" si="3">F14</f>
        <v>Build</v>
      </c>
      <c r="I15" s="35">
        <f t="shared" ref="I15:I22" si="4">K15</f>
        <v>2199412.8029188644</v>
      </c>
      <c r="J15" s="35">
        <f t="shared" ref="J15:J22" si="5">D14</f>
        <v>221146.58329999997</v>
      </c>
      <c r="K15" s="35">
        <f t="shared" ref="K15:K22" si="6">K14-D14</f>
        <v>2199412.8029188644</v>
      </c>
    </row>
    <row r="16" spans="1:11" ht="16" x14ac:dyDescent="0.2">
      <c r="A16" s="6" t="s">
        <v>16</v>
      </c>
      <c r="B16" s="7">
        <f t="shared" si="0"/>
        <v>446021.58329999994</v>
      </c>
      <c r="C16" s="7">
        <f t="shared" si="1"/>
        <v>89165</v>
      </c>
      <c r="D16" s="7">
        <f>'POAP Build Cost'!I75</f>
        <v>89165</v>
      </c>
      <c r="E16" s="7">
        <f t="shared" si="2"/>
        <v>535186.58329999994</v>
      </c>
      <c r="F16" s="32" t="s">
        <v>2041</v>
      </c>
      <c r="H16" s="32" t="str">
        <f t="shared" si="3"/>
        <v>Build</v>
      </c>
      <c r="I16" s="35">
        <f t="shared" si="4"/>
        <v>2041162.8029188644</v>
      </c>
      <c r="J16" s="35">
        <f t="shared" si="5"/>
        <v>158250</v>
      </c>
      <c r="K16" s="35">
        <f t="shared" si="6"/>
        <v>2041162.8029188644</v>
      </c>
    </row>
    <row r="17" spans="1:11" ht="16" x14ac:dyDescent="0.2">
      <c r="A17" s="6" t="s">
        <v>17</v>
      </c>
      <c r="B17" s="7">
        <f t="shared" si="0"/>
        <v>535186.58329999994</v>
      </c>
      <c r="C17" s="7">
        <f t="shared" si="1"/>
        <v>66700</v>
      </c>
      <c r="D17" s="7">
        <f>'POAP Build Cost'!I85</f>
        <v>66700</v>
      </c>
      <c r="E17" s="7">
        <f t="shared" si="2"/>
        <v>601886.58329999994</v>
      </c>
      <c r="F17" s="32" t="s">
        <v>2042</v>
      </c>
      <c r="H17" s="32" t="str">
        <f t="shared" si="3"/>
        <v>Testing</v>
      </c>
      <c r="I17" s="35">
        <f t="shared" si="4"/>
        <v>1951997.8029188644</v>
      </c>
      <c r="J17" s="35">
        <f t="shared" si="5"/>
        <v>89165</v>
      </c>
      <c r="K17" s="35">
        <f t="shared" si="6"/>
        <v>1951997.8029188644</v>
      </c>
    </row>
    <row r="18" spans="1:11" ht="16" x14ac:dyDescent="0.2">
      <c r="A18" s="6" t="s">
        <v>18</v>
      </c>
      <c r="B18" s="7">
        <f t="shared" si="0"/>
        <v>601886.58329999994</v>
      </c>
      <c r="C18" s="7">
        <f t="shared" si="1"/>
        <v>120150</v>
      </c>
      <c r="D18" s="7">
        <f>'POAP Build Cost'!I94</f>
        <v>120150</v>
      </c>
      <c r="E18" s="7">
        <f t="shared" si="2"/>
        <v>722036.58329999994</v>
      </c>
      <c r="F18" s="32" t="s">
        <v>2043</v>
      </c>
      <c r="H18" s="32" t="str">
        <f t="shared" si="3"/>
        <v>Deploy</v>
      </c>
      <c r="I18" s="35">
        <f t="shared" si="4"/>
        <v>1885297.8029188644</v>
      </c>
      <c r="J18" s="35">
        <f t="shared" si="5"/>
        <v>66700</v>
      </c>
      <c r="K18" s="35">
        <f t="shared" si="6"/>
        <v>1885297.8029188644</v>
      </c>
    </row>
    <row r="19" spans="1:11" ht="16" x14ac:dyDescent="0.2">
      <c r="A19" s="6" t="s">
        <v>19</v>
      </c>
      <c r="B19" s="7">
        <f t="shared" si="0"/>
        <v>722036.58329999994</v>
      </c>
      <c r="C19" s="7">
        <f t="shared" si="1"/>
        <v>108305.48749499999</v>
      </c>
      <c r="D19" s="7">
        <f>'POAP Build Cost'!I98</f>
        <v>108305.48749499999</v>
      </c>
      <c r="E19" s="7">
        <f t="shared" si="2"/>
        <v>830342.07079499995</v>
      </c>
      <c r="F19" s="32" t="s">
        <v>19</v>
      </c>
      <c r="H19" s="32" t="str">
        <f t="shared" si="3"/>
        <v>Maintenance</v>
      </c>
      <c r="I19" s="35">
        <f t="shared" si="4"/>
        <v>1765147.8029188644</v>
      </c>
      <c r="J19" s="35">
        <f t="shared" si="5"/>
        <v>120150</v>
      </c>
      <c r="K19" s="35">
        <f t="shared" si="6"/>
        <v>1765147.8029188644</v>
      </c>
    </row>
    <row r="20" spans="1:11" ht="16" x14ac:dyDescent="0.2">
      <c r="A20" s="6" t="s">
        <v>20</v>
      </c>
      <c r="B20" s="7">
        <f t="shared" si="0"/>
        <v>830342.07079499995</v>
      </c>
      <c r="C20" s="7">
        <f t="shared" si="1"/>
        <v>0</v>
      </c>
      <c r="D20" s="7">
        <f>'POAP Build Cost'!I100+'POAP Build Cost'!I101</f>
        <v>0</v>
      </c>
      <c r="E20" s="7">
        <f t="shared" si="2"/>
        <v>830342.07079499995</v>
      </c>
      <c r="F20" s="32" t="s">
        <v>2044</v>
      </c>
      <c r="H20" s="32" t="str">
        <f t="shared" si="3"/>
        <v>Contingency</v>
      </c>
      <c r="I20" s="35">
        <f t="shared" si="4"/>
        <v>1656842.3154238644</v>
      </c>
      <c r="J20" s="35">
        <f t="shared" si="5"/>
        <v>108305.48749499999</v>
      </c>
      <c r="K20" s="35">
        <f t="shared" si="6"/>
        <v>1656842.3154238644</v>
      </c>
    </row>
    <row r="21" spans="1:11" ht="16" x14ac:dyDescent="0.2">
      <c r="A21" s="6" t="s">
        <v>21</v>
      </c>
      <c r="B21" s="7">
        <f t="shared" si="0"/>
        <v>830342.07079499995</v>
      </c>
      <c r="C21" s="7">
        <f t="shared" si="1"/>
        <v>1656842.3154238646</v>
      </c>
      <c r="D21" s="7">
        <f>TotalRun5yr</f>
        <v>1656842.3154238646</v>
      </c>
      <c r="E21" s="7">
        <f t="shared" si="2"/>
        <v>2487184.3862188645</v>
      </c>
      <c r="F21" s="32" t="s">
        <v>21</v>
      </c>
      <c r="H21" s="32" t="str">
        <f t="shared" si="3"/>
        <v>Slip/Overlap</v>
      </c>
      <c r="I21" s="35">
        <f t="shared" si="4"/>
        <v>1656842.3154238644</v>
      </c>
      <c r="J21" s="35">
        <f t="shared" si="5"/>
        <v>0</v>
      </c>
      <c r="K21" s="35">
        <f t="shared" si="6"/>
        <v>1656842.3154238644</v>
      </c>
    </row>
    <row r="22" spans="1:11" ht="16" x14ac:dyDescent="0.2">
      <c r="A22" s="6" t="s">
        <v>22</v>
      </c>
      <c r="B22" s="7">
        <v>0</v>
      </c>
      <c r="C22" s="7">
        <f>D22</f>
        <v>2487184.3862188645</v>
      </c>
      <c r="D22" s="7">
        <f>TotalBuild+TotalRun5yr</f>
        <v>2487184.3862188645</v>
      </c>
      <c r="E22" s="7">
        <f>D22</f>
        <v>2487184.3862188645</v>
      </c>
      <c r="F22" s="32" t="s">
        <v>22</v>
      </c>
      <c r="H22" s="32" t="str">
        <f t="shared" si="3"/>
        <v>Run (5yr)</v>
      </c>
      <c r="I22" s="35">
        <f t="shared" si="4"/>
        <v>0</v>
      </c>
      <c r="J22" s="35">
        <f t="shared" si="5"/>
        <v>1656842.3154238646</v>
      </c>
      <c r="K22" s="35">
        <f t="shared" si="6"/>
        <v>0</v>
      </c>
    </row>
    <row r="24" spans="1:11" ht="16" x14ac:dyDescent="0.2">
      <c r="A24" s="2" t="s">
        <v>23</v>
      </c>
      <c r="B24" s="2"/>
      <c r="C24" s="2"/>
      <c r="D24" s="2"/>
      <c r="E24" s="2"/>
      <c r="F24" s="2"/>
      <c r="G24" s="2"/>
      <c r="H24" s="2"/>
      <c r="I24" s="2"/>
    </row>
    <row r="25" spans="1:11" ht="16" x14ac:dyDescent="0.2">
      <c r="A25" s="3" t="s">
        <v>24</v>
      </c>
      <c r="B25" s="8">
        <f>MAX(1,29+SlipWeeks)</f>
        <v>29</v>
      </c>
      <c r="D25" s="9" t="s">
        <v>25</v>
      </c>
    </row>
    <row r="26" spans="1:11" ht="16" x14ac:dyDescent="0.2">
      <c r="A26" s="3" t="s">
        <v>26</v>
      </c>
      <c r="B26" s="10">
        <f>DATE(2026,7,13)+((GoLiveWeek-1)*7+4)</f>
        <v>46416</v>
      </c>
      <c r="D26" s="9" t="s">
        <v>27</v>
      </c>
    </row>
    <row r="28" spans="1:11" ht="16" x14ac:dyDescent="0.2">
      <c r="A28" s="5" t="s">
        <v>28</v>
      </c>
      <c r="B28" s="5" t="s">
        <v>29</v>
      </c>
      <c r="C28" s="5" t="s">
        <v>30</v>
      </c>
      <c r="D28" s="5" t="s">
        <v>31</v>
      </c>
    </row>
    <row r="29" spans="1:11" ht="16" x14ac:dyDescent="0.2">
      <c r="A29" s="11" t="s">
        <v>32</v>
      </c>
      <c r="B29" s="12">
        <v>0</v>
      </c>
      <c r="C29" s="12">
        <v>3</v>
      </c>
      <c r="D29" s="12">
        <v>16</v>
      </c>
    </row>
    <row r="30" spans="1:11" ht="16" x14ac:dyDescent="0.2">
      <c r="A30" s="11" t="s">
        <v>33</v>
      </c>
      <c r="B30" s="12">
        <f>29+0</f>
        <v>29</v>
      </c>
      <c r="C30" s="12">
        <f>29+3</f>
        <v>32</v>
      </c>
      <c r="D30" s="12">
        <f>29+16</f>
        <v>45</v>
      </c>
    </row>
    <row r="31" spans="1:11" ht="16" x14ac:dyDescent="0.2">
      <c r="A31" s="11" t="s">
        <v>34</v>
      </c>
      <c r="B31" s="13">
        <f>DATE(2026,7,13)+((29+0-1)*7+4)</f>
        <v>46416</v>
      </c>
      <c r="C31" s="13">
        <f>DATE(2026,7,13)+((29+3-1)*7+4)</f>
        <v>46437</v>
      </c>
      <c r="D31" s="13">
        <f>DATE(2026,7,13)+((29+16-1)*7+4)</f>
        <v>46528</v>
      </c>
    </row>
    <row r="32" spans="1:11" ht="16" x14ac:dyDescent="0.2">
      <c r="A32" s="11" t="s">
        <v>35</v>
      </c>
      <c r="B32" s="12">
        <v>0</v>
      </c>
      <c r="C32" s="12">
        <v>3</v>
      </c>
      <c r="D32" s="12">
        <v>16</v>
      </c>
    </row>
    <row r="33" spans="1:9" ht="16" x14ac:dyDescent="0.2">
      <c r="A33" s="36" t="s">
        <v>36</v>
      </c>
      <c r="B33" s="37"/>
      <c r="C33" s="37"/>
      <c r="D33" s="37"/>
      <c r="E33" s="37"/>
      <c r="F33" s="37"/>
      <c r="G33" s="37"/>
      <c r="H33" s="37"/>
      <c r="I33" s="37"/>
    </row>
    <row r="35" spans="1:9" ht="16" x14ac:dyDescent="0.2">
      <c r="A35" s="2" t="s">
        <v>37</v>
      </c>
      <c r="B35" s="2"/>
      <c r="C35" s="2"/>
      <c r="D35" s="2"/>
      <c r="E35" s="2"/>
      <c r="F35" s="2"/>
      <c r="G35" s="2"/>
      <c r="H35" s="2"/>
      <c r="I35" s="2"/>
    </row>
    <row r="36" spans="1:9" ht="16" x14ac:dyDescent="0.2">
      <c r="A36" s="3" t="s">
        <v>38</v>
      </c>
      <c r="B36" s="14" t="str">
        <f>AgentStack</f>
        <v>Exclude</v>
      </c>
      <c r="C36" s="11" t="s">
        <v>39</v>
      </c>
      <c r="D36" s="11" t="str">
        <f>RagMemoryShape</f>
        <v>AISearch_Cosmos</v>
      </c>
    </row>
    <row r="37" spans="1:9" ht="16" x14ac:dyDescent="0.2">
      <c r="A37" s="3" t="s">
        <v>40</v>
      </c>
      <c r="B37" s="15">
        <f>AgentCount</f>
        <v>1</v>
      </c>
      <c r="C37" s="11" t="s">
        <v>41</v>
      </c>
      <c r="D37" s="15">
        <f>McpServerCount</f>
        <v>2</v>
      </c>
    </row>
    <row r="38" spans="1:9" ht="16" x14ac:dyDescent="0.2">
      <c r="A38" s="3" t="s">
        <v>42</v>
      </c>
      <c r="B38" s="4">
        <f>IFERROR(AgentStackRunY1,0)</f>
        <v>0</v>
      </c>
    </row>
    <row r="40" spans="1:9" ht="16" x14ac:dyDescent="0.2">
      <c r="A40" s="5" t="s">
        <v>43</v>
      </c>
      <c r="B40" s="5" t="s">
        <v>44</v>
      </c>
      <c r="C40" s="5" t="s">
        <v>45</v>
      </c>
      <c r="D40" s="5" t="s">
        <v>46</v>
      </c>
    </row>
    <row r="41" spans="1:9" ht="16" x14ac:dyDescent="0.2">
      <c r="A41" s="11" t="s">
        <v>47</v>
      </c>
      <c r="B41" s="12">
        <v>1</v>
      </c>
      <c r="C41" s="12">
        <v>2</v>
      </c>
      <c r="D41" s="7">
        <f>IF(OR(AgentStack="Exclude",AgentCount=0,McpServerCount=0),0,IFERROR(AgentStackMcpY1*(2/McpServerCount)+AgentStackAgentY1*(1/AgentCount)+AgentStackFixedY1,0))</f>
        <v>0</v>
      </c>
    </row>
    <row r="42" spans="1:9" ht="16" x14ac:dyDescent="0.2">
      <c r="A42" s="11" t="s">
        <v>48</v>
      </c>
      <c r="B42" s="12">
        <v>5</v>
      </c>
      <c r="C42" s="12">
        <v>10</v>
      </c>
      <c r="D42" s="7">
        <f>IF(OR(AgentStack="Exclude",AgentCount=0,McpServerCount=0),0,IFERROR(AgentStackMcpY1*(10/McpServerCount)+AgentStackAgentY1*(5/AgentCount)+AgentStackFixedY1,0))</f>
        <v>0</v>
      </c>
    </row>
    <row r="43" spans="1:9" ht="16" x14ac:dyDescent="0.2">
      <c r="A43" s="11" t="s">
        <v>49</v>
      </c>
      <c r="B43" s="12">
        <v>30</v>
      </c>
      <c r="C43" s="12">
        <v>50</v>
      </c>
      <c r="D43" s="7">
        <f>IF(OR(AgentStack="Exclude",AgentCount=0,McpServerCount=0),0,IFERROR(AgentStackMcpY1*(50/McpServerCount)+AgentStackAgentY1*(30/AgentCount)+AgentStackFixedY1,0))</f>
        <v>0</v>
      </c>
    </row>
    <row r="44" spans="1:9" ht="16" x14ac:dyDescent="0.2">
      <c r="A44" s="36" t="s">
        <v>50</v>
      </c>
      <c r="B44" s="37"/>
      <c r="C44" s="37"/>
      <c r="D44" s="37"/>
      <c r="E44" s="37"/>
      <c r="F44" s="37"/>
      <c r="G44" s="37"/>
      <c r="H44" s="37"/>
      <c r="I44" s="37"/>
    </row>
    <row r="46" spans="1:9" ht="16" x14ac:dyDescent="0.2">
      <c r="A46" s="5" t="s">
        <v>51</v>
      </c>
      <c r="B46" s="5" t="s">
        <v>52</v>
      </c>
      <c r="C46" s="5" t="s">
        <v>53</v>
      </c>
    </row>
    <row r="47" spans="1:9" ht="16" x14ac:dyDescent="0.2">
      <c r="A47" s="12">
        <v>1</v>
      </c>
      <c r="B47" s="7">
        <f>MAX(0,MIN(MIN(1*4.33,(GoLiveWeek+6))-0*(GoLiveWeek/29),5*(GoLiveWeek/29)))/(5*(GoLiveWeek/29))*'POAP Build Cost'!I15+MAX(0,MIN(MIN(1*4.33,(GoLiveWeek+6))-5*(GoLiveWeek/29),10*(GoLiveWeek/29)))/(10*(GoLiveWeek/29))*'POAP Build Cost'!I50+MAX(0,MIN(MIN(1*4.33,(GoLiveWeek+6))-15*(GoLiveWeek/29),6*(GoLiveWeek/29)))/(6*(GoLiveWeek/29))*'POAP Build Cost'!I62+MAX(0,MIN(MIN(1*4.33,(GoLiveWeek+6))-21*(GoLiveWeek/29),4*(GoLiveWeek/29)))/(4*(GoLiveWeek/29))*'POAP Build Cost'!I75+MAX(0,MIN(MIN(1*4.33,(GoLiveWeek+6))-25*(GoLiveWeek/29),4*(GoLiveWeek/29)))/(4*(GoLiveWeek/29))*'POAP Build Cost'!I85+MAX(0,MIN(MIN(1*4.33,(GoLiveWeek+6))-GoLiveWeek,6))/6*'POAP Build Cost'!I94+MIN(MIN(1*4.33,(GoLiveWeek+6)),GoLiveWeek)/GoLiveWeek*('POAP Build Cost'!I98+'POAP Build Cost'!I100+'POAP Build Cost'!I101)+MAX(0,1*4.33-GoLiveWeek)/4.33/12*RunY1</f>
        <v>73868.379684598272</v>
      </c>
      <c r="C47" s="7" t="e">
        <f>IF(1=ROUNDUP(GoLiveWeek/4.33,0),B47,NA())</f>
        <v>#N/A</v>
      </c>
    </row>
    <row r="48" spans="1:9" ht="16" x14ac:dyDescent="0.2">
      <c r="A48" s="12">
        <v>2</v>
      </c>
      <c r="B48" s="7">
        <f>MAX(0,MIN(MIN(2*4.33,(GoLiveWeek+6))-0*(GoLiveWeek/29),5*(GoLiveWeek/29)))/(5*(GoLiveWeek/29))*'POAP Build Cost'!I15+MAX(0,MIN(MIN(2*4.33,(GoLiveWeek+6))-5*(GoLiveWeek/29),10*(GoLiveWeek/29)))/(10*(GoLiveWeek/29))*'POAP Build Cost'!I50+MAX(0,MIN(MIN(2*4.33,(GoLiveWeek+6))-15*(GoLiveWeek/29),6*(GoLiveWeek/29)))/(6*(GoLiveWeek/29))*'POAP Build Cost'!I62+MAX(0,MIN(MIN(2*4.33,(GoLiveWeek+6))-21*(GoLiveWeek/29),4*(GoLiveWeek/29)))/(4*(GoLiveWeek/29))*'POAP Build Cost'!I75+MAX(0,MIN(MIN(2*4.33,(GoLiveWeek+6))-25*(GoLiveWeek/29),4*(GoLiveWeek/29)))/(4*(GoLiveWeek/29))*'POAP Build Cost'!I85+MAX(0,MIN(MIN(2*4.33,(GoLiveWeek+6))-GoLiveWeek,6))/6*'POAP Build Cost'!I94+MIN(MIN(2*4.33,(GoLiveWeek+6)),GoLiveWeek)/GoLiveWeek*('POAP Build Cost'!I98+'POAP Build Cost'!I100+'POAP Build Cost'!I101)+MAX(0,2*4.33-GoLiveWeek)/4.33/12*RunY1</f>
        <v>179906.90885699654</v>
      </c>
      <c r="C48" s="7" t="e">
        <f>IF(2=ROUNDUP(GoLiveWeek/4.33,0),B48,NA())</f>
        <v>#N/A</v>
      </c>
    </row>
    <row r="49" spans="1:5" ht="16" x14ac:dyDescent="0.2">
      <c r="A49" s="12">
        <v>3</v>
      </c>
      <c r="B49" s="7">
        <f>MAX(0,MIN(MIN(3*4.33,(GoLiveWeek+6))-0*(GoLiveWeek/29),5*(GoLiveWeek/29)))/(5*(GoLiveWeek/29))*'POAP Build Cost'!I15+MAX(0,MIN(MIN(3*4.33,(GoLiveWeek+6))-5*(GoLiveWeek/29),10*(GoLiveWeek/29)))/(10*(GoLiveWeek/29))*'POAP Build Cost'!I50+MAX(0,MIN(MIN(3*4.33,(GoLiveWeek+6))-15*(GoLiveWeek/29),6*(GoLiveWeek/29)))/(6*(GoLiveWeek/29))*'POAP Build Cost'!I62+MAX(0,MIN(MIN(3*4.33,(GoLiveWeek+6))-21*(GoLiveWeek/29),4*(GoLiveWeek/29)))/(4*(GoLiveWeek/29))*'POAP Build Cost'!I75+MAX(0,MIN(MIN(3*4.33,(GoLiveWeek+6))-25*(GoLiveWeek/29),4*(GoLiveWeek/29)))/(4*(GoLiveWeek/29))*'POAP Build Cost'!I85+MAX(0,MIN(MIN(3*4.33,(GoLiveWeek+6))-GoLiveWeek,6))/6*'POAP Build Cost'!I94+MIN(MIN(3*4.33,(GoLiveWeek+6)),GoLiveWeek)/GoLiveWeek*('POAP Build Cost'!I98+'POAP Build Cost'!I100+'POAP Build Cost'!I101)+MAX(0,3*4.33-GoLiveWeek)/4.33/12*RunY1</f>
        <v>291834.50911049481</v>
      </c>
      <c r="C49" s="7" t="e">
        <f>IF(3=ROUNDUP(GoLiveWeek/4.33,0),B49,NA())</f>
        <v>#N/A</v>
      </c>
    </row>
    <row r="50" spans="1:5" ht="16" x14ac:dyDescent="0.2">
      <c r="A50" s="12">
        <v>4</v>
      </c>
      <c r="B50" s="7">
        <f>MAX(0,MIN(MIN(4*4.33,(GoLiveWeek+6))-0*(GoLiveWeek/29),5*(GoLiveWeek/29)))/(5*(GoLiveWeek/29))*'POAP Build Cost'!I15+MAX(0,MIN(MIN(4*4.33,(GoLiveWeek+6))-5*(GoLiveWeek/29),10*(GoLiveWeek/29)))/(10*(GoLiveWeek/29))*'POAP Build Cost'!I50+MAX(0,MIN(MIN(4*4.33,(GoLiveWeek+6))-15*(GoLiveWeek/29),6*(GoLiveWeek/29)))/(6*(GoLiveWeek/29))*'POAP Build Cost'!I62+MAX(0,MIN(MIN(4*4.33,(GoLiveWeek+6))-21*(GoLiveWeek/29),4*(GoLiveWeek/29)))/(4*(GoLiveWeek/29))*'POAP Build Cost'!I75+MAX(0,MIN(MIN(4*4.33,(GoLiveWeek+6))-25*(GoLiveWeek/29),4*(GoLiveWeek/29)))/(4*(GoLiveWeek/29))*'POAP Build Cost'!I85+MAX(0,MIN(MIN(4*4.33,(GoLiveWeek+6))-GoLiveWeek,6))/6*'POAP Build Cost'!I94+MIN(MIN(4*4.33,(GoLiveWeek+6)),GoLiveWeek)/GoLiveWeek*('POAP Build Cost'!I98+'POAP Build Cost'!I100+'POAP Build Cost'!I101)+MAX(0,4*4.33-GoLiveWeek)/4.33/12*RunY1</f>
        <v>413646.10203839303</v>
      </c>
      <c r="C50" s="7" t="e">
        <f>IF(4=ROUNDUP(GoLiveWeek/4.33,0),B50,NA())</f>
        <v>#N/A</v>
      </c>
    </row>
    <row r="51" spans="1:5" ht="16" x14ac:dyDescent="0.2">
      <c r="A51" s="12">
        <v>5</v>
      </c>
      <c r="B51" s="7">
        <f>MAX(0,MIN(MIN(5*4.33,(GoLiveWeek+6))-0*(GoLiveWeek/29),5*(GoLiveWeek/29)))/(5*(GoLiveWeek/29))*'POAP Build Cost'!I15+MAX(0,MIN(MIN(5*4.33,(GoLiveWeek+6))-5*(GoLiveWeek/29),10*(GoLiveWeek/29)))/(10*(GoLiveWeek/29))*'POAP Build Cost'!I50+MAX(0,MIN(MIN(5*4.33,(GoLiveWeek+6))-15*(GoLiveWeek/29),6*(GoLiveWeek/29)))/(6*(GoLiveWeek/29))*'POAP Build Cost'!I62+MAX(0,MIN(MIN(5*4.33,(GoLiveWeek+6))-21*(GoLiveWeek/29),4*(GoLiveWeek/29)))/(4*(GoLiveWeek/29))*'POAP Build Cost'!I75+MAX(0,MIN(MIN(5*4.33,(GoLiveWeek+6))-25*(GoLiveWeek/29),4*(GoLiveWeek/29)))/(4*(GoLiveWeek/29))*'POAP Build Cost'!I85+MAX(0,MIN(MIN(5*4.33,(GoLiveWeek+6))-GoLiveWeek,6))/6*'POAP Build Cost'!I94+MIN(MIN(5*4.33,(GoLiveWeek+6)),GoLiveWeek)/GoLiveWeek*('POAP Build Cost'!I98+'POAP Build Cost'!I100+'POAP Build Cost'!I101)+MAX(0,5*4.33-GoLiveWeek)/4.33/12*RunY1</f>
        <v>541366.54422299122</v>
      </c>
      <c r="C51" s="7" t="e">
        <f>IF(5=ROUNDUP(GoLiveWeek/4.33,0),B51,NA())</f>
        <v>#N/A</v>
      </c>
    </row>
    <row r="52" spans="1:5" ht="16" x14ac:dyDescent="0.2">
      <c r="A52" s="12">
        <v>6</v>
      </c>
      <c r="B52" s="7">
        <f>MAX(0,MIN(MIN(6*4.33,(GoLiveWeek+6))-0*(GoLiveWeek/29),5*(GoLiveWeek/29)))/(5*(GoLiveWeek/29))*'POAP Build Cost'!I15+MAX(0,MIN(MIN(6*4.33,(GoLiveWeek+6))-5*(GoLiveWeek/29),10*(GoLiveWeek/29)))/(10*(GoLiveWeek/29))*'POAP Build Cost'!I50+MAX(0,MIN(MIN(6*4.33,(GoLiveWeek+6))-15*(GoLiveWeek/29),6*(GoLiveWeek/29)))/(6*(GoLiveWeek/29))*'POAP Build Cost'!I62+MAX(0,MIN(MIN(6*4.33,(GoLiveWeek+6))-21*(GoLiveWeek/29),4*(GoLiveWeek/29)))/(4*(GoLiveWeek/29))*'POAP Build Cost'!I75+MAX(0,MIN(MIN(6*4.33,(GoLiveWeek+6))-25*(GoLiveWeek/29),4*(GoLiveWeek/29)))/(4*(GoLiveWeek/29))*'POAP Build Cost'!I85+MAX(0,MIN(MIN(6*4.33,(GoLiveWeek+6))-GoLiveWeek,6))/6*'POAP Build Cost'!I94+MIN(MIN(6*4.33,(GoLiveWeek+6)),GoLiveWeek)/GoLiveWeek*('POAP Build Cost'!I98+'POAP Build Cost'!I100+'POAP Build Cost'!I101)+MAX(0,6*4.33-GoLiveWeek)/4.33/12*RunY1</f>
        <v>648554.86140758963</v>
      </c>
      <c r="C52" s="7" t="e">
        <f>IF(6=ROUNDUP(GoLiveWeek/4.33,0),B52,NA())</f>
        <v>#N/A</v>
      </c>
    </row>
    <row r="53" spans="1:5" ht="16" x14ac:dyDescent="0.2">
      <c r="A53" s="12">
        <v>7</v>
      </c>
      <c r="B53" s="7">
        <f>MAX(0,MIN(MIN(7*4.33,(GoLiveWeek+6))-0*(GoLiveWeek/29),5*(GoLiveWeek/29)))/(5*(GoLiveWeek/29))*'POAP Build Cost'!I15+MAX(0,MIN(MIN(7*4.33,(GoLiveWeek+6))-5*(GoLiveWeek/29),10*(GoLiveWeek/29)))/(10*(GoLiveWeek/29))*'POAP Build Cost'!I50+MAX(0,MIN(MIN(7*4.33,(GoLiveWeek+6))-15*(GoLiveWeek/29),6*(GoLiveWeek/29)))/(6*(GoLiveWeek/29))*'POAP Build Cost'!I62+MAX(0,MIN(MIN(7*4.33,(GoLiveWeek+6))-21*(GoLiveWeek/29),4*(GoLiveWeek/29)))/(4*(GoLiveWeek/29))*'POAP Build Cost'!I75+MAX(0,MIN(MIN(7*4.33,(GoLiveWeek+6))-25*(GoLiveWeek/29),4*(GoLiveWeek/29)))/(4*(GoLiveWeek/29))*'POAP Build Cost'!I85+MAX(0,MIN(MIN(7*4.33,(GoLiveWeek+6))-GoLiveWeek,6))/6*'POAP Build Cost'!I94+MIN(MIN(7*4.33,(GoLiveWeek+6)),GoLiveWeek)/GoLiveWeek*('POAP Build Cost'!I98+'POAP Build Cost'!I100+'POAP Build Cost'!I101)+MAX(0,7*4.33-GoLiveWeek)/4.33/12*RunY1</f>
        <v>744292.73283699376</v>
      </c>
      <c r="C53" s="7">
        <f>IF(7=ROUNDUP(GoLiveWeek/4.33,0),B53,NA())</f>
        <v>744292.73283699376</v>
      </c>
    </row>
    <row r="54" spans="1:5" ht="16" x14ac:dyDescent="0.2">
      <c r="A54" s="12">
        <v>8</v>
      </c>
      <c r="B54" s="7">
        <f>MAX(0,MIN(MIN(8*4.33,(GoLiveWeek+6))-0*(GoLiveWeek/29),5*(GoLiveWeek/29)))/(5*(GoLiveWeek/29))*'POAP Build Cost'!I15+MAX(0,MIN(MIN(8*4.33,(GoLiveWeek+6))-5*(GoLiveWeek/29),10*(GoLiveWeek/29)))/(10*(GoLiveWeek/29))*'POAP Build Cost'!I50+MAX(0,MIN(MIN(8*4.33,(GoLiveWeek+6))-15*(GoLiveWeek/29),6*(GoLiveWeek/29)))/(6*(GoLiveWeek/29))*'POAP Build Cost'!I62+MAX(0,MIN(MIN(8*4.33,(GoLiveWeek+6))-21*(GoLiveWeek/29),4*(GoLiveWeek/29)))/(4*(GoLiveWeek/29))*'POAP Build Cost'!I75+MAX(0,MIN(MIN(8*4.33,(GoLiveWeek+6))-25*(GoLiveWeek/29),4*(GoLiveWeek/29)))/(4*(GoLiveWeek/29))*'POAP Build Cost'!I85+MAX(0,MIN(MIN(8*4.33,(GoLiveWeek+6))-GoLiveWeek,6))/6*'POAP Build Cost'!I94+MIN(MIN(8*4.33,(GoLiveWeek+6)),GoLiveWeek)/GoLiveWeek*('POAP Build Cost'!I98+'POAP Build Cost'!I100+'POAP Build Cost'!I101)+MAX(0,8*4.33-GoLiveWeek)/4.33/12*RunY1</f>
        <v>857007.13485366048</v>
      </c>
      <c r="C54" s="7" t="e">
        <f>IF(8=ROUNDUP(GoLiveWeek/4.33,0),B54,NA())</f>
        <v>#N/A</v>
      </c>
    </row>
    <row r="55" spans="1:5" ht="16" x14ac:dyDescent="0.2">
      <c r="A55" s="12">
        <v>9</v>
      </c>
      <c r="B55" s="7">
        <f>MAX(0,MIN(MIN(9*4.33,(GoLiveWeek+6))-0*(GoLiveWeek/29),5*(GoLiveWeek/29)))/(5*(GoLiveWeek/29))*'POAP Build Cost'!I15+MAX(0,MIN(MIN(9*4.33,(GoLiveWeek+6))-5*(GoLiveWeek/29),10*(GoLiveWeek/29)))/(10*(GoLiveWeek/29))*'POAP Build Cost'!I50+MAX(0,MIN(MIN(9*4.33,(GoLiveWeek+6))-15*(GoLiveWeek/29),6*(GoLiveWeek/29)))/(6*(GoLiveWeek/29))*'POAP Build Cost'!I62+MAX(0,MIN(MIN(9*4.33,(GoLiveWeek+6))-21*(GoLiveWeek/29),4*(GoLiveWeek/29)))/(4*(GoLiveWeek/29))*'POAP Build Cost'!I75+MAX(0,MIN(MIN(9*4.33,(GoLiveWeek+6))-25*(GoLiveWeek/29),4*(GoLiveWeek/29)))/(4*(GoLiveWeek/29))*'POAP Build Cost'!I85+MAX(0,MIN(MIN(9*4.33,(GoLiveWeek+6))-GoLiveWeek,6))/6*'POAP Build Cost'!I94+MIN(MIN(9*4.33,(GoLiveWeek+6)),GoLiveWeek)/GoLiveWeek*('POAP Build Cost'!I98+'POAP Build Cost'!I100+'POAP Build Cost'!I101)+MAX(0,9*4.33-GoLiveWeek)/4.33/12*RunY1</f>
        <v>890222.28687032708</v>
      </c>
      <c r="C55" s="7" t="e">
        <f>IF(9=ROUNDUP(GoLiveWeek/4.33,0),B55,NA())</f>
        <v>#N/A</v>
      </c>
    </row>
    <row r="56" spans="1:5" ht="16" x14ac:dyDescent="0.2">
      <c r="A56" s="12">
        <v>10</v>
      </c>
      <c r="B56" s="7">
        <f>MAX(0,MIN(MIN(10*4.33,(GoLiveWeek+6))-0*(GoLiveWeek/29),5*(GoLiveWeek/29)))/(5*(GoLiveWeek/29))*'POAP Build Cost'!I15+MAX(0,MIN(MIN(10*4.33,(GoLiveWeek+6))-5*(GoLiveWeek/29),10*(GoLiveWeek/29)))/(10*(GoLiveWeek/29))*'POAP Build Cost'!I50+MAX(0,MIN(MIN(10*4.33,(GoLiveWeek+6))-15*(GoLiveWeek/29),6*(GoLiveWeek/29)))/(6*(GoLiveWeek/29))*'POAP Build Cost'!I62+MAX(0,MIN(MIN(10*4.33,(GoLiveWeek+6))-21*(GoLiveWeek/29),4*(GoLiveWeek/29)))/(4*(GoLiveWeek/29))*'POAP Build Cost'!I75+MAX(0,MIN(MIN(10*4.33,(GoLiveWeek+6))-25*(GoLiveWeek/29),4*(GoLiveWeek/29)))/(4*(GoLiveWeek/29))*'POAP Build Cost'!I85+MAX(0,MIN(MIN(10*4.33,(GoLiveWeek+6))-GoLiveWeek,6))/6*'POAP Build Cost'!I94+MIN(MIN(10*4.33,(GoLiveWeek+6)),GoLiveWeek)/GoLiveWeek*('POAP Build Cost'!I98+'POAP Build Cost'!I100+'POAP Build Cost'!I101)+MAX(0,10*4.33-GoLiveWeek)/4.33/12*RunY1</f>
        <v>916228.4388869938</v>
      </c>
      <c r="C56" s="7" t="e">
        <f>IF(10=ROUNDUP(GoLiveWeek/4.33,0),B56,NA())</f>
        <v>#N/A</v>
      </c>
    </row>
    <row r="57" spans="1:5" ht="16" x14ac:dyDescent="0.2">
      <c r="A57" s="12">
        <v>11</v>
      </c>
      <c r="B57" s="7">
        <f>MAX(0,MIN(MIN(11*4.33,(GoLiveWeek+6))-0*(GoLiveWeek/29),5*(GoLiveWeek/29)))/(5*(GoLiveWeek/29))*'POAP Build Cost'!I15+MAX(0,MIN(MIN(11*4.33,(GoLiveWeek+6))-5*(GoLiveWeek/29),10*(GoLiveWeek/29)))/(10*(GoLiveWeek/29))*'POAP Build Cost'!I50+MAX(0,MIN(MIN(11*4.33,(GoLiveWeek+6))-15*(GoLiveWeek/29),6*(GoLiveWeek/29)))/(6*(GoLiveWeek/29))*'POAP Build Cost'!I62+MAX(0,MIN(MIN(11*4.33,(GoLiveWeek+6))-21*(GoLiveWeek/29),4*(GoLiveWeek/29)))/(4*(GoLiveWeek/29))*'POAP Build Cost'!I75+MAX(0,MIN(MIN(11*4.33,(GoLiveWeek+6))-25*(GoLiveWeek/29),4*(GoLiveWeek/29)))/(4*(GoLiveWeek/29))*'POAP Build Cost'!I85+MAX(0,MIN(MIN(11*4.33,(GoLiveWeek+6))-GoLiveWeek,6))/6*'POAP Build Cost'!I94+MIN(MIN(11*4.33,(GoLiveWeek+6)),GoLiveWeek)/GoLiveWeek*('POAP Build Cost'!I98+'POAP Build Cost'!I100+'POAP Build Cost'!I101)+MAX(0,11*4.33-GoLiveWeek)/4.33/12*RunY1</f>
        <v>942234.59090366052</v>
      </c>
      <c r="C57" s="7" t="e">
        <f>IF(11=ROUNDUP(GoLiveWeek/4.33,0),B57,NA())</f>
        <v>#N/A</v>
      </c>
    </row>
    <row r="58" spans="1:5" ht="16" x14ac:dyDescent="0.2">
      <c r="A58" s="12">
        <v>12</v>
      </c>
      <c r="B58" s="7">
        <f>MAX(0,MIN(MIN(12*4.33,(GoLiveWeek+6))-0*(GoLiveWeek/29),5*(GoLiveWeek/29)))/(5*(GoLiveWeek/29))*'POAP Build Cost'!I15+MAX(0,MIN(MIN(12*4.33,(GoLiveWeek+6))-5*(GoLiveWeek/29),10*(GoLiveWeek/29)))/(10*(GoLiveWeek/29))*'POAP Build Cost'!I50+MAX(0,MIN(MIN(12*4.33,(GoLiveWeek+6))-15*(GoLiveWeek/29),6*(GoLiveWeek/29)))/(6*(GoLiveWeek/29))*'POAP Build Cost'!I62+MAX(0,MIN(MIN(12*4.33,(GoLiveWeek+6))-21*(GoLiveWeek/29),4*(GoLiveWeek/29)))/(4*(GoLiveWeek/29))*'POAP Build Cost'!I75+MAX(0,MIN(MIN(12*4.33,(GoLiveWeek+6))-25*(GoLiveWeek/29),4*(GoLiveWeek/29)))/(4*(GoLiveWeek/29))*'POAP Build Cost'!I85+MAX(0,MIN(MIN(12*4.33,(GoLiveWeek+6))-GoLiveWeek,6))/6*'POAP Build Cost'!I94+MIN(MIN(12*4.33,(GoLiveWeek+6)),GoLiveWeek)/GoLiveWeek*('POAP Build Cost'!I98+'POAP Build Cost'!I100+'POAP Build Cost'!I101)+MAX(0,12*4.33-GoLiveWeek)/4.33/12*RunY1</f>
        <v>968240.74292032712</v>
      </c>
      <c r="C58" s="7" t="e">
        <f>IF(12=ROUNDUP(GoLiveWeek/4.33,0),B58,NA())</f>
        <v>#N/A</v>
      </c>
    </row>
    <row r="59" spans="1:5" ht="16" x14ac:dyDescent="0.2">
      <c r="A59" s="12">
        <v>13</v>
      </c>
      <c r="B59" s="7">
        <f>MAX(0,MIN(MIN(13*4.33,(GoLiveWeek+6))-0*(GoLiveWeek/29),5*(GoLiveWeek/29)))/(5*(GoLiveWeek/29))*'POAP Build Cost'!I15+MAX(0,MIN(MIN(13*4.33,(GoLiveWeek+6))-5*(GoLiveWeek/29),10*(GoLiveWeek/29)))/(10*(GoLiveWeek/29))*'POAP Build Cost'!I50+MAX(0,MIN(MIN(13*4.33,(GoLiveWeek+6))-15*(GoLiveWeek/29),6*(GoLiveWeek/29)))/(6*(GoLiveWeek/29))*'POAP Build Cost'!I62+MAX(0,MIN(MIN(13*4.33,(GoLiveWeek+6))-21*(GoLiveWeek/29),4*(GoLiveWeek/29)))/(4*(GoLiveWeek/29))*'POAP Build Cost'!I75+MAX(0,MIN(MIN(13*4.33,(GoLiveWeek+6))-25*(GoLiveWeek/29),4*(GoLiveWeek/29)))/(4*(GoLiveWeek/29))*'POAP Build Cost'!I85+MAX(0,MIN(MIN(13*4.33,(GoLiveWeek+6))-GoLiveWeek,6))/6*'POAP Build Cost'!I94+MIN(MIN(13*4.33,(GoLiveWeek+6)),GoLiveWeek)/GoLiveWeek*('POAP Build Cost'!I98+'POAP Build Cost'!I100+'POAP Build Cost'!I101)+MAX(0,13*4.33-GoLiveWeek)/4.33/12*RunY1</f>
        <v>994246.89493699372</v>
      </c>
      <c r="C59" s="7" t="e">
        <f>IF(13=ROUNDUP(GoLiveWeek/4.33,0),B59,NA())</f>
        <v>#N/A</v>
      </c>
    </row>
    <row r="60" spans="1:5" ht="16" x14ac:dyDescent="0.2">
      <c r="A60" s="12">
        <v>14</v>
      </c>
      <c r="B60" s="7">
        <f>MAX(0,MIN(MIN(14*4.33,(GoLiveWeek+6))-0*(GoLiveWeek/29),5*(GoLiveWeek/29)))/(5*(GoLiveWeek/29))*'POAP Build Cost'!I15+MAX(0,MIN(MIN(14*4.33,(GoLiveWeek+6))-5*(GoLiveWeek/29),10*(GoLiveWeek/29)))/(10*(GoLiveWeek/29))*'POAP Build Cost'!I50+MAX(0,MIN(MIN(14*4.33,(GoLiveWeek+6))-15*(GoLiveWeek/29),6*(GoLiveWeek/29)))/(6*(GoLiveWeek/29))*'POAP Build Cost'!I62+MAX(0,MIN(MIN(14*4.33,(GoLiveWeek+6))-21*(GoLiveWeek/29),4*(GoLiveWeek/29)))/(4*(GoLiveWeek/29))*'POAP Build Cost'!I75+MAX(0,MIN(MIN(14*4.33,(GoLiveWeek+6))-25*(GoLiveWeek/29),4*(GoLiveWeek/29)))/(4*(GoLiveWeek/29))*'POAP Build Cost'!I85+MAX(0,MIN(MIN(14*4.33,(GoLiveWeek+6))-GoLiveWeek,6))/6*'POAP Build Cost'!I94+MIN(MIN(14*4.33,(GoLiveWeek+6)),GoLiveWeek)/GoLiveWeek*('POAP Build Cost'!I98+'POAP Build Cost'!I100+'POAP Build Cost'!I101)+MAX(0,14*4.33-GoLiveWeek)/4.33/12*RunY1</f>
        <v>1020253.0469536604</v>
      </c>
      <c r="C60" s="7" t="e">
        <f>IF(14=ROUNDUP(GoLiveWeek/4.33,0),B60,NA())</f>
        <v>#N/A</v>
      </c>
    </row>
    <row r="61" spans="1:5" ht="16" x14ac:dyDescent="0.2">
      <c r="A61" s="12">
        <v>15</v>
      </c>
      <c r="B61" s="7">
        <f>MAX(0,MIN(MIN(15*4.33,(GoLiveWeek+6))-0*(GoLiveWeek/29),5*(GoLiveWeek/29)))/(5*(GoLiveWeek/29))*'POAP Build Cost'!I15+MAX(0,MIN(MIN(15*4.33,(GoLiveWeek+6))-5*(GoLiveWeek/29),10*(GoLiveWeek/29)))/(10*(GoLiveWeek/29))*'POAP Build Cost'!I50+MAX(0,MIN(MIN(15*4.33,(GoLiveWeek+6))-15*(GoLiveWeek/29),6*(GoLiveWeek/29)))/(6*(GoLiveWeek/29))*'POAP Build Cost'!I62+MAX(0,MIN(MIN(15*4.33,(GoLiveWeek+6))-21*(GoLiveWeek/29),4*(GoLiveWeek/29)))/(4*(GoLiveWeek/29))*'POAP Build Cost'!I75+MAX(0,MIN(MIN(15*4.33,(GoLiveWeek+6))-25*(GoLiveWeek/29),4*(GoLiveWeek/29)))/(4*(GoLiveWeek/29))*'POAP Build Cost'!I85+MAX(0,MIN(MIN(15*4.33,(GoLiveWeek+6))-GoLiveWeek,6))/6*'POAP Build Cost'!I94+MIN(MIN(15*4.33,(GoLiveWeek+6)),GoLiveWeek)/GoLiveWeek*('POAP Build Cost'!I98+'POAP Build Cost'!I100+'POAP Build Cost'!I101)+MAX(0,15*4.33-GoLiveWeek)/4.33/12*RunY1</f>
        <v>1046259.1989703272</v>
      </c>
      <c r="C61" s="7" t="e">
        <f>IF(15=ROUNDUP(GoLiveWeek/4.33,0),B61,NA())</f>
        <v>#N/A</v>
      </c>
    </row>
    <row r="62" spans="1:5" ht="16" x14ac:dyDescent="0.2">
      <c r="A62" s="12">
        <v>16</v>
      </c>
      <c r="B62" s="7">
        <f>MAX(0,MIN(MIN(16*4.33,(GoLiveWeek+6))-0*(GoLiveWeek/29),5*(GoLiveWeek/29)))/(5*(GoLiveWeek/29))*'POAP Build Cost'!I15+MAX(0,MIN(MIN(16*4.33,(GoLiveWeek+6))-5*(GoLiveWeek/29),10*(GoLiveWeek/29)))/(10*(GoLiveWeek/29))*'POAP Build Cost'!I50+MAX(0,MIN(MIN(16*4.33,(GoLiveWeek+6))-15*(GoLiveWeek/29),6*(GoLiveWeek/29)))/(6*(GoLiveWeek/29))*'POAP Build Cost'!I62+MAX(0,MIN(MIN(16*4.33,(GoLiveWeek+6))-21*(GoLiveWeek/29),4*(GoLiveWeek/29)))/(4*(GoLiveWeek/29))*'POAP Build Cost'!I75+MAX(0,MIN(MIN(16*4.33,(GoLiveWeek+6))-25*(GoLiveWeek/29),4*(GoLiveWeek/29)))/(4*(GoLiveWeek/29))*'POAP Build Cost'!I85+MAX(0,MIN(MIN(16*4.33,(GoLiveWeek+6))-GoLiveWeek,6))/6*'POAP Build Cost'!I94+MIN(MIN(16*4.33,(GoLiveWeek+6)),GoLiveWeek)/GoLiveWeek*('POAP Build Cost'!I98+'POAP Build Cost'!I100+'POAP Build Cost'!I101)+MAX(0,16*4.33-GoLiveWeek)/4.33/12*RunY1</f>
        <v>1072265.3509869939</v>
      </c>
      <c r="C62" s="7" t="e">
        <f>IF(16=ROUNDUP(GoLiveWeek/4.33,0),B62,NA())</f>
        <v>#N/A</v>
      </c>
    </row>
    <row r="64" spans="1:5" ht="16" x14ac:dyDescent="0.2">
      <c r="A64" s="5" t="s">
        <v>54</v>
      </c>
      <c r="B64" s="5" t="s">
        <v>55</v>
      </c>
      <c r="C64" s="5" t="s">
        <v>56</v>
      </c>
      <c r="D64" s="5" t="s">
        <v>57</v>
      </c>
      <c r="E64" s="5" t="s">
        <v>58</v>
      </c>
    </row>
    <row r="65" spans="1:9" ht="16" x14ac:dyDescent="0.2">
      <c r="A65" s="6" t="s">
        <v>13</v>
      </c>
      <c r="B65" s="7">
        <f>SUMIF('POAP Build Cost'!$B$6:$B$14,"SEGRO",'POAP Build Cost'!$I$6:$I$14)</f>
        <v>52375</v>
      </c>
      <c r="C65" s="7">
        <f>SUMIF('POAP Build Cost'!$B$6:$B$14,"HCL",'POAP Build Cost'!$I$6:$I$14)</f>
        <v>14250</v>
      </c>
      <c r="D65" s="7">
        <f>SUMIF('POAP Build Cost'!$B$6:$B$14,"Azure",'POAP Build Cost'!$I$6:$I$14)</f>
        <v>0</v>
      </c>
      <c r="E65" s="7">
        <f>SUMIF('POAP Build Cost'!$B$6:$B$14,"ThirdParty",'POAP Build Cost'!$I$6:$I$14)</f>
        <v>0</v>
      </c>
    </row>
    <row r="66" spans="1:9" ht="16" x14ac:dyDescent="0.2">
      <c r="A66" s="6" t="s">
        <v>59</v>
      </c>
      <c r="B66" s="7">
        <f>SUMIF('POAP Build Cost'!$B$19:$B$49,"SEGRO",'POAP Build Cost'!$I$19:$I$49)</f>
        <v>205445</v>
      </c>
      <c r="C66" s="7">
        <f>SUMIF('POAP Build Cost'!$B$19:$B$49,"HCL",'POAP Build Cost'!$I$19:$I$49)</f>
        <v>0</v>
      </c>
      <c r="D66" s="7">
        <f>SUMIF('POAP Build Cost'!$B$19:$B$49,"Azure",'POAP Build Cost'!$I$19:$I$49)</f>
        <v>15701.583300000002</v>
      </c>
      <c r="E66" s="7">
        <f>SUMIF('POAP Build Cost'!$B$19:$B$49,"ThirdParty",'POAP Build Cost'!$I$19:$I$49)</f>
        <v>0</v>
      </c>
    </row>
    <row r="67" spans="1:9" ht="16" x14ac:dyDescent="0.2">
      <c r="A67" s="6" t="s">
        <v>60</v>
      </c>
      <c r="B67" s="7">
        <f>SUMIF('POAP Build Cost'!$B$54:$B$61,"SEGRO",'POAP Build Cost'!$I$54:$I$61)</f>
        <v>15750</v>
      </c>
      <c r="C67" s="7">
        <f>SUMIF('POAP Build Cost'!$B$54:$B$61,"HCL",'POAP Build Cost'!$I$54:$I$61)</f>
        <v>142500</v>
      </c>
      <c r="D67" s="7">
        <f>SUMIF('POAP Build Cost'!$B$54:$B$61,"Azure",'POAP Build Cost'!$I$54:$I$61)</f>
        <v>0</v>
      </c>
      <c r="E67" s="7">
        <f>SUMIF('POAP Build Cost'!$B$54:$B$61,"ThirdParty",'POAP Build Cost'!$I$54:$I$61)</f>
        <v>0</v>
      </c>
    </row>
    <row r="68" spans="1:9" ht="16" x14ac:dyDescent="0.2">
      <c r="A68" s="6" t="s">
        <v>61</v>
      </c>
      <c r="B68" s="7">
        <f>SUMIF('POAP Build Cost'!$B$66:$B$74,"SEGRO",'POAP Build Cost'!$I$66:$I$74)</f>
        <v>55915</v>
      </c>
      <c r="C68" s="7">
        <f>SUMIF('POAP Build Cost'!$B$66:$B$74,"HCL",'POAP Build Cost'!$I$66:$I$74)</f>
        <v>19000</v>
      </c>
      <c r="D68" s="7">
        <f>SUMIF('POAP Build Cost'!$B$66:$B$74,"Azure",'POAP Build Cost'!$I$66:$I$74)</f>
        <v>0</v>
      </c>
      <c r="E68" s="7">
        <f>SUMIF('POAP Build Cost'!$B$66:$B$74,"ThirdParty",'POAP Build Cost'!$I$66:$I$74)</f>
        <v>14250</v>
      </c>
    </row>
    <row r="69" spans="1:9" ht="16" x14ac:dyDescent="0.2">
      <c r="A69" s="6" t="s">
        <v>62</v>
      </c>
      <c r="B69" s="7">
        <f>SUMIF('POAP Build Cost'!$B$79:$B$84,"SEGRO",'POAP Build Cost'!$I$79:$I$84)</f>
        <v>47700</v>
      </c>
      <c r="C69" s="7">
        <f>SUMIF('POAP Build Cost'!$B$79:$B$84,"HCL",'POAP Build Cost'!$I$79:$I$84)</f>
        <v>19000</v>
      </c>
      <c r="D69" s="7">
        <f>SUMIF('POAP Build Cost'!$B$79:$B$84,"Azure",'POAP Build Cost'!$I$79:$I$84)</f>
        <v>0</v>
      </c>
      <c r="E69" s="7">
        <f>SUMIF('POAP Build Cost'!$B$79:$B$84,"ThirdParty",'POAP Build Cost'!$I$79:$I$84)</f>
        <v>0</v>
      </c>
    </row>
    <row r="70" spans="1:9" ht="16" x14ac:dyDescent="0.2">
      <c r="A70" s="6" t="s">
        <v>63</v>
      </c>
      <c r="B70" s="7">
        <f>SUMIF('POAP Build Cost'!$B$89:$B$93,"SEGRO",'POAP Build Cost'!$I$89:$I$93)</f>
        <v>91650</v>
      </c>
      <c r="C70" s="7">
        <f>SUMIF('POAP Build Cost'!$B$89:$B$93,"HCL",'POAP Build Cost'!$I$89:$I$93)</f>
        <v>28500</v>
      </c>
      <c r="D70" s="7">
        <f>SUMIF('POAP Build Cost'!$B$89:$B$93,"Azure",'POAP Build Cost'!$I$89:$I$93)</f>
        <v>0</v>
      </c>
      <c r="E70" s="7">
        <f>SUMIF('POAP Build Cost'!$B$89:$B$93,"ThirdParty",'POAP Build Cost'!$I$89:$I$93)</f>
        <v>0</v>
      </c>
    </row>
    <row r="72" spans="1:9" ht="16" x14ac:dyDescent="0.2">
      <c r="A72" s="5" t="s">
        <v>64</v>
      </c>
      <c r="B72" s="5" t="s">
        <v>65</v>
      </c>
    </row>
    <row r="73" spans="1:9" ht="16" x14ac:dyDescent="0.2">
      <c r="A73" s="6" t="s">
        <v>55</v>
      </c>
      <c r="B73" s="7">
        <f>SUMIF('5yr Run Cost'!$B$5:$B$62,"SEGRO",'5yr Run Cost'!$F$5:$F$62)</f>
        <v>255064.8</v>
      </c>
    </row>
    <row r="74" spans="1:9" ht="16" x14ac:dyDescent="0.2">
      <c r="A74" s="6" t="s">
        <v>56</v>
      </c>
      <c r="B74" s="7">
        <f>SUMIF('5yr Run Cost'!$B$5:$B$62,"HCL",'5yr Run Cost'!$F$5:$F$62)</f>
        <v>0</v>
      </c>
    </row>
    <row r="75" spans="1:9" ht="16" x14ac:dyDescent="0.2">
      <c r="A75" s="6" t="s">
        <v>57</v>
      </c>
      <c r="B75" s="7">
        <f>SUMIF('5yr Run Cost'!$B$5:$B$62,"Azure",'5yr Run Cost'!$F$5:$F$62)</f>
        <v>52259.024199999985</v>
      </c>
    </row>
    <row r="76" spans="1:9" ht="16" x14ac:dyDescent="0.2">
      <c r="A76" s="6" t="s">
        <v>58</v>
      </c>
      <c r="B76" s="7">
        <f>SUMIF('5yr Run Cost'!$B$5:$B$62,"ThirdParty",'5yr Run Cost'!$F$5:$F$62)</f>
        <v>4750</v>
      </c>
    </row>
    <row r="79" spans="1:9" ht="16" x14ac:dyDescent="0.2">
      <c r="A79" s="36" t="s">
        <v>66</v>
      </c>
      <c r="B79" s="37"/>
      <c r="C79" s="37"/>
      <c r="D79" s="37"/>
      <c r="E79" s="37"/>
      <c r="F79" s="37"/>
      <c r="G79" s="37"/>
      <c r="H79" s="37"/>
      <c r="I79" s="37"/>
    </row>
    <row r="80" spans="1:9" ht="16" x14ac:dyDescent="0.2">
      <c r="A80" s="36" t="s">
        <v>67</v>
      </c>
      <c r="B80" s="37"/>
      <c r="C80" s="37"/>
      <c r="D80" s="37"/>
      <c r="E80" s="37"/>
      <c r="F80" s="37"/>
      <c r="G80" s="37"/>
      <c r="H80" s="37"/>
      <c r="I80" s="37"/>
    </row>
    <row r="81" spans="1:9" ht="16" x14ac:dyDescent="0.2">
      <c r="A81" s="36" t="s">
        <v>68</v>
      </c>
      <c r="B81" s="37"/>
      <c r="C81" s="37"/>
      <c r="D81" s="37"/>
      <c r="E81" s="37"/>
      <c r="F81" s="37"/>
      <c r="G81" s="37"/>
      <c r="H81" s="37"/>
      <c r="I81" s="37"/>
    </row>
    <row r="82" spans="1:9" ht="16" x14ac:dyDescent="0.2">
      <c r="A82" s="36" t="s">
        <v>69</v>
      </c>
      <c r="B82" s="37"/>
      <c r="C82" s="37"/>
      <c r="D82" s="37"/>
      <c r="E82" s="37"/>
      <c r="F82" s="37"/>
      <c r="G82" s="37"/>
      <c r="H82" s="37"/>
      <c r="I82" s="37"/>
    </row>
    <row r="83" spans="1:9" ht="16" x14ac:dyDescent="0.2">
      <c r="A83" s="36" t="s">
        <v>70</v>
      </c>
      <c r="B83" s="37"/>
      <c r="C83" s="37"/>
      <c r="D83" s="37"/>
      <c r="E83" s="37"/>
      <c r="F83" s="37"/>
      <c r="G83" s="37"/>
      <c r="H83" s="37"/>
      <c r="I83" s="37"/>
    </row>
  </sheetData>
  <mergeCells count="8">
    <mergeCell ref="A83:I83"/>
    <mergeCell ref="A82:I82"/>
    <mergeCell ref="A81:I81"/>
    <mergeCell ref="A33:I33"/>
    <mergeCell ref="A2:I2"/>
    <mergeCell ref="A44:I44"/>
    <mergeCell ref="A80:I80"/>
    <mergeCell ref="A79:I7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W353"/>
  <sheetViews>
    <sheetView showGridLines="0" workbookViewId="0">
      <pane xSplit="10" ySplit="5" topLeftCell="K6" activePane="bottomRight" state="frozen"/>
      <selection pane="topRight"/>
      <selection pane="bottomLeft"/>
      <selection pane="bottomRight"/>
    </sheetView>
  </sheetViews>
  <sheetFormatPr baseColWidth="10" defaultColWidth="8.83203125" defaultRowHeight="15" outlineLevelRow="1" x14ac:dyDescent="0.2"/>
  <cols>
    <col min="1" max="1" width="12" customWidth="1"/>
    <col min="2" max="2" width="56.6640625" customWidth="1"/>
    <col min="3" max="3" width="10" customWidth="1"/>
    <col min="4" max="4" width="14" customWidth="1"/>
    <col min="5" max="5" width="12" customWidth="1"/>
    <col min="6" max="6" width="14" customWidth="1"/>
    <col min="7" max="7" width="9" customWidth="1"/>
    <col min="8" max="8" width="6" customWidth="1"/>
    <col min="9" max="10" width="9" hidden="1" customWidth="1"/>
    <col min="11" max="71" width="5" customWidth="1"/>
    <col min="72" max="72" width="12" customWidth="1"/>
    <col min="73" max="73" width="56" customWidth="1"/>
  </cols>
  <sheetData>
    <row r="1" spans="1:75" ht="18" x14ac:dyDescent="0.2">
      <c r="A1" s="1" t="s">
        <v>85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5" ht="40" customHeight="1" x14ac:dyDescent="0.2">
      <c r="A2" s="39" t="s">
        <v>86</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row>
    <row r="3" spans="1:75" ht="16" x14ac:dyDescent="0.2">
      <c r="K3" s="16" t="s">
        <v>87</v>
      </c>
      <c r="N3" s="16" t="s">
        <v>88</v>
      </c>
      <c r="S3" s="16" t="s">
        <v>89</v>
      </c>
      <c r="W3" s="16" t="s">
        <v>90</v>
      </c>
      <c r="AA3" s="16" t="s">
        <v>91</v>
      </c>
      <c r="AF3" s="16" t="s">
        <v>92</v>
      </c>
      <c r="AJ3" s="16" t="s">
        <v>93</v>
      </c>
      <c r="AN3" s="16" t="s">
        <v>94</v>
      </c>
      <c r="AR3" s="16" t="s">
        <v>95</v>
      </c>
      <c r="AW3" s="16" t="s">
        <v>96</v>
      </c>
      <c r="BA3" s="16" t="s">
        <v>97</v>
      </c>
      <c r="BF3" s="16" t="s">
        <v>98</v>
      </c>
      <c r="BJ3" s="16" t="s">
        <v>99</v>
      </c>
      <c r="BN3" s="16" t="s">
        <v>100</v>
      </c>
      <c r="BS3" s="16" t="s">
        <v>101</v>
      </c>
    </row>
    <row r="4" spans="1:75" ht="16" x14ac:dyDescent="0.2">
      <c r="A4" s="5" t="s">
        <v>102</v>
      </c>
      <c r="B4" s="5" t="s">
        <v>103</v>
      </c>
      <c r="C4" s="5" t="s">
        <v>104</v>
      </c>
      <c r="D4" s="5" t="s">
        <v>105</v>
      </c>
      <c r="E4" s="5" t="s">
        <v>106</v>
      </c>
      <c r="F4" s="5" t="s">
        <v>107</v>
      </c>
      <c r="G4" s="5" t="s">
        <v>108</v>
      </c>
      <c r="H4" s="5" t="s">
        <v>109</v>
      </c>
      <c r="I4" s="5" t="s">
        <v>110</v>
      </c>
      <c r="J4" s="5" t="s">
        <v>111</v>
      </c>
      <c r="K4" s="17">
        <v>1</v>
      </c>
      <c r="L4" s="17">
        <v>2</v>
      </c>
      <c r="M4" s="17">
        <v>3</v>
      </c>
      <c r="N4" s="17">
        <v>4</v>
      </c>
      <c r="O4" s="17">
        <v>5</v>
      </c>
      <c r="P4" s="17">
        <v>6</v>
      </c>
      <c r="Q4" s="17">
        <v>7</v>
      </c>
      <c r="R4" s="17">
        <v>8</v>
      </c>
      <c r="S4" s="17">
        <v>9</v>
      </c>
      <c r="T4" s="17">
        <v>10</v>
      </c>
      <c r="U4" s="17">
        <v>11</v>
      </c>
      <c r="V4" s="17">
        <v>12</v>
      </c>
      <c r="W4" s="17">
        <v>13</v>
      </c>
      <c r="X4" s="17">
        <v>14</v>
      </c>
      <c r="Y4" s="17">
        <v>15</v>
      </c>
      <c r="Z4" s="17">
        <v>16</v>
      </c>
      <c r="AA4" s="17">
        <v>17</v>
      </c>
      <c r="AB4" s="17">
        <v>18</v>
      </c>
      <c r="AC4" s="17">
        <v>19</v>
      </c>
      <c r="AD4" s="17">
        <v>20</v>
      </c>
      <c r="AE4" s="17">
        <v>21</v>
      </c>
      <c r="AF4" s="17">
        <v>22</v>
      </c>
      <c r="AG4" s="17">
        <v>23</v>
      </c>
      <c r="AH4" s="17">
        <v>24</v>
      </c>
      <c r="AI4" s="17">
        <v>25</v>
      </c>
      <c r="AJ4" s="17">
        <v>26</v>
      </c>
      <c r="AK4" s="17">
        <v>27</v>
      </c>
      <c r="AL4" s="17">
        <v>28</v>
      </c>
      <c r="AM4" s="17">
        <v>29</v>
      </c>
      <c r="AN4" s="17">
        <v>30</v>
      </c>
      <c r="AO4" s="17">
        <v>31</v>
      </c>
      <c r="AP4" s="17">
        <v>32</v>
      </c>
      <c r="AQ4" s="17">
        <v>33</v>
      </c>
      <c r="AR4" s="17">
        <v>34</v>
      </c>
      <c r="AS4" s="17">
        <v>35</v>
      </c>
      <c r="AT4" s="17">
        <v>36</v>
      </c>
      <c r="AU4" s="17">
        <v>37</v>
      </c>
      <c r="AV4" s="17">
        <v>38</v>
      </c>
      <c r="AW4" s="17">
        <v>39</v>
      </c>
      <c r="AX4" s="17">
        <v>40</v>
      </c>
      <c r="AY4" s="17">
        <v>41</v>
      </c>
      <c r="AZ4" s="17">
        <v>42</v>
      </c>
      <c r="BA4" s="17">
        <v>43</v>
      </c>
      <c r="BB4" s="17">
        <v>44</v>
      </c>
      <c r="BC4" s="17">
        <v>45</v>
      </c>
      <c r="BD4" s="17">
        <v>46</v>
      </c>
      <c r="BE4" s="17">
        <v>47</v>
      </c>
      <c r="BF4" s="17">
        <v>48</v>
      </c>
      <c r="BG4" s="17">
        <v>49</v>
      </c>
      <c r="BH4" s="17">
        <v>50</v>
      </c>
      <c r="BI4" s="17">
        <v>51</v>
      </c>
      <c r="BJ4" s="17">
        <v>52</v>
      </c>
      <c r="BK4" s="17">
        <v>53</v>
      </c>
      <c r="BL4" s="17">
        <v>54</v>
      </c>
      <c r="BM4" s="17">
        <v>55</v>
      </c>
      <c r="BN4" s="17">
        <v>56</v>
      </c>
      <c r="BO4" s="17">
        <v>57</v>
      </c>
      <c r="BP4" s="17">
        <v>58</v>
      </c>
      <c r="BQ4" s="17">
        <v>59</v>
      </c>
      <c r="BR4" s="17">
        <v>60</v>
      </c>
      <c r="BS4" s="17">
        <v>61</v>
      </c>
      <c r="BT4" s="5" t="s">
        <v>112</v>
      </c>
      <c r="BU4" s="5" t="s">
        <v>113</v>
      </c>
      <c r="BW4" s="9">
        <f>29+SlipWeeks</f>
        <v>29</v>
      </c>
    </row>
    <row r="5" spans="1:75" ht="16" x14ac:dyDescent="0.2">
      <c r="B5" s="9" t="s">
        <v>114</v>
      </c>
      <c r="K5" s="18" t="str">
        <f>IF(K$4=$BW$4,"▲","")</f>
        <v/>
      </c>
      <c r="L5" s="18" t="str">
        <f>IF(L$4=$BW$4,"▲","")</f>
        <v/>
      </c>
      <c r="M5" s="18" t="str">
        <f>IF(M$4=$BW$4,"▲","")</f>
        <v/>
      </c>
      <c r="N5" s="18" t="str">
        <f>IF(N$4=$BW$4,"▲","")</f>
        <v/>
      </c>
      <c r="O5" s="18" t="str">
        <f>IF(O$4=$BW$4,"▲","◆")</f>
        <v>◆</v>
      </c>
      <c r="P5" s="18" t="str">
        <f>IF(P$4=$BW$4,"▲","")</f>
        <v/>
      </c>
      <c r="Q5" s="18" t="str">
        <f>IF(Q$4=$BW$4,"▲","")</f>
        <v/>
      </c>
      <c r="R5" s="18" t="str">
        <f>IF(R$4=$BW$4,"▲","!")</f>
        <v>!</v>
      </c>
      <c r="S5" s="18" t="str">
        <f t="shared" ref="S5:AD5" si="0">IF(S$4=$BW$4,"▲","")</f>
        <v/>
      </c>
      <c r="T5" s="18" t="str">
        <f t="shared" si="0"/>
        <v/>
      </c>
      <c r="U5" s="18" t="str">
        <f t="shared" si="0"/>
        <v/>
      </c>
      <c r="V5" s="18" t="str">
        <f t="shared" si="0"/>
        <v/>
      </c>
      <c r="W5" s="18" t="str">
        <f t="shared" si="0"/>
        <v/>
      </c>
      <c r="X5" s="18" t="str">
        <f t="shared" si="0"/>
        <v/>
      </c>
      <c r="Y5" s="18" t="str">
        <f t="shared" si="0"/>
        <v/>
      </c>
      <c r="Z5" s="18" t="str">
        <f t="shared" si="0"/>
        <v/>
      </c>
      <c r="AA5" s="18" t="str">
        <f t="shared" si="0"/>
        <v/>
      </c>
      <c r="AB5" s="18" t="str">
        <f t="shared" si="0"/>
        <v/>
      </c>
      <c r="AC5" s="18" t="str">
        <f t="shared" si="0"/>
        <v/>
      </c>
      <c r="AD5" s="18" t="str">
        <f t="shared" si="0"/>
        <v/>
      </c>
      <c r="AE5" s="18" t="str">
        <f>IF(AE$4=$BW$4,"▲","◆")</f>
        <v>◆</v>
      </c>
      <c r="AF5" s="18" t="str">
        <f>IF(AF$4=$BW$4,"▲","")</f>
        <v/>
      </c>
      <c r="AG5" s="18" t="str">
        <f>IF(AG$4=$BW$4,"▲","")</f>
        <v/>
      </c>
      <c r="AH5" s="18" t="str">
        <f>IF(AH$4=$BW$4,"▲","✕")</f>
        <v>✕</v>
      </c>
      <c r="AI5" s="18" t="str">
        <f>IF(AI$4=$BW$4,"▲","◆")</f>
        <v>◆</v>
      </c>
      <c r="AJ5" s="18" t="str">
        <f t="shared" ref="AJ5:BS5" si="1">IF(AJ$4=$BW$4,"▲","")</f>
        <v/>
      </c>
      <c r="AK5" s="18" t="str">
        <f t="shared" si="1"/>
        <v/>
      </c>
      <c r="AL5" s="18" t="str">
        <f t="shared" si="1"/>
        <v/>
      </c>
      <c r="AM5" s="18" t="str">
        <f t="shared" si="1"/>
        <v>▲</v>
      </c>
      <c r="AN5" s="18" t="str">
        <f t="shared" si="1"/>
        <v/>
      </c>
      <c r="AO5" s="18" t="str">
        <f t="shared" si="1"/>
        <v/>
      </c>
      <c r="AP5" s="18" t="str">
        <f t="shared" si="1"/>
        <v/>
      </c>
      <c r="AQ5" s="18" t="str">
        <f t="shared" si="1"/>
        <v/>
      </c>
      <c r="AR5" s="18" t="str">
        <f t="shared" si="1"/>
        <v/>
      </c>
      <c r="AS5" s="18" t="str">
        <f t="shared" si="1"/>
        <v/>
      </c>
      <c r="AT5" s="18" t="str">
        <f t="shared" si="1"/>
        <v/>
      </c>
      <c r="AU5" s="18" t="str">
        <f t="shared" si="1"/>
        <v/>
      </c>
      <c r="AV5" s="18" t="str">
        <f t="shared" si="1"/>
        <v/>
      </c>
      <c r="AW5" s="18" t="str">
        <f t="shared" si="1"/>
        <v/>
      </c>
      <c r="AX5" s="18" t="str">
        <f t="shared" si="1"/>
        <v/>
      </c>
      <c r="AY5" s="18" t="str">
        <f t="shared" si="1"/>
        <v/>
      </c>
      <c r="AZ5" s="18" t="str">
        <f t="shared" si="1"/>
        <v/>
      </c>
      <c r="BA5" s="18" t="str">
        <f t="shared" si="1"/>
        <v/>
      </c>
      <c r="BB5" s="18" t="str">
        <f t="shared" si="1"/>
        <v/>
      </c>
      <c r="BC5" s="18" t="str">
        <f t="shared" si="1"/>
        <v/>
      </c>
      <c r="BD5" s="18" t="str">
        <f t="shared" si="1"/>
        <v/>
      </c>
      <c r="BE5" s="18" t="str">
        <f t="shared" si="1"/>
        <v/>
      </c>
      <c r="BF5" s="18" t="str">
        <f t="shared" si="1"/>
        <v/>
      </c>
      <c r="BG5" s="18" t="str">
        <f t="shared" si="1"/>
        <v/>
      </c>
      <c r="BH5" s="18" t="str">
        <f t="shared" si="1"/>
        <v/>
      </c>
      <c r="BI5" s="18" t="str">
        <f t="shared" si="1"/>
        <v/>
      </c>
      <c r="BJ5" s="18" t="str">
        <f t="shared" si="1"/>
        <v/>
      </c>
      <c r="BK5" s="18" t="str">
        <f t="shared" si="1"/>
        <v/>
      </c>
      <c r="BL5" s="18" t="str">
        <f t="shared" si="1"/>
        <v/>
      </c>
      <c r="BM5" s="18" t="str">
        <f t="shared" si="1"/>
        <v/>
      </c>
      <c r="BN5" s="18" t="str">
        <f t="shared" si="1"/>
        <v/>
      </c>
      <c r="BO5" s="18" t="str">
        <f t="shared" si="1"/>
        <v/>
      </c>
      <c r="BP5" s="18" t="str">
        <f t="shared" si="1"/>
        <v/>
      </c>
      <c r="BQ5" s="18" t="str">
        <f t="shared" si="1"/>
        <v/>
      </c>
      <c r="BR5" s="18" t="str">
        <f t="shared" si="1"/>
        <v/>
      </c>
      <c r="BS5" s="18" t="str">
        <f t="shared" si="1"/>
        <v/>
      </c>
    </row>
    <row r="6" spans="1:75" ht="17" x14ac:dyDescent="0.2">
      <c r="A6" s="19" t="s">
        <v>115</v>
      </c>
      <c r="B6" s="20" t="s">
        <v>116</v>
      </c>
      <c r="C6" s="19" t="s">
        <v>55</v>
      </c>
      <c r="D6" s="21" t="s">
        <v>117</v>
      </c>
      <c r="E6" s="19" t="s">
        <v>79</v>
      </c>
      <c r="F6" s="19"/>
      <c r="G6" s="22">
        <v>1</v>
      </c>
      <c r="H6" s="22">
        <v>5</v>
      </c>
      <c r="I6" s="22">
        <f>MIN(61,IF(G6&lt;=29,ROUND((G6-1)*(29+SlipWeeks)/29,0)+1,G6+SlipWeeks))</f>
        <v>1</v>
      </c>
      <c r="J6" s="22">
        <f>MIN(61,IF(G6+H6-1&lt;=29,MAX(ROUND((G6+H6-1)*(29+SlipWeeks)/29,0),I6),G6+H6-1+SlipWeeks))</f>
        <v>5</v>
      </c>
      <c r="K6" s="23">
        <f t="shared" ref="K6:T12" si="2">IF(AND(K$4&gt;=$I6,K$4&lt;=$J6),1,"")</f>
        <v>1</v>
      </c>
      <c r="L6" s="23">
        <f t="shared" si="2"/>
        <v>1</v>
      </c>
      <c r="M6" s="23">
        <f t="shared" si="2"/>
        <v>1</v>
      </c>
      <c r="N6" s="23">
        <f t="shared" si="2"/>
        <v>1</v>
      </c>
      <c r="O6" s="23">
        <f t="shared" si="2"/>
        <v>1</v>
      </c>
      <c r="P6" s="23" t="str">
        <f t="shared" si="2"/>
        <v/>
      </c>
      <c r="Q6" s="23" t="str">
        <f t="shared" si="2"/>
        <v/>
      </c>
      <c r="R6" s="23" t="str">
        <f t="shared" si="2"/>
        <v/>
      </c>
      <c r="S6" s="23" t="str">
        <f t="shared" si="2"/>
        <v/>
      </c>
      <c r="T6" s="23" t="str">
        <f t="shared" si="2"/>
        <v/>
      </c>
      <c r="U6" s="23" t="str">
        <f t="shared" ref="U6:AD12" si="3">IF(AND(U$4&gt;=$I6,U$4&lt;=$J6),1,"")</f>
        <v/>
      </c>
      <c r="V6" s="23" t="str">
        <f t="shared" si="3"/>
        <v/>
      </c>
      <c r="W6" s="23" t="str">
        <f t="shared" si="3"/>
        <v/>
      </c>
      <c r="X6" s="23" t="str">
        <f t="shared" si="3"/>
        <v/>
      </c>
      <c r="Y6" s="23" t="str">
        <f t="shared" si="3"/>
        <v/>
      </c>
      <c r="Z6" s="23" t="str">
        <f t="shared" si="3"/>
        <v/>
      </c>
      <c r="AA6" s="23" t="str">
        <f t="shared" si="3"/>
        <v/>
      </c>
      <c r="AB6" s="23" t="str">
        <f t="shared" si="3"/>
        <v/>
      </c>
      <c r="AC6" s="23" t="str">
        <f t="shared" si="3"/>
        <v/>
      </c>
      <c r="AD6" s="23" t="str">
        <f t="shared" si="3"/>
        <v/>
      </c>
      <c r="AE6" s="23" t="str">
        <f t="shared" ref="AE6:AN12" si="4">IF(AND(AE$4&gt;=$I6,AE$4&lt;=$J6),1,"")</f>
        <v/>
      </c>
      <c r="AF6" s="23" t="str">
        <f t="shared" si="4"/>
        <v/>
      </c>
      <c r="AG6" s="23" t="str">
        <f t="shared" si="4"/>
        <v/>
      </c>
      <c r="AH6" s="23" t="str">
        <f t="shared" si="4"/>
        <v/>
      </c>
      <c r="AI6" s="23" t="str">
        <f t="shared" si="4"/>
        <v/>
      </c>
      <c r="AJ6" s="23" t="str">
        <f t="shared" si="4"/>
        <v/>
      </c>
      <c r="AK6" s="23" t="str">
        <f t="shared" si="4"/>
        <v/>
      </c>
      <c r="AL6" s="23" t="str">
        <f t="shared" si="4"/>
        <v/>
      </c>
      <c r="AM6" s="23" t="str">
        <f t="shared" si="4"/>
        <v/>
      </c>
      <c r="AN6" s="23" t="str">
        <f t="shared" si="4"/>
        <v/>
      </c>
      <c r="AO6" s="23" t="str">
        <f t="shared" ref="AO6:AX12" si="5">IF(AND(AO$4&gt;=$I6,AO$4&lt;=$J6),1,"")</f>
        <v/>
      </c>
      <c r="AP6" s="23" t="str">
        <f t="shared" si="5"/>
        <v/>
      </c>
      <c r="AQ6" s="23" t="str">
        <f t="shared" si="5"/>
        <v/>
      </c>
      <c r="AR6" s="23" t="str">
        <f t="shared" si="5"/>
        <v/>
      </c>
      <c r="AS6" s="23" t="str">
        <f t="shared" si="5"/>
        <v/>
      </c>
      <c r="AT6" s="23" t="str">
        <f t="shared" si="5"/>
        <v/>
      </c>
      <c r="AU6" s="23" t="str">
        <f t="shared" si="5"/>
        <v/>
      </c>
      <c r="AV6" s="23" t="str">
        <f t="shared" si="5"/>
        <v/>
      </c>
      <c r="AW6" s="23" t="str">
        <f t="shared" si="5"/>
        <v/>
      </c>
      <c r="AX6" s="23" t="str">
        <f t="shared" si="5"/>
        <v/>
      </c>
      <c r="AY6" s="23" t="str">
        <f t="shared" ref="AY6:BH12" si="6">IF(AND(AY$4&gt;=$I6,AY$4&lt;=$J6),1,"")</f>
        <v/>
      </c>
      <c r="AZ6" s="23" t="str">
        <f t="shared" si="6"/>
        <v/>
      </c>
      <c r="BA6" s="23" t="str">
        <f t="shared" si="6"/>
        <v/>
      </c>
      <c r="BB6" s="23" t="str">
        <f t="shared" si="6"/>
        <v/>
      </c>
      <c r="BC6" s="23" t="str">
        <f t="shared" si="6"/>
        <v/>
      </c>
      <c r="BD6" s="23" t="str">
        <f t="shared" si="6"/>
        <v/>
      </c>
      <c r="BE6" s="23" t="str">
        <f t="shared" si="6"/>
        <v/>
      </c>
      <c r="BF6" s="23" t="str">
        <f t="shared" si="6"/>
        <v/>
      </c>
      <c r="BG6" s="23" t="str">
        <f t="shared" si="6"/>
        <v/>
      </c>
      <c r="BH6" s="23" t="str">
        <f t="shared" si="6"/>
        <v/>
      </c>
      <c r="BI6" s="23" t="str">
        <f t="shared" ref="BI6:BS12" si="7">IF(AND(BI$4&gt;=$I6,BI$4&lt;=$J6),1,"")</f>
        <v/>
      </c>
      <c r="BJ6" s="23" t="str">
        <f t="shared" si="7"/>
        <v/>
      </c>
      <c r="BK6" s="23" t="str">
        <f t="shared" si="7"/>
        <v/>
      </c>
      <c r="BL6" s="23" t="str">
        <f t="shared" si="7"/>
        <v/>
      </c>
      <c r="BM6" s="23" t="str">
        <f t="shared" si="7"/>
        <v/>
      </c>
      <c r="BN6" s="23" t="str">
        <f t="shared" si="7"/>
        <v/>
      </c>
      <c r="BO6" s="23" t="str">
        <f t="shared" si="7"/>
        <v/>
      </c>
      <c r="BP6" s="23" t="str">
        <f t="shared" si="7"/>
        <v/>
      </c>
      <c r="BQ6" s="23" t="str">
        <f t="shared" si="7"/>
        <v/>
      </c>
      <c r="BR6" s="23" t="str">
        <f t="shared" si="7"/>
        <v/>
      </c>
      <c r="BS6" s="23" t="str">
        <f t="shared" si="7"/>
        <v/>
      </c>
      <c r="BT6" s="24" t="str">
        <f>IF(IF(G6+H6-1&lt;=29,MAX(ROUND((G6+H6-1)*(29+SlipWeeks)/29,0),$I6),G6+H6-1+SlipWeeks)&gt;61,"▶ clipped","")</f>
        <v/>
      </c>
      <c r="BU6" s="29" t="s">
        <v>118</v>
      </c>
    </row>
    <row r="7" spans="1:75" ht="17" outlineLevel="1" x14ac:dyDescent="0.2">
      <c r="A7" s="6" t="s">
        <v>119</v>
      </c>
      <c r="B7" s="25" t="s">
        <v>120</v>
      </c>
      <c r="C7" s="6" t="s">
        <v>55</v>
      </c>
      <c r="D7" s="24" t="s">
        <v>121</v>
      </c>
      <c r="F7" s="6"/>
      <c r="G7" s="22">
        <v>1</v>
      </c>
      <c r="H7" s="22">
        <v>1</v>
      </c>
      <c r="I7" s="22">
        <f t="shared" ref="I7:I12" si="8">MEDIAN($I$6,$J$6,$I$6+ROUND((G7-$G$6)/$H$6*($J$6-$I$6+1),0))</f>
        <v>1</v>
      </c>
      <c r="J7" s="22">
        <f t="shared" ref="J7:J12" si="9">MEDIAN(I7,$J$6,$I$6+ROUND((G7+H7-$G$6)/$H$6*($J$6-$I$6+1),0)-1)</f>
        <v>1</v>
      </c>
      <c r="K7" s="23">
        <f t="shared" si="2"/>
        <v>1</v>
      </c>
      <c r="L7" s="23" t="str">
        <f t="shared" si="2"/>
        <v/>
      </c>
      <c r="M7" s="23" t="str">
        <f t="shared" si="2"/>
        <v/>
      </c>
      <c r="N7" s="23" t="str">
        <f t="shared" si="2"/>
        <v/>
      </c>
      <c r="O7" s="23" t="str">
        <f t="shared" si="2"/>
        <v/>
      </c>
      <c r="P7" s="23" t="str">
        <f t="shared" si="2"/>
        <v/>
      </c>
      <c r="Q7" s="23" t="str">
        <f t="shared" si="2"/>
        <v/>
      </c>
      <c r="R7" s="23" t="str">
        <f t="shared" si="2"/>
        <v/>
      </c>
      <c r="S7" s="23" t="str">
        <f t="shared" si="2"/>
        <v/>
      </c>
      <c r="T7" s="23" t="str">
        <f t="shared" si="2"/>
        <v/>
      </c>
      <c r="U7" s="23" t="str">
        <f t="shared" si="3"/>
        <v/>
      </c>
      <c r="V7" s="23" t="str">
        <f t="shared" si="3"/>
        <v/>
      </c>
      <c r="W7" s="23" t="str">
        <f t="shared" si="3"/>
        <v/>
      </c>
      <c r="X7" s="23" t="str">
        <f t="shared" si="3"/>
        <v/>
      </c>
      <c r="Y7" s="23" t="str">
        <f t="shared" si="3"/>
        <v/>
      </c>
      <c r="Z7" s="23" t="str">
        <f t="shared" si="3"/>
        <v/>
      </c>
      <c r="AA7" s="23" t="str">
        <f t="shared" si="3"/>
        <v/>
      </c>
      <c r="AB7" s="23" t="str">
        <f t="shared" si="3"/>
        <v/>
      </c>
      <c r="AC7" s="23" t="str">
        <f t="shared" si="3"/>
        <v/>
      </c>
      <c r="AD7" s="23" t="str">
        <f t="shared" si="3"/>
        <v/>
      </c>
      <c r="AE7" s="23" t="str">
        <f t="shared" si="4"/>
        <v/>
      </c>
      <c r="AF7" s="23" t="str">
        <f t="shared" si="4"/>
        <v/>
      </c>
      <c r="AG7" s="23" t="str">
        <f t="shared" si="4"/>
        <v/>
      </c>
      <c r="AH7" s="23" t="str">
        <f t="shared" si="4"/>
        <v/>
      </c>
      <c r="AI7" s="23" t="str">
        <f t="shared" si="4"/>
        <v/>
      </c>
      <c r="AJ7" s="23" t="str">
        <f t="shared" si="4"/>
        <v/>
      </c>
      <c r="AK7" s="23" t="str">
        <f t="shared" si="4"/>
        <v/>
      </c>
      <c r="AL7" s="23" t="str">
        <f t="shared" si="4"/>
        <v/>
      </c>
      <c r="AM7" s="23" t="str">
        <f t="shared" si="4"/>
        <v/>
      </c>
      <c r="AN7" s="23" t="str">
        <f t="shared" si="4"/>
        <v/>
      </c>
      <c r="AO7" s="23" t="str">
        <f t="shared" si="5"/>
        <v/>
      </c>
      <c r="AP7" s="23" t="str">
        <f t="shared" si="5"/>
        <v/>
      </c>
      <c r="AQ7" s="23" t="str">
        <f t="shared" si="5"/>
        <v/>
      </c>
      <c r="AR7" s="23" t="str">
        <f t="shared" si="5"/>
        <v/>
      </c>
      <c r="AS7" s="23" t="str">
        <f t="shared" si="5"/>
        <v/>
      </c>
      <c r="AT7" s="23" t="str">
        <f t="shared" si="5"/>
        <v/>
      </c>
      <c r="AU7" s="23" t="str">
        <f t="shared" si="5"/>
        <v/>
      </c>
      <c r="AV7" s="23" t="str">
        <f t="shared" si="5"/>
        <v/>
      </c>
      <c r="AW7" s="23" t="str">
        <f t="shared" si="5"/>
        <v/>
      </c>
      <c r="AX7" s="23" t="str">
        <f t="shared" si="5"/>
        <v/>
      </c>
      <c r="AY7" s="23" t="str">
        <f t="shared" si="6"/>
        <v/>
      </c>
      <c r="AZ7" s="23" t="str">
        <f t="shared" si="6"/>
        <v/>
      </c>
      <c r="BA7" s="23" t="str">
        <f t="shared" si="6"/>
        <v/>
      </c>
      <c r="BB7" s="23" t="str">
        <f t="shared" si="6"/>
        <v/>
      </c>
      <c r="BC7" s="23" t="str">
        <f t="shared" si="6"/>
        <v/>
      </c>
      <c r="BD7" s="23" t="str">
        <f t="shared" si="6"/>
        <v/>
      </c>
      <c r="BE7" s="23" t="str">
        <f t="shared" si="6"/>
        <v/>
      </c>
      <c r="BF7" s="23" t="str">
        <f t="shared" si="6"/>
        <v/>
      </c>
      <c r="BG7" s="23" t="str">
        <f t="shared" si="6"/>
        <v/>
      </c>
      <c r="BH7" s="23" t="str">
        <f t="shared" si="6"/>
        <v/>
      </c>
      <c r="BI7" s="23" t="str">
        <f t="shared" si="7"/>
        <v/>
      </c>
      <c r="BJ7" s="23" t="str">
        <f t="shared" si="7"/>
        <v/>
      </c>
      <c r="BK7" s="23" t="str">
        <f t="shared" si="7"/>
        <v/>
      </c>
      <c r="BL7" s="23" t="str">
        <f t="shared" si="7"/>
        <v/>
      </c>
      <c r="BM7" s="23" t="str">
        <f t="shared" si="7"/>
        <v/>
      </c>
      <c r="BN7" s="23" t="str">
        <f t="shared" si="7"/>
        <v/>
      </c>
      <c r="BO7" s="23" t="str">
        <f t="shared" si="7"/>
        <v/>
      </c>
      <c r="BP7" s="23" t="str">
        <f t="shared" si="7"/>
        <v/>
      </c>
      <c r="BQ7" s="23" t="str">
        <f t="shared" si="7"/>
        <v/>
      </c>
      <c r="BR7" s="23" t="str">
        <f t="shared" si="7"/>
        <v/>
      </c>
      <c r="BS7" s="23" t="str">
        <f t="shared" si="7"/>
        <v/>
      </c>
      <c r="BU7" s="29" t="s">
        <v>122</v>
      </c>
    </row>
    <row r="8" spans="1:75" ht="17" outlineLevel="1" x14ac:dyDescent="0.2">
      <c r="A8" s="6" t="s">
        <v>123</v>
      </c>
      <c r="B8" s="25" t="s">
        <v>124</v>
      </c>
      <c r="C8" s="6" t="s">
        <v>55</v>
      </c>
      <c r="D8" s="24" t="s">
        <v>121</v>
      </c>
      <c r="F8" s="6" t="s">
        <v>119</v>
      </c>
      <c r="G8" s="22">
        <v>2</v>
      </c>
      <c r="H8" s="22">
        <v>1</v>
      </c>
      <c r="I8" s="22">
        <f t="shared" si="8"/>
        <v>2</v>
      </c>
      <c r="J8" s="22">
        <f t="shared" si="9"/>
        <v>2</v>
      </c>
      <c r="K8" s="23" t="str">
        <f t="shared" si="2"/>
        <v/>
      </c>
      <c r="L8" s="23">
        <f t="shared" si="2"/>
        <v>1</v>
      </c>
      <c r="M8" s="23" t="str">
        <f t="shared" si="2"/>
        <v/>
      </c>
      <c r="N8" s="23" t="str">
        <f t="shared" si="2"/>
        <v/>
      </c>
      <c r="O8" s="23" t="str">
        <f t="shared" si="2"/>
        <v/>
      </c>
      <c r="P8" s="23" t="str">
        <f t="shared" si="2"/>
        <v/>
      </c>
      <c r="Q8" s="23" t="str">
        <f t="shared" si="2"/>
        <v/>
      </c>
      <c r="R8" s="23" t="str">
        <f t="shared" si="2"/>
        <v/>
      </c>
      <c r="S8" s="23" t="str">
        <f t="shared" si="2"/>
        <v/>
      </c>
      <c r="T8" s="23" t="str">
        <f t="shared" si="2"/>
        <v/>
      </c>
      <c r="U8" s="23" t="str">
        <f t="shared" si="3"/>
        <v/>
      </c>
      <c r="V8" s="23" t="str">
        <f t="shared" si="3"/>
        <v/>
      </c>
      <c r="W8" s="23" t="str">
        <f t="shared" si="3"/>
        <v/>
      </c>
      <c r="X8" s="23" t="str">
        <f t="shared" si="3"/>
        <v/>
      </c>
      <c r="Y8" s="23" t="str">
        <f t="shared" si="3"/>
        <v/>
      </c>
      <c r="Z8" s="23" t="str">
        <f t="shared" si="3"/>
        <v/>
      </c>
      <c r="AA8" s="23" t="str">
        <f t="shared" si="3"/>
        <v/>
      </c>
      <c r="AB8" s="23" t="str">
        <f t="shared" si="3"/>
        <v/>
      </c>
      <c r="AC8" s="23" t="str">
        <f t="shared" si="3"/>
        <v/>
      </c>
      <c r="AD8" s="23" t="str">
        <f t="shared" si="3"/>
        <v/>
      </c>
      <c r="AE8" s="23" t="str">
        <f t="shared" si="4"/>
        <v/>
      </c>
      <c r="AF8" s="23" t="str">
        <f t="shared" si="4"/>
        <v/>
      </c>
      <c r="AG8" s="23" t="str">
        <f t="shared" si="4"/>
        <v/>
      </c>
      <c r="AH8" s="23" t="str">
        <f t="shared" si="4"/>
        <v/>
      </c>
      <c r="AI8" s="23" t="str">
        <f t="shared" si="4"/>
        <v/>
      </c>
      <c r="AJ8" s="23" t="str">
        <f t="shared" si="4"/>
        <v/>
      </c>
      <c r="AK8" s="23" t="str">
        <f t="shared" si="4"/>
        <v/>
      </c>
      <c r="AL8" s="23" t="str">
        <f t="shared" si="4"/>
        <v/>
      </c>
      <c r="AM8" s="23" t="str">
        <f t="shared" si="4"/>
        <v/>
      </c>
      <c r="AN8" s="23" t="str">
        <f t="shared" si="4"/>
        <v/>
      </c>
      <c r="AO8" s="23" t="str">
        <f t="shared" si="5"/>
        <v/>
      </c>
      <c r="AP8" s="23" t="str">
        <f t="shared" si="5"/>
        <v/>
      </c>
      <c r="AQ8" s="23" t="str">
        <f t="shared" si="5"/>
        <v/>
      </c>
      <c r="AR8" s="23" t="str">
        <f t="shared" si="5"/>
        <v/>
      </c>
      <c r="AS8" s="23" t="str">
        <f t="shared" si="5"/>
        <v/>
      </c>
      <c r="AT8" s="23" t="str">
        <f t="shared" si="5"/>
        <v/>
      </c>
      <c r="AU8" s="23" t="str">
        <f t="shared" si="5"/>
        <v/>
      </c>
      <c r="AV8" s="23" t="str">
        <f t="shared" si="5"/>
        <v/>
      </c>
      <c r="AW8" s="23" t="str">
        <f t="shared" si="5"/>
        <v/>
      </c>
      <c r="AX8" s="23" t="str">
        <f t="shared" si="5"/>
        <v/>
      </c>
      <c r="AY8" s="23" t="str">
        <f t="shared" si="6"/>
        <v/>
      </c>
      <c r="AZ8" s="23" t="str">
        <f t="shared" si="6"/>
        <v/>
      </c>
      <c r="BA8" s="23" t="str">
        <f t="shared" si="6"/>
        <v/>
      </c>
      <c r="BB8" s="23" t="str">
        <f t="shared" si="6"/>
        <v/>
      </c>
      <c r="BC8" s="23" t="str">
        <f t="shared" si="6"/>
        <v/>
      </c>
      <c r="BD8" s="23" t="str">
        <f t="shared" si="6"/>
        <v/>
      </c>
      <c r="BE8" s="23" t="str">
        <f t="shared" si="6"/>
        <v/>
      </c>
      <c r="BF8" s="23" t="str">
        <f t="shared" si="6"/>
        <v/>
      </c>
      <c r="BG8" s="23" t="str">
        <f t="shared" si="6"/>
        <v/>
      </c>
      <c r="BH8" s="23" t="str">
        <f t="shared" si="6"/>
        <v/>
      </c>
      <c r="BI8" s="23" t="str">
        <f t="shared" si="7"/>
        <v/>
      </c>
      <c r="BJ8" s="23" t="str">
        <f t="shared" si="7"/>
        <v/>
      </c>
      <c r="BK8" s="23" t="str">
        <f t="shared" si="7"/>
        <v/>
      </c>
      <c r="BL8" s="23" t="str">
        <f t="shared" si="7"/>
        <v/>
      </c>
      <c r="BM8" s="23" t="str">
        <f t="shared" si="7"/>
        <v/>
      </c>
      <c r="BN8" s="23" t="str">
        <f t="shared" si="7"/>
        <v/>
      </c>
      <c r="BO8" s="23" t="str">
        <f t="shared" si="7"/>
        <v/>
      </c>
      <c r="BP8" s="23" t="str">
        <f t="shared" si="7"/>
        <v/>
      </c>
      <c r="BQ8" s="23" t="str">
        <f t="shared" si="7"/>
        <v/>
      </c>
      <c r="BR8" s="23" t="str">
        <f t="shared" si="7"/>
        <v/>
      </c>
      <c r="BS8" s="23" t="str">
        <f t="shared" si="7"/>
        <v/>
      </c>
      <c r="BU8" s="29" t="s">
        <v>125</v>
      </c>
    </row>
    <row r="9" spans="1:75" ht="34" outlineLevel="1" x14ac:dyDescent="0.2">
      <c r="A9" s="6" t="s">
        <v>126</v>
      </c>
      <c r="B9" s="25" t="s">
        <v>127</v>
      </c>
      <c r="C9" s="6" t="s">
        <v>55</v>
      </c>
      <c r="D9" s="24" t="s">
        <v>128</v>
      </c>
      <c r="F9" s="6" t="s">
        <v>119</v>
      </c>
      <c r="G9" s="22">
        <v>2</v>
      </c>
      <c r="H9" s="22">
        <v>2</v>
      </c>
      <c r="I9" s="22">
        <f t="shared" si="8"/>
        <v>2</v>
      </c>
      <c r="J9" s="22">
        <f t="shared" si="9"/>
        <v>3</v>
      </c>
      <c r="K9" s="23" t="str">
        <f t="shared" si="2"/>
        <v/>
      </c>
      <c r="L9" s="23">
        <f t="shared" si="2"/>
        <v>1</v>
      </c>
      <c r="M9" s="23">
        <f t="shared" si="2"/>
        <v>1</v>
      </c>
      <c r="N9" s="23" t="str">
        <f t="shared" si="2"/>
        <v/>
      </c>
      <c r="O9" s="23" t="str">
        <f t="shared" si="2"/>
        <v/>
      </c>
      <c r="P9" s="23" t="str">
        <f t="shared" si="2"/>
        <v/>
      </c>
      <c r="Q9" s="23" t="str">
        <f t="shared" si="2"/>
        <v/>
      </c>
      <c r="R9" s="23" t="str">
        <f t="shared" si="2"/>
        <v/>
      </c>
      <c r="S9" s="23" t="str">
        <f t="shared" si="2"/>
        <v/>
      </c>
      <c r="T9" s="23" t="str">
        <f t="shared" si="2"/>
        <v/>
      </c>
      <c r="U9" s="23" t="str">
        <f t="shared" si="3"/>
        <v/>
      </c>
      <c r="V9" s="23" t="str">
        <f t="shared" si="3"/>
        <v/>
      </c>
      <c r="W9" s="23" t="str">
        <f t="shared" si="3"/>
        <v/>
      </c>
      <c r="X9" s="23" t="str">
        <f t="shared" si="3"/>
        <v/>
      </c>
      <c r="Y9" s="23" t="str">
        <f t="shared" si="3"/>
        <v/>
      </c>
      <c r="Z9" s="23" t="str">
        <f t="shared" si="3"/>
        <v/>
      </c>
      <c r="AA9" s="23" t="str">
        <f t="shared" si="3"/>
        <v/>
      </c>
      <c r="AB9" s="23" t="str">
        <f t="shared" si="3"/>
        <v/>
      </c>
      <c r="AC9" s="23" t="str">
        <f t="shared" si="3"/>
        <v/>
      </c>
      <c r="AD9" s="23" t="str">
        <f t="shared" si="3"/>
        <v/>
      </c>
      <c r="AE9" s="23" t="str">
        <f t="shared" si="4"/>
        <v/>
      </c>
      <c r="AF9" s="23" t="str">
        <f t="shared" si="4"/>
        <v/>
      </c>
      <c r="AG9" s="23" t="str">
        <f t="shared" si="4"/>
        <v/>
      </c>
      <c r="AH9" s="23" t="str">
        <f t="shared" si="4"/>
        <v/>
      </c>
      <c r="AI9" s="23" t="str">
        <f t="shared" si="4"/>
        <v/>
      </c>
      <c r="AJ9" s="23" t="str">
        <f t="shared" si="4"/>
        <v/>
      </c>
      <c r="AK9" s="23" t="str">
        <f t="shared" si="4"/>
        <v/>
      </c>
      <c r="AL9" s="23" t="str">
        <f t="shared" si="4"/>
        <v/>
      </c>
      <c r="AM9" s="23" t="str">
        <f t="shared" si="4"/>
        <v/>
      </c>
      <c r="AN9" s="23" t="str">
        <f t="shared" si="4"/>
        <v/>
      </c>
      <c r="AO9" s="23" t="str">
        <f t="shared" si="5"/>
        <v/>
      </c>
      <c r="AP9" s="23" t="str">
        <f t="shared" si="5"/>
        <v/>
      </c>
      <c r="AQ9" s="23" t="str">
        <f t="shared" si="5"/>
        <v/>
      </c>
      <c r="AR9" s="23" t="str">
        <f t="shared" si="5"/>
        <v/>
      </c>
      <c r="AS9" s="23" t="str">
        <f t="shared" si="5"/>
        <v/>
      </c>
      <c r="AT9" s="23" t="str">
        <f t="shared" si="5"/>
        <v/>
      </c>
      <c r="AU9" s="23" t="str">
        <f t="shared" si="5"/>
        <v/>
      </c>
      <c r="AV9" s="23" t="str">
        <f t="shared" si="5"/>
        <v/>
      </c>
      <c r="AW9" s="23" t="str">
        <f t="shared" si="5"/>
        <v/>
      </c>
      <c r="AX9" s="23" t="str">
        <f t="shared" si="5"/>
        <v/>
      </c>
      <c r="AY9" s="23" t="str">
        <f t="shared" si="6"/>
        <v/>
      </c>
      <c r="AZ9" s="23" t="str">
        <f t="shared" si="6"/>
        <v/>
      </c>
      <c r="BA9" s="23" t="str">
        <f t="shared" si="6"/>
        <v/>
      </c>
      <c r="BB9" s="23" t="str">
        <f t="shared" si="6"/>
        <v/>
      </c>
      <c r="BC9" s="23" t="str">
        <f t="shared" si="6"/>
        <v/>
      </c>
      <c r="BD9" s="23" t="str">
        <f t="shared" si="6"/>
        <v/>
      </c>
      <c r="BE9" s="23" t="str">
        <f t="shared" si="6"/>
        <v/>
      </c>
      <c r="BF9" s="23" t="str">
        <f t="shared" si="6"/>
        <v/>
      </c>
      <c r="BG9" s="23" t="str">
        <f t="shared" si="6"/>
        <v/>
      </c>
      <c r="BH9" s="23" t="str">
        <f t="shared" si="6"/>
        <v/>
      </c>
      <c r="BI9" s="23" t="str">
        <f t="shared" si="7"/>
        <v/>
      </c>
      <c r="BJ9" s="23" t="str">
        <f t="shared" si="7"/>
        <v/>
      </c>
      <c r="BK9" s="23" t="str">
        <f t="shared" si="7"/>
        <v/>
      </c>
      <c r="BL9" s="23" t="str">
        <f t="shared" si="7"/>
        <v/>
      </c>
      <c r="BM9" s="23" t="str">
        <f t="shared" si="7"/>
        <v/>
      </c>
      <c r="BN9" s="23" t="str">
        <f t="shared" si="7"/>
        <v/>
      </c>
      <c r="BO9" s="23" t="str">
        <f t="shared" si="7"/>
        <v/>
      </c>
      <c r="BP9" s="23" t="str">
        <f t="shared" si="7"/>
        <v/>
      </c>
      <c r="BQ9" s="23" t="str">
        <f t="shared" si="7"/>
        <v/>
      </c>
      <c r="BR9" s="23" t="str">
        <f t="shared" si="7"/>
        <v/>
      </c>
      <c r="BS9" s="23" t="str">
        <f t="shared" si="7"/>
        <v/>
      </c>
      <c r="BU9" s="29" t="s">
        <v>129</v>
      </c>
    </row>
    <row r="10" spans="1:75" ht="17" outlineLevel="1" x14ac:dyDescent="0.2">
      <c r="A10" s="6" t="s">
        <v>130</v>
      </c>
      <c r="B10" s="25" t="s">
        <v>131</v>
      </c>
      <c r="C10" s="6" t="s">
        <v>55</v>
      </c>
      <c r="D10" s="24" t="s">
        <v>128</v>
      </c>
      <c r="F10" s="6" t="s">
        <v>123</v>
      </c>
      <c r="G10" s="22">
        <v>3</v>
      </c>
      <c r="H10" s="22">
        <v>2</v>
      </c>
      <c r="I10" s="22">
        <f t="shared" si="8"/>
        <v>3</v>
      </c>
      <c r="J10" s="22">
        <f t="shared" si="9"/>
        <v>4</v>
      </c>
      <c r="K10" s="23" t="str">
        <f t="shared" si="2"/>
        <v/>
      </c>
      <c r="L10" s="23" t="str">
        <f t="shared" si="2"/>
        <v/>
      </c>
      <c r="M10" s="23">
        <f t="shared" si="2"/>
        <v>1</v>
      </c>
      <c r="N10" s="23">
        <f t="shared" si="2"/>
        <v>1</v>
      </c>
      <c r="O10" s="23" t="str">
        <f t="shared" si="2"/>
        <v/>
      </c>
      <c r="P10" s="23" t="str">
        <f t="shared" si="2"/>
        <v/>
      </c>
      <c r="Q10" s="23" t="str">
        <f t="shared" si="2"/>
        <v/>
      </c>
      <c r="R10" s="23" t="str">
        <f t="shared" si="2"/>
        <v/>
      </c>
      <c r="S10" s="23" t="str">
        <f t="shared" si="2"/>
        <v/>
      </c>
      <c r="T10" s="23" t="str">
        <f t="shared" si="2"/>
        <v/>
      </c>
      <c r="U10" s="23" t="str">
        <f t="shared" si="3"/>
        <v/>
      </c>
      <c r="V10" s="23" t="str">
        <f t="shared" si="3"/>
        <v/>
      </c>
      <c r="W10" s="23" t="str">
        <f t="shared" si="3"/>
        <v/>
      </c>
      <c r="X10" s="23" t="str">
        <f t="shared" si="3"/>
        <v/>
      </c>
      <c r="Y10" s="23" t="str">
        <f t="shared" si="3"/>
        <v/>
      </c>
      <c r="Z10" s="23" t="str">
        <f t="shared" si="3"/>
        <v/>
      </c>
      <c r="AA10" s="23" t="str">
        <f t="shared" si="3"/>
        <v/>
      </c>
      <c r="AB10" s="23" t="str">
        <f t="shared" si="3"/>
        <v/>
      </c>
      <c r="AC10" s="23" t="str">
        <f t="shared" si="3"/>
        <v/>
      </c>
      <c r="AD10" s="23" t="str">
        <f t="shared" si="3"/>
        <v/>
      </c>
      <c r="AE10" s="23" t="str">
        <f t="shared" si="4"/>
        <v/>
      </c>
      <c r="AF10" s="23" t="str">
        <f t="shared" si="4"/>
        <v/>
      </c>
      <c r="AG10" s="23" t="str">
        <f t="shared" si="4"/>
        <v/>
      </c>
      <c r="AH10" s="23" t="str">
        <f t="shared" si="4"/>
        <v/>
      </c>
      <c r="AI10" s="23" t="str">
        <f t="shared" si="4"/>
        <v/>
      </c>
      <c r="AJ10" s="23" t="str">
        <f t="shared" si="4"/>
        <v/>
      </c>
      <c r="AK10" s="23" t="str">
        <f t="shared" si="4"/>
        <v/>
      </c>
      <c r="AL10" s="23" t="str">
        <f t="shared" si="4"/>
        <v/>
      </c>
      <c r="AM10" s="23" t="str">
        <f t="shared" si="4"/>
        <v/>
      </c>
      <c r="AN10" s="23" t="str">
        <f t="shared" si="4"/>
        <v/>
      </c>
      <c r="AO10" s="23" t="str">
        <f t="shared" si="5"/>
        <v/>
      </c>
      <c r="AP10" s="23" t="str">
        <f t="shared" si="5"/>
        <v/>
      </c>
      <c r="AQ10" s="23" t="str">
        <f t="shared" si="5"/>
        <v/>
      </c>
      <c r="AR10" s="23" t="str">
        <f t="shared" si="5"/>
        <v/>
      </c>
      <c r="AS10" s="23" t="str">
        <f t="shared" si="5"/>
        <v/>
      </c>
      <c r="AT10" s="23" t="str">
        <f t="shared" si="5"/>
        <v/>
      </c>
      <c r="AU10" s="23" t="str">
        <f t="shared" si="5"/>
        <v/>
      </c>
      <c r="AV10" s="23" t="str">
        <f t="shared" si="5"/>
        <v/>
      </c>
      <c r="AW10" s="23" t="str">
        <f t="shared" si="5"/>
        <v/>
      </c>
      <c r="AX10" s="23" t="str">
        <f t="shared" si="5"/>
        <v/>
      </c>
      <c r="AY10" s="23" t="str">
        <f t="shared" si="6"/>
        <v/>
      </c>
      <c r="AZ10" s="23" t="str">
        <f t="shared" si="6"/>
        <v/>
      </c>
      <c r="BA10" s="23" t="str">
        <f t="shared" si="6"/>
        <v/>
      </c>
      <c r="BB10" s="23" t="str">
        <f t="shared" si="6"/>
        <v/>
      </c>
      <c r="BC10" s="23" t="str">
        <f t="shared" si="6"/>
        <v/>
      </c>
      <c r="BD10" s="23" t="str">
        <f t="shared" si="6"/>
        <v/>
      </c>
      <c r="BE10" s="23" t="str">
        <f t="shared" si="6"/>
        <v/>
      </c>
      <c r="BF10" s="23" t="str">
        <f t="shared" si="6"/>
        <v/>
      </c>
      <c r="BG10" s="23" t="str">
        <f t="shared" si="6"/>
        <v/>
      </c>
      <c r="BH10" s="23" t="str">
        <f t="shared" si="6"/>
        <v/>
      </c>
      <c r="BI10" s="23" t="str">
        <f t="shared" si="7"/>
        <v/>
      </c>
      <c r="BJ10" s="23" t="str">
        <f t="shared" si="7"/>
        <v/>
      </c>
      <c r="BK10" s="23" t="str">
        <f t="shared" si="7"/>
        <v/>
      </c>
      <c r="BL10" s="23" t="str">
        <f t="shared" si="7"/>
        <v/>
      </c>
      <c r="BM10" s="23" t="str">
        <f t="shared" si="7"/>
        <v/>
      </c>
      <c r="BN10" s="23" t="str">
        <f t="shared" si="7"/>
        <v/>
      </c>
      <c r="BO10" s="23" t="str">
        <f t="shared" si="7"/>
        <v/>
      </c>
      <c r="BP10" s="23" t="str">
        <f t="shared" si="7"/>
        <v/>
      </c>
      <c r="BQ10" s="23" t="str">
        <f t="shared" si="7"/>
        <v/>
      </c>
      <c r="BR10" s="23" t="str">
        <f t="shared" si="7"/>
        <v/>
      </c>
      <c r="BS10" s="23" t="str">
        <f t="shared" si="7"/>
        <v/>
      </c>
      <c r="BU10" s="29" t="s">
        <v>132</v>
      </c>
    </row>
    <row r="11" spans="1:75" ht="34" outlineLevel="1" x14ac:dyDescent="0.2">
      <c r="A11" s="6" t="s">
        <v>133</v>
      </c>
      <c r="B11" s="25" t="s">
        <v>134</v>
      </c>
      <c r="C11" s="6" t="s">
        <v>55</v>
      </c>
      <c r="D11" s="24" t="s">
        <v>121</v>
      </c>
      <c r="F11" s="6" t="s">
        <v>130</v>
      </c>
      <c r="G11" s="22">
        <v>4</v>
      </c>
      <c r="H11" s="22">
        <v>1</v>
      </c>
      <c r="I11" s="22">
        <f t="shared" si="8"/>
        <v>4</v>
      </c>
      <c r="J11" s="22">
        <f t="shared" si="9"/>
        <v>4</v>
      </c>
      <c r="K11" s="23" t="str">
        <f t="shared" si="2"/>
        <v/>
      </c>
      <c r="L11" s="23" t="str">
        <f t="shared" si="2"/>
        <v/>
      </c>
      <c r="M11" s="23" t="str">
        <f t="shared" si="2"/>
        <v/>
      </c>
      <c r="N11" s="23">
        <f t="shared" si="2"/>
        <v>1</v>
      </c>
      <c r="O11" s="23" t="str">
        <f t="shared" si="2"/>
        <v/>
      </c>
      <c r="P11" s="23" t="str">
        <f t="shared" si="2"/>
        <v/>
      </c>
      <c r="Q11" s="23" t="str">
        <f t="shared" si="2"/>
        <v/>
      </c>
      <c r="R11" s="23" t="str">
        <f t="shared" si="2"/>
        <v/>
      </c>
      <c r="S11" s="23" t="str">
        <f t="shared" si="2"/>
        <v/>
      </c>
      <c r="T11" s="23" t="str">
        <f t="shared" si="2"/>
        <v/>
      </c>
      <c r="U11" s="23" t="str">
        <f t="shared" si="3"/>
        <v/>
      </c>
      <c r="V11" s="23" t="str">
        <f t="shared" si="3"/>
        <v/>
      </c>
      <c r="W11" s="23" t="str">
        <f t="shared" si="3"/>
        <v/>
      </c>
      <c r="X11" s="23" t="str">
        <f t="shared" si="3"/>
        <v/>
      </c>
      <c r="Y11" s="23" t="str">
        <f t="shared" si="3"/>
        <v/>
      </c>
      <c r="Z11" s="23" t="str">
        <f t="shared" si="3"/>
        <v/>
      </c>
      <c r="AA11" s="23" t="str">
        <f t="shared" si="3"/>
        <v/>
      </c>
      <c r="AB11" s="23" t="str">
        <f t="shared" si="3"/>
        <v/>
      </c>
      <c r="AC11" s="23" t="str">
        <f t="shared" si="3"/>
        <v/>
      </c>
      <c r="AD11" s="23" t="str">
        <f t="shared" si="3"/>
        <v/>
      </c>
      <c r="AE11" s="23" t="str">
        <f t="shared" si="4"/>
        <v/>
      </c>
      <c r="AF11" s="23" t="str">
        <f t="shared" si="4"/>
        <v/>
      </c>
      <c r="AG11" s="23" t="str">
        <f t="shared" si="4"/>
        <v/>
      </c>
      <c r="AH11" s="23" t="str">
        <f t="shared" si="4"/>
        <v/>
      </c>
      <c r="AI11" s="23" t="str">
        <f t="shared" si="4"/>
        <v/>
      </c>
      <c r="AJ11" s="23" t="str">
        <f t="shared" si="4"/>
        <v/>
      </c>
      <c r="AK11" s="23" t="str">
        <f t="shared" si="4"/>
        <v/>
      </c>
      <c r="AL11" s="23" t="str">
        <f t="shared" si="4"/>
        <v/>
      </c>
      <c r="AM11" s="23" t="str">
        <f t="shared" si="4"/>
        <v/>
      </c>
      <c r="AN11" s="23" t="str">
        <f t="shared" si="4"/>
        <v/>
      </c>
      <c r="AO11" s="23" t="str">
        <f t="shared" si="5"/>
        <v/>
      </c>
      <c r="AP11" s="23" t="str">
        <f t="shared" si="5"/>
        <v/>
      </c>
      <c r="AQ11" s="23" t="str">
        <f t="shared" si="5"/>
        <v/>
      </c>
      <c r="AR11" s="23" t="str">
        <f t="shared" si="5"/>
        <v/>
      </c>
      <c r="AS11" s="23" t="str">
        <f t="shared" si="5"/>
        <v/>
      </c>
      <c r="AT11" s="23" t="str">
        <f t="shared" si="5"/>
        <v/>
      </c>
      <c r="AU11" s="23" t="str">
        <f t="shared" si="5"/>
        <v/>
      </c>
      <c r="AV11" s="23" t="str">
        <f t="shared" si="5"/>
        <v/>
      </c>
      <c r="AW11" s="23" t="str">
        <f t="shared" si="5"/>
        <v/>
      </c>
      <c r="AX11" s="23" t="str">
        <f t="shared" si="5"/>
        <v/>
      </c>
      <c r="AY11" s="23" t="str">
        <f t="shared" si="6"/>
        <v/>
      </c>
      <c r="AZ11" s="23" t="str">
        <f t="shared" si="6"/>
        <v/>
      </c>
      <c r="BA11" s="23" t="str">
        <f t="shared" si="6"/>
        <v/>
      </c>
      <c r="BB11" s="23" t="str">
        <f t="shared" si="6"/>
        <v/>
      </c>
      <c r="BC11" s="23" t="str">
        <f t="shared" si="6"/>
        <v/>
      </c>
      <c r="BD11" s="23" t="str">
        <f t="shared" si="6"/>
        <v/>
      </c>
      <c r="BE11" s="23" t="str">
        <f t="shared" si="6"/>
        <v/>
      </c>
      <c r="BF11" s="23" t="str">
        <f t="shared" si="6"/>
        <v/>
      </c>
      <c r="BG11" s="23" t="str">
        <f t="shared" si="6"/>
        <v/>
      </c>
      <c r="BH11" s="23" t="str">
        <f t="shared" si="6"/>
        <v/>
      </c>
      <c r="BI11" s="23" t="str">
        <f t="shared" si="7"/>
        <v/>
      </c>
      <c r="BJ11" s="23" t="str">
        <f t="shared" si="7"/>
        <v/>
      </c>
      <c r="BK11" s="23" t="str">
        <f t="shared" si="7"/>
        <v/>
      </c>
      <c r="BL11" s="23" t="str">
        <f t="shared" si="7"/>
        <v/>
      </c>
      <c r="BM11" s="23" t="str">
        <f t="shared" si="7"/>
        <v/>
      </c>
      <c r="BN11" s="23" t="str">
        <f t="shared" si="7"/>
        <v/>
      </c>
      <c r="BO11" s="23" t="str">
        <f t="shared" si="7"/>
        <v/>
      </c>
      <c r="BP11" s="23" t="str">
        <f t="shared" si="7"/>
        <v/>
      </c>
      <c r="BQ11" s="23" t="str">
        <f t="shared" si="7"/>
        <v/>
      </c>
      <c r="BR11" s="23" t="str">
        <f t="shared" si="7"/>
        <v/>
      </c>
      <c r="BS11" s="23" t="str">
        <f t="shared" si="7"/>
        <v/>
      </c>
      <c r="BU11" s="29" t="s">
        <v>135</v>
      </c>
    </row>
    <row r="12" spans="1:75" ht="34" outlineLevel="1" x14ac:dyDescent="0.2">
      <c r="A12" s="6" t="s">
        <v>136</v>
      </c>
      <c r="B12" s="25" t="s">
        <v>137</v>
      </c>
      <c r="C12" s="6" t="s">
        <v>55</v>
      </c>
      <c r="D12" s="24" t="s">
        <v>128</v>
      </c>
      <c r="F12" s="6" t="s">
        <v>138</v>
      </c>
      <c r="G12" s="22">
        <v>4</v>
      </c>
      <c r="H12" s="22">
        <v>2</v>
      </c>
      <c r="I12" s="22">
        <f t="shared" si="8"/>
        <v>4</v>
      </c>
      <c r="J12" s="22">
        <f t="shared" si="9"/>
        <v>5</v>
      </c>
      <c r="K12" s="23" t="str">
        <f t="shared" si="2"/>
        <v/>
      </c>
      <c r="L12" s="23" t="str">
        <f t="shared" si="2"/>
        <v/>
      </c>
      <c r="M12" s="23" t="str">
        <f t="shared" si="2"/>
        <v/>
      </c>
      <c r="N12" s="23">
        <f t="shared" si="2"/>
        <v>1</v>
      </c>
      <c r="O12" s="23">
        <f t="shared" si="2"/>
        <v>1</v>
      </c>
      <c r="P12" s="23" t="str">
        <f t="shared" si="2"/>
        <v/>
      </c>
      <c r="Q12" s="23" t="str">
        <f t="shared" si="2"/>
        <v/>
      </c>
      <c r="R12" s="23" t="str">
        <f t="shared" si="2"/>
        <v/>
      </c>
      <c r="S12" s="23" t="str">
        <f t="shared" si="2"/>
        <v/>
      </c>
      <c r="T12" s="23" t="str">
        <f t="shared" si="2"/>
        <v/>
      </c>
      <c r="U12" s="23" t="str">
        <f t="shared" si="3"/>
        <v/>
      </c>
      <c r="V12" s="23" t="str">
        <f t="shared" si="3"/>
        <v/>
      </c>
      <c r="W12" s="23" t="str">
        <f t="shared" si="3"/>
        <v/>
      </c>
      <c r="X12" s="23" t="str">
        <f t="shared" si="3"/>
        <v/>
      </c>
      <c r="Y12" s="23" t="str">
        <f t="shared" si="3"/>
        <v/>
      </c>
      <c r="Z12" s="23" t="str">
        <f t="shared" si="3"/>
        <v/>
      </c>
      <c r="AA12" s="23" t="str">
        <f t="shared" si="3"/>
        <v/>
      </c>
      <c r="AB12" s="23" t="str">
        <f t="shared" si="3"/>
        <v/>
      </c>
      <c r="AC12" s="23" t="str">
        <f t="shared" si="3"/>
        <v/>
      </c>
      <c r="AD12" s="23" t="str">
        <f t="shared" si="3"/>
        <v/>
      </c>
      <c r="AE12" s="23" t="str">
        <f t="shared" si="4"/>
        <v/>
      </c>
      <c r="AF12" s="23" t="str">
        <f t="shared" si="4"/>
        <v/>
      </c>
      <c r="AG12" s="23" t="str">
        <f t="shared" si="4"/>
        <v/>
      </c>
      <c r="AH12" s="23" t="str">
        <f t="shared" si="4"/>
        <v/>
      </c>
      <c r="AI12" s="23" t="str">
        <f t="shared" si="4"/>
        <v/>
      </c>
      <c r="AJ12" s="23" t="str">
        <f t="shared" si="4"/>
        <v/>
      </c>
      <c r="AK12" s="23" t="str">
        <f t="shared" si="4"/>
        <v/>
      </c>
      <c r="AL12" s="23" t="str">
        <f t="shared" si="4"/>
        <v/>
      </c>
      <c r="AM12" s="23" t="str">
        <f t="shared" si="4"/>
        <v/>
      </c>
      <c r="AN12" s="23" t="str">
        <f t="shared" si="4"/>
        <v/>
      </c>
      <c r="AO12" s="23" t="str">
        <f t="shared" si="5"/>
        <v/>
      </c>
      <c r="AP12" s="23" t="str">
        <f t="shared" si="5"/>
        <v/>
      </c>
      <c r="AQ12" s="23" t="str">
        <f t="shared" si="5"/>
        <v/>
      </c>
      <c r="AR12" s="23" t="str">
        <f t="shared" si="5"/>
        <v/>
      </c>
      <c r="AS12" s="23" t="str">
        <f t="shared" si="5"/>
        <v/>
      </c>
      <c r="AT12" s="23" t="str">
        <f t="shared" si="5"/>
        <v/>
      </c>
      <c r="AU12" s="23" t="str">
        <f t="shared" si="5"/>
        <v/>
      </c>
      <c r="AV12" s="23" t="str">
        <f t="shared" si="5"/>
        <v/>
      </c>
      <c r="AW12" s="23" t="str">
        <f t="shared" si="5"/>
        <v/>
      </c>
      <c r="AX12" s="23" t="str">
        <f t="shared" si="5"/>
        <v/>
      </c>
      <c r="AY12" s="23" t="str">
        <f t="shared" si="6"/>
        <v/>
      </c>
      <c r="AZ12" s="23" t="str">
        <f t="shared" si="6"/>
        <v/>
      </c>
      <c r="BA12" s="23" t="str">
        <f t="shared" si="6"/>
        <v/>
      </c>
      <c r="BB12" s="23" t="str">
        <f t="shared" si="6"/>
        <v/>
      </c>
      <c r="BC12" s="23" t="str">
        <f t="shared" si="6"/>
        <v/>
      </c>
      <c r="BD12" s="23" t="str">
        <f t="shared" si="6"/>
        <v/>
      </c>
      <c r="BE12" s="23" t="str">
        <f t="shared" si="6"/>
        <v/>
      </c>
      <c r="BF12" s="23" t="str">
        <f t="shared" si="6"/>
        <v/>
      </c>
      <c r="BG12" s="23" t="str">
        <f t="shared" si="6"/>
        <v/>
      </c>
      <c r="BH12" s="23" t="str">
        <f t="shared" si="6"/>
        <v/>
      </c>
      <c r="BI12" s="23" t="str">
        <f t="shared" si="7"/>
        <v/>
      </c>
      <c r="BJ12" s="23" t="str">
        <f t="shared" si="7"/>
        <v/>
      </c>
      <c r="BK12" s="23" t="str">
        <f t="shared" si="7"/>
        <v/>
      </c>
      <c r="BL12" s="23" t="str">
        <f t="shared" si="7"/>
        <v/>
      </c>
      <c r="BM12" s="23" t="str">
        <f t="shared" si="7"/>
        <v/>
      </c>
      <c r="BN12" s="23" t="str">
        <f t="shared" si="7"/>
        <v/>
      </c>
      <c r="BO12" s="23" t="str">
        <f t="shared" si="7"/>
        <v/>
      </c>
      <c r="BP12" s="23" t="str">
        <f t="shared" si="7"/>
        <v/>
      </c>
      <c r="BQ12" s="23" t="str">
        <f t="shared" si="7"/>
        <v/>
      </c>
      <c r="BR12" s="23" t="str">
        <f t="shared" si="7"/>
        <v/>
      </c>
      <c r="BS12" s="23" t="str">
        <f t="shared" si="7"/>
        <v/>
      </c>
      <c r="BU12" s="29" t="s">
        <v>139</v>
      </c>
    </row>
    <row r="13" spans="1:75" x14ac:dyDescent="0.2">
      <c r="BU13" s="30"/>
    </row>
    <row r="14" spans="1:75" ht="17" x14ac:dyDescent="0.2">
      <c r="A14" s="19" t="s">
        <v>140</v>
      </c>
      <c r="B14" s="20" t="s">
        <v>141</v>
      </c>
      <c r="C14" s="19" t="s">
        <v>55</v>
      </c>
      <c r="D14" s="21" t="s">
        <v>117</v>
      </c>
      <c r="E14" s="19" t="s">
        <v>142</v>
      </c>
      <c r="F14" s="19"/>
      <c r="G14" s="22">
        <v>1</v>
      </c>
      <c r="H14" s="22">
        <v>5</v>
      </c>
      <c r="I14" s="22">
        <f>MIN(61,IF(G14&lt;=29,ROUND((G14-1)*(29+SlipWeeks)/29,0)+1,G14+SlipWeeks))</f>
        <v>1</v>
      </c>
      <c r="J14" s="22">
        <f>MIN(61,IF(G14+H14-1&lt;=29,MAX(ROUND((G14+H14-1)*(29+SlipWeeks)/29,0),I14),G14+H14-1+SlipWeeks))</f>
        <v>5</v>
      </c>
      <c r="K14" s="23">
        <f t="shared" ref="K14:T18" si="10">IF(AND(K$4&gt;=$I14,K$4&lt;=$J14),1,"")</f>
        <v>1</v>
      </c>
      <c r="L14" s="23">
        <f t="shared" si="10"/>
        <v>1</v>
      </c>
      <c r="M14" s="23">
        <f t="shared" si="10"/>
        <v>1</v>
      </c>
      <c r="N14" s="23">
        <f t="shared" si="10"/>
        <v>1</v>
      </c>
      <c r="O14" s="23">
        <f t="shared" si="10"/>
        <v>1</v>
      </c>
      <c r="P14" s="23" t="str">
        <f t="shared" si="10"/>
        <v/>
      </c>
      <c r="Q14" s="23" t="str">
        <f t="shared" si="10"/>
        <v/>
      </c>
      <c r="R14" s="23" t="str">
        <f t="shared" si="10"/>
        <v/>
      </c>
      <c r="S14" s="23" t="str">
        <f t="shared" si="10"/>
        <v/>
      </c>
      <c r="T14" s="23" t="str">
        <f t="shared" si="10"/>
        <v/>
      </c>
      <c r="U14" s="23" t="str">
        <f t="shared" ref="U14:AD18" si="11">IF(AND(U$4&gt;=$I14,U$4&lt;=$J14),1,"")</f>
        <v/>
      </c>
      <c r="V14" s="23" t="str">
        <f t="shared" si="11"/>
        <v/>
      </c>
      <c r="W14" s="23" t="str">
        <f t="shared" si="11"/>
        <v/>
      </c>
      <c r="X14" s="23" t="str">
        <f t="shared" si="11"/>
        <v/>
      </c>
      <c r="Y14" s="23" t="str">
        <f t="shared" si="11"/>
        <v/>
      </c>
      <c r="Z14" s="23" t="str">
        <f t="shared" si="11"/>
        <v/>
      </c>
      <c r="AA14" s="23" t="str">
        <f t="shared" si="11"/>
        <v/>
      </c>
      <c r="AB14" s="23" t="str">
        <f t="shared" si="11"/>
        <v/>
      </c>
      <c r="AC14" s="23" t="str">
        <f t="shared" si="11"/>
        <v/>
      </c>
      <c r="AD14" s="23" t="str">
        <f t="shared" si="11"/>
        <v/>
      </c>
      <c r="AE14" s="23" t="str">
        <f t="shared" ref="AE14:AN18" si="12">IF(AND(AE$4&gt;=$I14,AE$4&lt;=$J14),1,"")</f>
        <v/>
      </c>
      <c r="AF14" s="23" t="str">
        <f t="shared" si="12"/>
        <v/>
      </c>
      <c r="AG14" s="23" t="str">
        <f t="shared" si="12"/>
        <v/>
      </c>
      <c r="AH14" s="23" t="str">
        <f t="shared" si="12"/>
        <v/>
      </c>
      <c r="AI14" s="23" t="str">
        <f t="shared" si="12"/>
        <v/>
      </c>
      <c r="AJ14" s="23" t="str">
        <f t="shared" si="12"/>
        <v/>
      </c>
      <c r="AK14" s="23" t="str">
        <f t="shared" si="12"/>
        <v/>
      </c>
      <c r="AL14" s="23" t="str">
        <f t="shared" si="12"/>
        <v/>
      </c>
      <c r="AM14" s="23" t="str">
        <f t="shared" si="12"/>
        <v/>
      </c>
      <c r="AN14" s="23" t="str">
        <f t="shared" si="12"/>
        <v/>
      </c>
      <c r="AO14" s="23" t="str">
        <f t="shared" ref="AO14:AX18" si="13">IF(AND(AO$4&gt;=$I14,AO$4&lt;=$J14),1,"")</f>
        <v/>
      </c>
      <c r="AP14" s="23" t="str">
        <f t="shared" si="13"/>
        <v/>
      </c>
      <c r="AQ14" s="23" t="str">
        <f t="shared" si="13"/>
        <v/>
      </c>
      <c r="AR14" s="23" t="str">
        <f t="shared" si="13"/>
        <v/>
      </c>
      <c r="AS14" s="23" t="str">
        <f t="shared" si="13"/>
        <v/>
      </c>
      <c r="AT14" s="23" t="str">
        <f t="shared" si="13"/>
        <v/>
      </c>
      <c r="AU14" s="23" t="str">
        <f t="shared" si="13"/>
        <v/>
      </c>
      <c r="AV14" s="23" t="str">
        <f t="shared" si="13"/>
        <v/>
      </c>
      <c r="AW14" s="23" t="str">
        <f t="shared" si="13"/>
        <v/>
      </c>
      <c r="AX14" s="23" t="str">
        <f t="shared" si="13"/>
        <v/>
      </c>
      <c r="AY14" s="23" t="str">
        <f t="shared" ref="AY14:BH18" si="14">IF(AND(AY$4&gt;=$I14,AY$4&lt;=$J14),1,"")</f>
        <v/>
      </c>
      <c r="AZ14" s="23" t="str">
        <f t="shared" si="14"/>
        <v/>
      </c>
      <c r="BA14" s="23" t="str">
        <f t="shared" si="14"/>
        <v/>
      </c>
      <c r="BB14" s="23" t="str">
        <f t="shared" si="14"/>
        <v/>
      </c>
      <c r="BC14" s="23" t="str">
        <f t="shared" si="14"/>
        <v/>
      </c>
      <c r="BD14" s="23" t="str">
        <f t="shared" si="14"/>
        <v/>
      </c>
      <c r="BE14" s="23" t="str">
        <f t="shared" si="14"/>
        <v/>
      </c>
      <c r="BF14" s="23" t="str">
        <f t="shared" si="14"/>
        <v/>
      </c>
      <c r="BG14" s="23" t="str">
        <f t="shared" si="14"/>
        <v/>
      </c>
      <c r="BH14" s="23" t="str">
        <f t="shared" si="14"/>
        <v/>
      </c>
      <c r="BI14" s="23" t="str">
        <f t="shared" ref="BI14:BS18" si="15">IF(AND(BI$4&gt;=$I14,BI$4&lt;=$J14),1,"")</f>
        <v/>
      </c>
      <c r="BJ14" s="23" t="str">
        <f t="shared" si="15"/>
        <v/>
      </c>
      <c r="BK14" s="23" t="str">
        <f t="shared" si="15"/>
        <v/>
      </c>
      <c r="BL14" s="23" t="str">
        <f t="shared" si="15"/>
        <v/>
      </c>
      <c r="BM14" s="23" t="str">
        <f t="shared" si="15"/>
        <v/>
      </c>
      <c r="BN14" s="23" t="str">
        <f t="shared" si="15"/>
        <v/>
      </c>
      <c r="BO14" s="23" t="str">
        <f t="shared" si="15"/>
        <v/>
      </c>
      <c r="BP14" s="23" t="str">
        <f t="shared" si="15"/>
        <v/>
      </c>
      <c r="BQ14" s="23" t="str">
        <f t="shared" si="15"/>
        <v/>
      </c>
      <c r="BR14" s="23" t="str">
        <f t="shared" si="15"/>
        <v/>
      </c>
      <c r="BS14" s="23" t="str">
        <f t="shared" si="15"/>
        <v/>
      </c>
      <c r="BT14" s="24" t="str">
        <f>IF(IF(G14+H14-1&lt;=29,MAX(ROUND((G14+H14-1)*(29+SlipWeeks)/29,0),$I14),G14+H14-1+SlipWeeks)&gt;61,"▶ clipped","")</f>
        <v/>
      </c>
      <c r="BU14" s="29" t="s">
        <v>143</v>
      </c>
    </row>
    <row r="15" spans="1:75" ht="34" outlineLevel="1" x14ac:dyDescent="0.2">
      <c r="A15" s="6" t="s">
        <v>144</v>
      </c>
      <c r="B15" s="25" t="s">
        <v>145</v>
      </c>
      <c r="C15" s="6" t="s">
        <v>55</v>
      </c>
      <c r="D15" s="24" t="s">
        <v>121</v>
      </c>
      <c r="F15" s="6"/>
      <c r="G15" s="22">
        <v>1</v>
      </c>
      <c r="H15" s="22">
        <v>1</v>
      </c>
      <c r="I15" s="22">
        <f>MEDIAN($I$14,$J$14,$I$14+ROUND((G15-$G$14)/$H$14*($J$14-$I$14+1),0))</f>
        <v>1</v>
      </c>
      <c r="J15" s="22">
        <f>MEDIAN(I15,$J$14,$I$14+ROUND((G15+H15-$G$14)/$H$14*($J$14-$I$14+1),0)-1)</f>
        <v>1</v>
      </c>
      <c r="K15" s="23">
        <f t="shared" si="10"/>
        <v>1</v>
      </c>
      <c r="L15" s="23" t="str">
        <f t="shared" si="10"/>
        <v/>
      </c>
      <c r="M15" s="23" t="str">
        <f t="shared" si="10"/>
        <v/>
      </c>
      <c r="N15" s="23" t="str">
        <f t="shared" si="10"/>
        <v/>
      </c>
      <c r="O15" s="23" t="str">
        <f t="shared" si="10"/>
        <v/>
      </c>
      <c r="P15" s="23" t="str">
        <f t="shared" si="10"/>
        <v/>
      </c>
      <c r="Q15" s="23" t="str">
        <f t="shared" si="10"/>
        <v/>
      </c>
      <c r="R15" s="23" t="str">
        <f t="shared" si="10"/>
        <v/>
      </c>
      <c r="S15" s="23" t="str">
        <f t="shared" si="10"/>
        <v/>
      </c>
      <c r="T15" s="23" t="str">
        <f t="shared" si="10"/>
        <v/>
      </c>
      <c r="U15" s="23" t="str">
        <f t="shared" si="11"/>
        <v/>
      </c>
      <c r="V15" s="23" t="str">
        <f t="shared" si="11"/>
        <v/>
      </c>
      <c r="W15" s="23" t="str">
        <f t="shared" si="11"/>
        <v/>
      </c>
      <c r="X15" s="23" t="str">
        <f t="shared" si="11"/>
        <v/>
      </c>
      <c r="Y15" s="23" t="str">
        <f t="shared" si="11"/>
        <v/>
      </c>
      <c r="Z15" s="23" t="str">
        <f t="shared" si="11"/>
        <v/>
      </c>
      <c r="AA15" s="23" t="str">
        <f t="shared" si="11"/>
        <v/>
      </c>
      <c r="AB15" s="23" t="str">
        <f t="shared" si="11"/>
        <v/>
      </c>
      <c r="AC15" s="23" t="str">
        <f t="shared" si="11"/>
        <v/>
      </c>
      <c r="AD15" s="23" t="str">
        <f t="shared" si="11"/>
        <v/>
      </c>
      <c r="AE15" s="23" t="str">
        <f t="shared" si="12"/>
        <v/>
      </c>
      <c r="AF15" s="23" t="str">
        <f t="shared" si="12"/>
        <v/>
      </c>
      <c r="AG15" s="23" t="str">
        <f t="shared" si="12"/>
        <v/>
      </c>
      <c r="AH15" s="23" t="str">
        <f t="shared" si="12"/>
        <v/>
      </c>
      <c r="AI15" s="23" t="str">
        <f t="shared" si="12"/>
        <v/>
      </c>
      <c r="AJ15" s="23" t="str">
        <f t="shared" si="12"/>
        <v/>
      </c>
      <c r="AK15" s="23" t="str">
        <f t="shared" si="12"/>
        <v/>
      </c>
      <c r="AL15" s="23" t="str">
        <f t="shared" si="12"/>
        <v/>
      </c>
      <c r="AM15" s="23" t="str">
        <f t="shared" si="12"/>
        <v/>
      </c>
      <c r="AN15" s="23" t="str">
        <f t="shared" si="12"/>
        <v/>
      </c>
      <c r="AO15" s="23" t="str">
        <f t="shared" si="13"/>
        <v/>
      </c>
      <c r="AP15" s="23" t="str">
        <f t="shared" si="13"/>
        <v/>
      </c>
      <c r="AQ15" s="23" t="str">
        <f t="shared" si="13"/>
        <v/>
      </c>
      <c r="AR15" s="23" t="str">
        <f t="shared" si="13"/>
        <v/>
      </c>
      <c r="AS15" s="23" t="str">
        <f t="shared" si="13"/>
        <v/>
      </c>
      <c r="AT15" s="23" t="str">
        <f t="shared" si="13"/>
        <v/>
      </c>
      <c r="AU15" s="23" t="str">
        <f t="shared" si="13"/>
        <v/>
      </c>
      <c r="AV15" s="23" t="str">
        <f t="shared" si="13"/>
        <v/>
      </c>
      <c r="AW15" s="23" t="str">
        <f t="shared" si="13"/>
        <v/>
      </c>
      <c r="AX15" s="23" t="str">
        <f t="shared" si="13"/>
        <v/>
      </c>
      <c r="AY15" s="23" t="str">
        <f t="shared" si="14"/>
        <v/>
      </c>
      <c r="AZ15" s="23" t="str">
        <f t="shared" si="14"/>
        <v/>
      </c>
      <c r="BA15" s="23" t="str">
        <f t="shared" si="14"/>
        <v/>
      </c>
      <c r="BB15" s="23" t="str">
        <f t="shared" si="14"/>
        <v/>
      </c>
      <c r="BC15" s="23" t="str">
        <f t="shared" si="14"/>
        <v/>
      </c>
      <c r="BD15" s="23" t="str">
        <f t="shared" si="14"/>
        <v/>
      </c>
      <c r="BE15" s="23" t="str">
        <f t="shared" si="14"/>
        <v/>
      </c>
      <c r="BF15" s="23" t="str">
        <f t="shared" si="14"/>
        <v/>
      </c>
      <c r="BG15" s="23" t="str">
        <f t="shared" si="14"/>
        <v/>
      </c>
      <c r="BH15" s="23" t="str">
        <f t="shared" si="14"/>
        <v/>
      </c>
      <c r="BI15" s="23" t="str">
        <f t="shared" si="15"/>
        <v/>
      </c>
      <c r="BJ15" s="23" t="str">
        <f t="shared" si="15"/>
        <v/>
      </c>
      <c r="BK15" s="23" t="str">
        <f t="shared" si="15"/>
        <v/>
      </c>
      <c r="BL15" s="23" t="str">
        <f t="shared" si="15"/>
        <v/>
      </c>
      <c r="BM15" s="23" t="str">
        <f t="shared" si="15"/>
        <v/>
      </c>
      <c r="BN15" s="23" t="str">
        <f t="shared" si="15"/>
        <v/>
      </c>
      <c r="BO15" s="23" t="str">
        <f t="shared" si="15"/>
        <v/>
      </c>
      <c r="BP15" s="23" t="str">
        <f t="shared" si="15"/>
        <v/>
      </c>
      <c r="BQ15" s="23" t="str">
        <f t="shared" si="15"/>
        <v/>
      </c>
      <c r="BR15" s="23" t="str">
        <f t="shared" si="15"/>
        <v/>
      </c>
      <c r="BS15" s="23" t="str">
        <f t="shared" si="15"/>
        <v/>
      </c>
      <c r="BU15" s="29" t="s">
        <v>146</v>
      </c>
    </row>
    <row r="16" spans="1:75" ht="34" outlineLevel="1" x14ac:dyDescent="0.2">
      <c r="A16" s="6" t="s">
        <v>147</v>
      </c>
      <c r="B16" s="25" t="s">
        <v>148</v>
      </c>
      <c r="C16" s="6" t="s">
        <v>55</v>
      </c>
      <c r="D16" s="24" t="s">
        <v>121</v>
      </c>
      <c r="F16" s="6" t="s">
        <v>144</v>
      </c>
      <c r="G16" s="22">
        <v>2</v>
      </c>
      <c r="H16" s="22">
        <v>1</v>
      </c>
      <c r="I16" s="22">
        <f>MEDIAN($I$14,$J$14,$I$14+ROUND((G16-$G$14)/$H$14*($J$14-$I$14+1),0))</f>
        <v>2</v>
      </c>
      <c r="J16" s="22">
        <f>MEDIAN(I16,$J$14,$I$14+ROUND((G16+H16-$G$14)/$H$14*($J$14-$I$14+1),0)-1)</f>
        <v>2</v>
      </c>
      <c r="K16" s="23" t="str">
        <f t="shared" si="10"/>
        <v/>
      </c>
      <c r="L16" s="23">
        <f t="shared" si="10"/>
        <v>1</v>
      </c>
      <c r="M16" s="23" t="str">
        <f t="shared" si="10"/>
        <v/>
      </c>
      <c r="N16" s="23" t="str">
        <f t="shared" si="10"/>
        <v/>
      </c>
      <c r="O16" s="23" t="str">
        <f t="shared" si="10"/>
        <v/>
      </c>
      <c r="P16" s="23" t="str">
        <f t="shared" si="10"/>
        <v/>
      </c>
      <c r="Q16" s="23" t="str">
        <f t="shared" si="10"/>
        <v/>
      </c>
      <c r="R16" s="23" t="str">
        <f t="shared" si="10"/>
        <v/>
      </c>
      <c r="S16" s="23" t="str">
        <f t="shared" si="10"/>
        <v/>
      </c>
      <c r="T16" s="23" t="str">
        <f t="shared" si="10"/>
        <v/>
      </c>
      <c r="U16" s="23" t="str">
        <f t="shared" si="11"/>
        <v/>
      </c>
      <c r="V16" s="23" t="str">
        <f t="shared" si="11"/>
        <v/>
      </c>
      <c r="W16" s="23" t="str">
        <f t="shared" si="11"/>
        <v/>
      </c>
      <c r="X16" s="23" t="str">
        <f t="shared" si="11"/>
        <v/>
      </c>
      <c r="Y16" s="23" t="str">
        <f t="shared" si="11"/>
        <v/>
      </c>
      <c r="Z16" s="23" t="str">
        <f t="shared" si="11"/>
        <v/>
      </c>
      <c r="AA16" s="23" t="str">
        <f t="shared" si="11"/>
        <v/>
      </c>
      <c r="AB16" s="23" t="str">
        <f t="shared" si="11"/>
        <v/>
      </c>
      <c r="AC16" s="23" t="str">
        <f t="shared" si="11"/>
        <v/>
      </c>
      <c r="AD16" s="23" t="str">
        <f t="shared" si="11"/>
        <v/>
      </c>
      <c r="AE16" s="23" t="str">
        <f t="shared" si="12"/>
        <v/>
      </c>
      <c r="AF16" s="23" t="str">
        <f t="shared" si="12"/>
        <v/>
      </c>
      <c r="AG16" s="23" t="str">
        <f t="shared" si="12"/>
        <v/>
      </c>
      <c r="AH16" s="23" t="str">
        <f t="shared" si="12"/>
        <v/>
      </c>
      <c r="AI16" s="23" t="str">
        <f t="shared" si="12"/>
        <v/>
      </c>
      <c r="AJ16" s="23" t="str">
        <f t="shared" si="12"/>
        <v/>
      </c>
      <c r="AK16" s="23" t="str">
        <f t="shared" si="12"/>
        <v/>
      </c>
      <c r="AL16" s="23" t="str">
        <f t="shared" si="12"/>
        <v/>
      </c>
      <c r="AM16" s="23" t="str">
        <f t="shared" si="12"/>
        <v/>
      </c>
      <c r="AN16" s="23" t="str">
        <f t="shared" si="12"/>
        <v/>
      </c>
      <c r="AO16" s="23" t="str">
        <f t="shared" si="13"/>
        <v/>
      </c>
      <c r="AP16" s="23" t="str">
        <f t="shared" si="13"/>
        <v/>
      </c>
      <c r="AQ16" s="23" t="str">
        <f t="shared" si="13"/>
        <v/>
      </c>
      <c r="AR16" s="23" t="str">
        <f t="shared" si="13"/>
        <v/>
      </c>
      <c r="AS16" s="23" t="str">
        <f t="shared" si="13"/>
        <v/>
      </c>
      <c r="AT16" s="23" t="str">
        <f t="shared" si="13"/>
        <v/>
      </c>
      <c r="AU16" s="23" t="str">
        <f t="shared" si="13"/>
        <v/>
      </c>
      <c r="AV16" s="23" t="str">
        <f t="shared" si="13"/>
        <v/>
      </c>
      <c r="AW16" s="23" t="str">
        <f t="shared" si="13"/>
        <v/>
      </c>
      <c r="AX16" s="23" t="str">
        <f t="shared" si="13"/>
        <v/>
      </c>
      <c r="AY16" s="23" t="str">
        <f t="shared" si="14"/>
        <v/>
      </c>
      <c r="AZ16" s="23" t="str">
        <f t="shared" si="14"/>
        <v/>
      </c>
      <c r="BA16" s="23" t="str">
        <f t="shared" si="14"/>
        <v/>
      </c>
      <c r="BB16" s="23" t="str">
        <f t="shared" si="14"/>
        <v/>
      </c>
      <c r="BC16" s="23" t="str">
        <f t="shared" si="14"/>
        <v/>
      </c>
      <c r="BD16" s="23" t="str">
        <f t="shared" si="14"/>
        <v/>
      </c>
      <c r="BE16" s="23" t="str">
        <f t="shared" si="14"/>
        <v/>
      </c>
      <c r="BF16" s="23" t="str">
        <f t="shared" si="14"/>
        <v/>
      </c>
      <c r="BG16" s="23" t="str">
        <f t="shared" si="14"/>
        <v/>
      </c>
      <c r="BH16" s="23" t="str">
        <f t="shared" si="14"/>
        <v/>
      </c>
      <c r="BI16" s="23" t="str">
        <f t="shared" si="15"/>
        <v/>
      </c>
      <c r="BJ16" s="23" t="str">
        <f t="shared" si="15"/>
        <v/>
      </c>
      <c r="BK16" s="23" t="str">
        <f t="shared" si="15"/>
        <v/>
      </c>
      <c r="BL16" s="23" t="str">
        <f t="shared" si="15"/>
        <v/>
      </c>
      <c r="BM16" s="23" t="str">
        <f t="shared" si="15"/>
        <v/>
      </c>
      <c r="BN16" s="23" t="str">
        <f t="shared" si="15"/>
        <v/>
      </c>
      <c r="BO16" s="23" t="str">
        <f t="shared" si="15"/>
        <v/>
      </c>
      <c r="BP16" s="23" t="str">
        <f t="shared" si="15"/>
        <v/>
      </c>
      <c r="BQ16" s="23" t="str">
        <f t="shared" si="15"/>
        <v/>
      </c>
      <c r="BR16" s="23" t="str">
        <f t="shared" si="15"/>
        <v/>
      </c>
      <c r="BS16" s="23" t="str">
        <f t="shared" si="15"/>
        <v/>
      </c>
      <c r="BU16" s="29" t="s">
        <v>149</v>
      </c>
    </row>
    <row r="17" spans="1:73" ht="17" outlineLevel="1" x14ac:dyDescent="0.2">
      <c r="A17" s="6" t="s">
        <v>150</v>
      </c>
      <c r="B17" s="25" t="s">
        <v>151</v>
      </c>
      <c r="C17" s="6" t="s">
        <v>55</v>
      </c>
      <c r="D17" s="24" t="s">
        <v>128</v>
      </c>
      <c r="F17" s="6" t="s">
        <v>147</v>
      </c>
      <c r="G17" s="22">
        <v>3</v>
      </c>
      <c r="H17" s="22">
        <v>2</v>
      </c>
      <c r="I17" s="22">
        <f>MEDIAN($I$14,$J$14,$I$14+ROUND((G17-$G$14)/$H$14*($J$14-$I$14+1),0))</f>
        <v>3</v>
      </c>
      <c r="J17" s="22">
        <f>MEDIAN(I17,$J$14,$I$14+ROUND((G17+H17-$G$14)/$H$14*($J$14-$I$14+1),0)-1)</f>
        <v>4</v>
      </c>
      <c r="K17" s="23" t="str">
        <f t="shared" si="10"/>
        <v/>
      </c>
      <c r="L17" s="23" t="str">
        <f t="shared" si="10"/>
        <v/>
      </c>
      <c r="M17" s="23">
        <f t="shared" si="10"/>
        <v>1</v>
      </c>
      <c r="N17" s="23">
        <f t="shared" si="10"/>
        <v>1</v>
      </c>
      <c r="O17" s="23" t="str">
        <f t="shared" si="10"/>
        <v/>
      </c>
      <c r="P17" s="23" t="str">
        <f t="shared" si="10"/>
        <v/>
      </c>
      <c r="Q17" s="23" t="str">
        <f t="shared" si="10"/>
        <v/>
      </c>
      <c r="R17" s="23" t="str">
        <f t="shared" si="10"/>
        <v/>
      </c>
      <c r="S17" s="23" t="str">
        <f t="shared" si="10"/>
        <v/>
      </c>
      <c r="T17" s="23" t="str">
        <f t="shared" si="10"/>
        <v/>
      </c>
      <c r="U17" s="23" t="str">
        <f t="shared" si="11"/>
        <v/>
      </c>
      <c r="V17" s="23" t="str">
        <f t="shared" si="11"/>
        <v/>
      </c>
      <c r="W17" s="23" t="str">
        <f t="shared" si="11"/>
        <v/>
      </c>
      <c r="X17" s="23" t="str">
        <f t="shared" si="11"/>
        <v/>
      </c>
      <c r="Y17" s="23" t="str">
        <f t="shared" si="11"/>
        <v/>
      </c>
      <c r="Z17" s="23" t="str">
        <f t="shared" si="11"/>
        <v/>
      </c>
      <c r="AA17" s="23" t="str">
        <f t="shared" si="11"/>
        <v/>
      </c>
      <c r="AB17" s="23" t="str">
        <f t="shared" si="11"/>
        <v/>
      </c>
      <c r="AC17" s="23" t="str">
        <f t="shared" si="11"/>
        <v/>
      </c>
      <c r="AD17" s="23" t="str">
        <f t="shared" si="11"/>
        <v/>
      </c>
      <c r="AE17" s="23" t="str">
        <f t="shared" si="12"/>
        <v/>
      </c>
      <c r="AF17" s="23" t="str">
        <f t="shared" si="12"/>
        <v/>
      </c>
      <c r="AG17" s="23" t="str">
        <f t="shared" si="12"/>
        <v/>
      </c>
      <c r="AH17" s="23" t="str">
        <f t="shared" si="12"/>
        <v/>
      </c>
      <c r="AI17" s="23" t="str">
        <f t="shared" si="12"/>
        <v/>
      </c>
      <c r="AJ17" s="23" t="str">
        <f t="shared" si="12"/>
        <v/>
      </c>
      <c r="AK17" s="23" t="str">
        <f t="shared" si="12"/>
        <v/>
      </c>
      <c r="AL17" s="23" t="str">
        <f t="shared" si="12"/>
        <v/>
      </c>
      <c r="AM17" s="23" t="str">
        <f t="shared" si="12"/>
        <v/>
      </c>
      <c r="AN17" s="23" t="str">
        <f t="shared" si="12"/>
        <v/>
      </c>
      <c r="AO17" s="23" t="str">
        <f t="shared" si="13"/>
        <v/>
      </c>
      <c r="AP17" s="23" t="str">
        <f t="shared" si="13"/>
        <v/>
      </c>
      <c r="AQ17" s="23" t="str">
        <f t="shared" si="13"/>
        <v/>
      </c>
      <c r="AR17" s="23" t="str">
        <f t="shared" si="13"/>
        <v/>
      </c>
      <c r="AS17" s="23" t="str">
        <f t="shared" si="13"/>
        <v/>
      </c>
      <c r="AT17" s="23" t="str">
        <f t="shared" si="13"/>
        <v/>
      </c>
      <c r="AU17" s="23" t="str">
        <f t="shared" si="13"/>
        <v/>
      </c>
      <c r="AV17" s="23" t="str">
        <f t="shared" si="13"/>
        <v/>
      </c>
      <c r="AW17" s="23" t="str">
        <f t="shared" si="13"/>
        <v/>
      </c>
      <c r="AX17" s="23" t="str">
        <f t="shared" si="13"/>
        <v/>
      </c>
      <c r="AY17" s="23" t="str">
        <f t="shared" si="14"/>
        <v/>
      </c>
      <c r="AZ17" s="23" t="str">
        <f t="shared" si="14"/>
        <v/>
      </c>
      <c r="BA17" s="23" t="str">
        <f t="shared" si="14"/>
        <v/>
      </c>
      <c r="BB17" s="23" t="str">
        <f t="shared" si="14"/>
        <v/>
      </c>
      <c r="BC17" s="23" t="str">
        <f t="shared" si="14"/>
        <v/>
      </c>
      <c r="BD17" s="23" t="str">
        <f t="shared" si="14"/>
        <v/>
      </c>
      <c r="BE17" s="23" t="str">
        <f t="shared" si="14"/>
        <v/>
      </c>
      <c r="BF17" s="23" t="str">
        <f t="shared" si="14"/>
        <v/>
      </c>
      <c r="BG17" s="23" t="str">
        <f t="shared" si="14"/>
        <v/>
      </c>
      <c r="BH17" s="23" t="str">
        <f t="shared" si="14"/>
        <v/>
      </c>
      <c r="BI17" s="23" t="str">
        <f t="shared" si="15"/>
        <v/>
      </c>
      <c r="BJ17" s="23" t="str">
        <f t="shared" si="15"/>
        <v/>
      </c>
      <c r="BK17" s="23" t="str">
        <f t="shared" si="15"/>
        <v/>
      </c>
      <c r="BL17" s="23" t="str">
        <f t="shared" si="15"/>
        <v/>
      </c>
      <c r="BM17" s="23" t="str">
        <f t="shared" si="15"/>
        <v/>
      </c>
      <c r="BN17" s="23" t="str">
        <f t="shared" si="15"/>
        <v/>
      </c>
      <c r="BO17" s="23" t="str">
        <f t="shared" si="15"/>
        <v/>
      </c>
      <c r="BP17" s="23" t="str">
        <f t="shared" si="15"/>
        <v/>
      </c>
      <c r="BQ17" s="23" t="str">
        <f t="shared" si="15"/>
        <v/>
      </c>
      <c r="BR17" s="23" t="str">
        <f t="shared" si="15"/>
        <v/>
      </c>
      <c r="BS17" s="23" t="str">
        <f t="shared" si="15"/>
        <v/>
      </c>
      <c r="BU17" s="29" t="s">
        <v>152</v>
      </c>
    </row>
    <row r="18" spans="1:73" ht="34" outlineLevel="1" x14ac:dyDescent="0.2">
      <c r="A18" s="6" t="s">
        <v>153</v>
      </c>
      <c r="B18" s="25" t="s">
        <v>154</v>
      </c>
      <c r="C18" s="6" t="s">
        <v>55</v>
      </c>
      <c r="D18" s="24" t="s">
        <v>121</v>
      </c>
      <c r="F18" s="6" t="s">
        <v>150</v>
      </c>
      <c r="G18" s="22">
        <v>4</v>
      </c>
      <c r="H18" s="22">
        <v>2</v>
      </c>
      <c r="I18" s="22">
        <f>MEDIAN($I$14,$J$14,$I$14+ROUND((G18-$G$14)/$H$14*($J$14-$I$14+1),0))</f>
        <v>4</v>
      </c>
      <c r="J18" s="22">
        <f>MEDIAN(I18,$J$14,$I$14+ROUND((G18+H18-$G$14)/$H$14*($J$14-$I$14+1),0)-1)</f>
        <v>5</v>
      </c>
      <c r="K18" s="23" t="str">
        <f t="shared" si="10"/>
        <v/>
      </c>
      <c r="L18" s="23" t="str">
        <f t="shared" si="10"/>
        <v/>
      </c>
      <c r="M18" s="23" t="str">
        <f t="shared" si="10"/>
        <v/>
      </c>
      <c r="N18" s="23">
        <f t="shared" si="10"/>
        <v>1</v>
      </c>
      <c r="O18" s="23">
        <f t="shared" si="10"/>
        <v>1</v>
      </c>
      <c r="P18" s="23" t="str">
        <f t="shared" si="10"/>
        <v/>
      </c>
      <c r="Q18" s="23" t="str">
        <f t="shared" si="10"/>
        <v/>
      </c>
      <c r="R18" s="23" t="str">
        <f t="shared" si="10"/>
        <v/>
      </c>
      <c r="S18" s="23" t="str">
        <f t="shared" si="10"/>
        <v/>
      </c>
      <c r="T18" s="23" t="str">
        <f t="shared" si="10"/>
        <v/>
      </c>
      <c r="U18" s="23" t="str">
        <f t="shared" si="11"/>
        <v/>
      </c>
      <c r="V18" s="23" t="str">
        <f t="shared" si="11"/>
        <v/>
      </c>
      <c r="W18" s="23" t="str">
        <f t="shared" si="11"/>
        <v/>
      </c>
      <c r="X18" s="23" t="str">
        <f t="shared" si="11"/>
        <v/>
      </c>
      <c r="Y18" s="23" t="str">
        <f t="shared" si="11"/>
        <v/>
      </c>
      <c r="Z18" s="23" t="str">
        <f t="shared" si="11"/>
        <v/>
      </c>
      <c r="AA18" s="23" t="str">
        <f t="shared" si="11"/>
        <v/>
      </c>
      <c r="AB18" s="23" t="str">
        <f t="shared" si="11"/>
        <v/>
      </c>
      <c r="AC18" s="23" t="str">
        <f t="shared" si="11"/>
        <v/>
      </c>
      <c r="AD18" s="23" t="str">
        <f t="shared" si="11"/>
        <v/>
      </c>
      <c r="AE18" s="23" t="str">
        <f t="shared" si="12"/>
        <v/>
      </c>
      <c r="AF18" s="23" t="str">
        <f t="shared" si="12"/>
        <v/>
      </c>
      <c r="AG18" s="23" t="str">
        <f t="shared" si="12"/>
        <v/>
      </c>
      <c r="AH18" s="23" t="str">
        <f t="shared" si="12"/>
        <v/>
      </c>
      <c r="AI18" s="23" t="str">
        <f t="shared" si="12"/>
        <v/>
      </c>
      <c r="AJ18" s="23" t="str">
        <f t="shared" si="12"/>
        <v/>
      </c>
      <c r="AK18" s="23" t="str">
        <f t="shared" si="12"/>
        <v/>
      </c>
      <c r="AL18" s="23" t="str">
        <f t="shared" si="12"/>
        <v/>
      </c>
      <c r="AM18" s="23" t="str">
        <f t="shared" si="12"/>
        <v/>
      </c>
      <c r="AN18" s="23" t="str">
        <f t="shared" si="12"/>
        <v/>
      </c>
      <c r="AO18" s="23" t="str">
        <f t="shared" si="13"/>
        <v/>
      </c>
      <c r="AP18" s="23" t="str">
        <f t="shared" si="13"/>
        <v/>
      </c>
      <c r="AQ18" s="23" t="str">
        <f t="shared" si="13"/>
        <v/>
      </c>
      <c r="AR18" s="23" t="str">
        <f t="shared" si="13"/>
        <v/>
      </c>
      <c r="AS18" s="23" t="str">
        <f t="shared" si="13"/>
        <v/>
      </c>
      <c r="AT18" s="23" t="str">
        <f t="shared" si="13"/>
        <v/>
      </c>
      <c r="AU18" s="23" t="str">
        <f t="shared" si="13"/>
        <v/>
      </c>
      <c r="AV18" s="23" t="str">
        <f t="shared" si="13"/>
        <v/>
      </c>
      <c r="AW18" s="23" t="str">
        <f t="shared" si="13"/>
        <v/>
      </c>
      <c r="AX18" s="23" t="str">
        <f t="shared" si="13"/>
        <v/>
      </c>
      <c r="AY18" s="23" t="str">
        <f t="shared" si="14"/>
        <v/>
      </c>
      <c r="AZ18" s="23" t="str">
        <f t="shared" si="14"/>
        <v/>
      </c>
      <c r="BA18" s="23" t="str">
        <f t="shared" si="14"/>
        <v/>
      </c>
      <c r="BB18" s="23" t="str">
        <f t="shared" si="14"/>
        <v/>
      </c>
      <c r="BC18" s="23" t="str">
        <f t="shared" si="14"/>
        <v/>
      </c>
      <c r="BD18" s="23" t="str">
        <f t="shared" si="14"/>
        <v/>
      </c>
      <c r="BE18" s="23" t="str">
        <f t="shared" si="14"/>
        <v/>
      </c>
      <c r="BF18" s="23" t="str">
        <f t="shared" si="14"/>
        <v/>
      </c>
      <c r="BG18" s="23" t="str">
        <f t="shared" si="14"/>
        <v/>
      </c>
      <c r="BH18" s="23" t="str">
        <f t="shared" si="14"/>
        <v/>
      </c>
      <c r="BI18" s="23" t="str">
        <f t="shared" si="15"/>
        <v/>
      </c>
      <c r="BJ18" s="23" t="str">
        <f t="shared" si="15"/>
        <v/>
      </c>
      <c r="BK18" s="23" t="str">
        <f t="shared" si="15"/>
        <v/>
      </c>
      <c r="BL18" s="23" t="str">
        <f t="shared" si="15"/>
        <v/>
      </c>
      <c r="BM18" s="23" t="str">
        <f t="shared" si="15"/>
        <v/>
      </c>
      <c r="BN18" s="23" t="str">
        <f t="shared" si="15"/>
        <v/>
      </c>
      <c r="BO18" s="23" t="str">
        <f t="shared" si="15"/>
        <v/>
      </c>
      <c r="BP18" s="23" t="str">
        <f t="shared" si="15"/>
        <v/>
      </c>
      <c r="BQ18" s="23" t="str">
        <f t="shared" si="15"/>
        <v/>
      </c>
      <c r="BR18" s="23" t="str">
        <f t="shared" si="15"/>
        <v/>
      </c>
      <c r="BS18" s="23" t="str">
        <f t="shared" si="15"/>
        <v/>
      </c>
      <c r="BU18" s="29" t="s">
        <v>155</v>
      </c>
    </row>
    <row r="19" spans="1:73" x14ac:dyDescent="0.2">
      <c r="BU19" s="30"/>
    </row>
    <row r="20" spans="1:73" ht="17" x14ac:dyDescent="0.2">
      <c r="A20" s="19" t="s">
        <v>156</v>
      </c>
      <c r="B20" s="20" t="s">
        <v>157</v>
      </c>
      <c r="C20" s="19" t="s">
        <v>55</v>
      </c>
      <c r="D20" s="21" t="s">
        <v>117</v>
      </c>
      <c r="E20" s="19" t="s">
        <v>79</v>
      </c>
      <c r="F20" s="19"/>
      <c r="G20" s="22">
        <v>1</v>
      </c>
      <c r="H20" s="22">
        <v>5</v>
      </c>
      <c r="I20" s="22">
        <f>MIN(61,IF(G20&lt;=29,ROUND((G20-1)*(29+SlipWeeks)/29,0)+1,G20+SlipWeeks))</f>
        <v>1</v>
      </c>
      <c r="J20" s="22">
        <f>MIN(61,IF(G20+H20-1&lt;=29,MAX(ROUND((G20+H20-1)*(29+SlipWeeks)/29,0),I20),G20+H20-1+SlipWeeks))</f>
        <v>5</v>
      </c>
      <c r="K20" s="23">
        <f t="shared" ref="K20:T26" si="16">IF(AND(K$4&gt;=$I20,K$4&lt;=$J20),1,"")</f>
        <v>1</v>
      </c>
      <c r="L20" s="23">
        <f t="shared" si="16"/>
        <v>1</v>
      </c>
      <c r="M20" s="23">
        <f t="shared" si="16"/>
        <v>1</v>
      </c>
      <c r="N20" s="23">
        <f t="shared" si="16"/>
        <v>1</v>
      </c>
      <c r="O20" s="23">
        <f t="shared" si="16"/>
        <v>1</v>
      </c>
      <c r="P20" s="23" t="str">
        <f t="shared" si="16"/>
        <v/>
      </c>
      <c r="Q20" s="23" t="str">
        <f t="shared" si="16"/>
        <v/>
      </c>
      <c r="R20" s="23" t="str">
        <f t="shared" si="16"/>
        <v/>
      </c>
      <c r="S20" s="23" t="str">
        <f t="shared" si="16"/>
        <v/>
      </c>
      <c r="T20" s="23" t="str">
        <f t="shared" si="16"/>
        <v/>
      </c>
      <c r="U20" s="23" t="str">
        <f t="shared" ref="U20:AD26" si="17">IF(AND(U$4&gt;=$I20,U$4&lt;=$J20),1,"")</f>
        <v/>
      </c>
      <c r="V20" s="23" t="str">
        <f t="shared" si="17"/>
        <v/>
      </c>
      <c r="W20" s="23" t="str">
        <f t="shared" si="17"/>
        <v/>
      </c>
      <c r="X20" s="23" t="str">
        <f t="shared" si="17"/>
        <v/>
      </c>
      <c r="Y20" s="23" t="str">
        <f t="shared" si="17"/>
        <v/>
      </c>
      <c r="Z20" s="23" t="str">
        <f t="shared" si="17"/>
        <v/>
      </c>
      <c r="AA20" s="23" t="str">
        <f t="shared" si="17"/>
        <v/>
      </c>
      <c r="AB20" s="23" t="str">
        <f t="shared" si="17"/>
        <v/>
      </c>
      <c r="AC20" s="23" t="str">
        <f t="shared" si="17"/>
        <v/>
      </c>
      <c r="AD20" s="23" t="str">
        <f t="shared" si="17"/>
        <v/>
      </c>
      <c r="AE20" s="23" t="str">
        <f t="shared" ref="AE20:AN26" si="18">IF(AND(AE$4&gt;=$I20,AE$4&lt;=$J20),1,"")</f>
        <v/>
      </c>
      <c r="AF20" s="23" t="str">
        <f t="shared" si="18"/>
        <v/>
      </c>
      <c r="AG20" s="23" t="str">
        <f t="shared" si="18"/>
        <v/>
      </c>
      <c r="AH20" s="23" t="str">
        <f t="shared" si="18"/>
        <v/>
      </c>
      <c r="AI20" s="23" t="str">
        <f t="shared" si="18"/>
        <v/>
      </c>
      <c r="AJ20" s="23" t="str">
        <f t="shared" si="18"/>
        <v/>
      </c>
      <c r="AK20" s="23" t="str">
        <f t="shared" si="18"/>
        <v/>
      </c>
      <c r="AL20" s="23" t="str">
        <f t="shared" si="18"/>
        <v/>
      </c>
      <c r="AM20" s="23" t="str">
        <f t="shared" si="18"/>
        <v/>
      </c>
      <c r="AN20" s="23" t="str">
        <f t="shared" si="18"/>
        <v/>
      </c>
      <c r="AO20" s="23" t="str">
        <f t="shared" ref="AO20:AX26" si="19">IF(AND(AO$4&gt;=$I20,AO$4&lt;=$J20),1,"")</f>
        <v/>
      </c>
      <c r="AP20" s="23" t="str">
        <f t="shared" si="19"/>
        <v/>
      </c>
      <c r="AQ20" s="23" t="str">
        <f t="shared" si="19"/>
        <v/>
      </c>
      <c r="AR20" s="23" t="str">
        <f t="shared" si="19"/>
        <v/>
      </c>
      <c r="AS20" s="23" t="str">
        <f t="shared" si="19"/>
        <v/>
      </c>
      <c r="AT20" s="23" t="str">
        <f t="shared" si="19"/>
        <v/>
      </c>
      <c r="AU20" s="23" t="str">
        <f t="shared" si="19"/>
        <v/>
      </c>
      <c r="AV20" s="23" t="str">
        <f t="shared" si="19"/>
        <v/>
      </c>
      <c r="AW20" s="23" t="str">
        <f t="shared" si="19"/>
        <v/>
      </c>
      <c r="AX20" s="23" t="str">
        <f t="shared" si="19"/>
        <v/>
      </c>
      <c r="AY20" s="23" t="str">
        <f t="shared" ref="AY20:BH26" si="20">IF(AND(AY$4&gt;=$I20,AY$4&lt;=$J20),1,"")</f>
        <v/>
      </c>
      <c r="AZ20" s="23" t="str">
        <f t="shared" si="20"/>
        <v/>
      </c>
      <c r="BA20" s="23" t="str">
        <f t="shared" si="20"/>
        <v/>
      </c>
      <c r="BB20" s="23" t="str">
        <f t="shared" si="20"/>
        <v/>
      </c>
      <c r="BC20" s="23" t="str">
        <f t="shared" si="20"/>
        <v/>
      </c>
      <c r="BD20" s="23" t="str">
        <f t="shared" si="20"/>
        <v/>
      </c>
      <c r="BE20" s="23" t="str">
        <f t="shared" si="20"/>
        <v/>
      </c>
      <c r="BF20" s="23" t="str">
        <f t="shared" si="20"/>
        <v/>
      </c>
      <c r="BG20" s="23" t="str">
        <f t="shared" si="20"/>
        <v/>
      </c>
      <c r="BH20" s="23" t="str">
        <f t="shared" si="20"/>
        <v/>
      </c>
      <c r="BI20" s="23" t="str">
        <f t="shared" ref="BI20:BS26" si="21">IF(AND(BI$4&gt;=$I20,BI$4&lt;=$J20),1,"")</f>
        <v/>
      </c>
      <c r="BJ20" s="23" t="str">
        <f t="shared" si="21"/>
        <v/>
      </c>
      <c r="BK20" s="23" t="str">
        <f t="shared" si="21"/>
        <v/>
      </c>
      <c r="BL20" s="23" t="str">
        <f t="shared" si="21"/>
        <v/>
      </c>
      <c r="BM20" s="23" t="str">
        <f t="shared" si="21"/>
        <v/>
      </c>
      <c r="BN20" s="23" t="str">
        <f t="shared" si="21"/>
        <v/>
      </c>
      <c r="BO20" s="23" t="str">
        <f t="shared" si="21"/>
        <v/>
      </c>
      <c r="BP20" s="23" t="str">
        <f t="shared" si="21"/>
        <v/>
      </c>
      <c r="BQ20" s="23" t="str">
        <f t="shared" si="21"/>
        <v/>
      </c>
      <c r="BR20" s="23" t="str">
        <f t="shared" si="21"/>
        <v/>
      </c>
      <c r="BS20" s="23" t="str">
        <f t="shared" si="21"/>
        <v/>
      </c>
      <c r="BT20" s="24" t="str">
        <f>IF(IF(G20+H20-1&lt;=29,MAX(ROUND((G20+H20-1)*(29+SlipWeeks)/29,0),$I20),G20+H20-1+SlipWeeks)&gt;61,"▶ clipped","")</f>
        <v/>
      </c>
      <c r="BU20" s="29" t="s">
        <v>158</v>
      </c>
    </row>
    <row r="21" spans="1:73" ht="34" outlineLevel="1" x14ac:dyDescent="0.2">
      <c r="A21" s="6" t="s">
        <v>159</v>
      </c>
      <c r="B21" s="25" t="s">
        <v>160</v>
      </c>
      <c r="C21" s="6" t="s">
        <v>55</v>
      </c>
      <c r="D21" s="24" t="s">
        <v>128</v>
      </c>
      <c r="F21" s="6"/>
      <c r="G21" s="22">
        <v>1</v>
      </c>
      <c r="H21" s="22">
        <v>1</v>
      </c>
      <c r="I21" s="22">
        <f t="shared" ref="I21:I26" si="22">MEDIAN($I$20,$J$20,$I$20+ROUND((G21-$G$20)/$H$20*($J$20-$I$20+1),0))</f>
        <v>1</v>
      </c>
      <c r="J21" s="22">
        <f t="shared" ref="J21:J26" si="23">MEDIAN(I21,$J$20,$I$20+ROUND((G21+H21-$G$20)/$H$20*($J$20-$I$20+1),0)-1)</f>
        <v>1</v>
      </c>
      <c r="K21" s="23">
        <f t="shared" si="16"/>
        <v>1</v>
      </c>
      <c r="L21" s="23" t="str">
        <f t="shared" si="16"/>
        <v/>
      </c>
      <c r="M21" s="23" t="str">
        <f t="shared" si="16"/>
        <v/>
      </c>
      <c r="N21" s="23" t="str">
        <f t="shared" si="16"/>
        <v/>
      </c>
      <c r="O21" s="23" t="str">
        <f t="shared" si="16"/>
        <v/>
      </c>
      <c r="P21" s="23" t="str">
        <f t="shared" si="16"/>
        <v/>
      </c>
      <c r="Q21" s="23" t="str">
        <f t="shared" si="16"/>
        <v/>
      </c>
      <c r="R21" s="23" t="str">
        <f t="shared" si="16"/>
        <v/>
      </c>
      <c r="S21" s="23" t="str">
        <f t="shared" si="16"/>
        <v/>
      </c>
      <c r="T21" s="23" t="str">
        <f t="shared" si="16"/>
        <v/>
      </c>
      <c r="U21" s="23" t="str">
        <f t="shared" si="17"/>
        <v/>
      </c>
      <c r="V21" s="23" t="str">
        <f t="shared" si="17"/>
        <v/>
      </c>
      <c r="W21" s="23" t="str">
        <f t="shared" si="17"/>
        <v/>
      </c>
      <c r="X21" s="23" t="str">
        <f t="shared" si="17"/>
        <v/>
      </c>
      <c r="Y21" s="23" t="str">
        <f t="shared" si="17"/>
        <v/>
      </c>
      <c r="Z21" s="23" t="str">
        <f t="shared" si="17"/>
        <v/>
      </c>
      <c r="AA21" s="23" t="str">
        <f t="shared" si="17"/>
        <v/>
      </c>
      <c r="AB21" s="23" t="str">
        <f t="shared" si="17"/>
        <v/>
      </c>
      <c r="AC21" s="23" t="str">
        <f t="shared" si="17"/>
        <v/>
      </c>
      <c r="AD21" s="23" t="str">
        <f t="shared" si="17"/>
        <v/>
      </c>
      <c r="AE21" s="23" t="str">
        <f t="shared" si="18"/>
        <v/>
      </c>
      <c r="AF21" s="23" t="str">
        <f t="shared" si="18"/>
        <v/>
      </c>
      <c r="AG21" s="23" t="str">
        <f t="shared" si="18"/>
        <v/>
      </c>
      <c r="AH21" s="23" t="str">
        <f t="shared" si="18"/>
        <v/>
      </c>
      <c r="AI21" s="23" t="str">
        <f t="shared" si="18"/>
        <v/>
      </c>
      <c r="AJ21" s="23" t="str">
        <f t="shared" si="18"/>
        <v/>
      </c>
      <c r="AK21" s="23" t="str">
        <f t="shared" si="18"/>
        <v/>
      </c>
      <c r="AL21" s="23" t="str">
        <f t="shared" si="18"/>
        <v/>
      </c>
      <c r="AM21" s="23" t="str">
        <f t="shared" si="18"/>
        <v/>
      </c>
      <c r="AN21" s="23" t="str">
        <f t="shared" si="18"/>
        <v/>
      </c>
      <c r="AO21" s="23" t="str">
        <f t="shared" si="19"/>
        <v/>
      </c>
      <c r="AP21" s="23" t="str">
        <f t="shared" si="19"/>
        <v/>
      </c>
      <c r="AQ21" s="23" t="str">
        <f t="shared" si="19"/>
        <v/>
      </c>
      <c r="AR21" s="23" t="str">
        <f t="shared" si="19"/>
        <v/>
      </c>
      <c r="AS21" s="23" t="str">
        <f t="shared" si="19"/>
        <v/>
      </c>
      <c r="AT21" s="23" t="str">
        <f t="shared" si="19"/>
        <v/>
      </c>
      <c r="AU21" s="23" t="str">
        <f t="shared" si="19"/>
        <v/>
      </c>
      <c r="AV21" s="23" t="str">
        <f t="shared" si="19"/>
        <v/>
      </c>
      <c r="AW21" s="23" t="str">
        <f t="shared" si="19"/>
        <v/>
      </c>
      <c r="AX21" s="23" t="str">
        <f t="shared" si="19"/>
        <v/>
      </c>
      <c r="AY21" s="23" t="str">
        <f t="shared" si="20"/>
        <v/>
      </c>
      <c r="AZ21" s="23" t="str">
        <f t="shared" si="20"/>
        <v/>
      </c>
      <c r="BA21" s="23" t="str">
        <f t="shared" si="20"/>
        <v/>
      </c>
      <c r="BB21" s="23" t="str">
        <f t="shared" si="20"/>
        <v/>
      </c>
      <c r="BC21" s="23" t="str">
        <f t="shared" si="20"/>
        <v/>
      </c>
      <c r="BD21" s="23" t="str">
        <f t="shared" si="20"/>
        <v/>
      </c>
      <c r="BE21" s="23" t="str">
        <f t="shared" si="20"/>
        <v/>
      </c>
      <c r="BF21" s="23" t="str">
        <f t="shared" si="20"/>
        <v/>
      </c>
      <c r="BG21" s="23" t="str">
        <f t="shared" si="20"/>
        <v/>
      </c>
      <c r="BH21" s="23" t="str">
        <f t="shared" si="20"/>
        <v/>
      </c>
      <c r="BI21" s="23" t="str">
        <f t="shared" si="21"/>
        <v/>
      </c>
      <c r="BJ21" s="23" t="str">
        <f t="shared" si="21"/>
        <v/>
      </c>
      <c r="BK21" s="23" t="str">
        <f t="shared" si="21"/>
        <v/>
      </c>
      <c r="BL21" s="23" t="str">
        <f t="shared" si="21"/>
        <v/>
      </c>
      <c r="BM21" s="23" t="str">
        <f t="shared" si="21"/>
        <v/>
      </c>
      <c r="BN21" s="23" t="str">
        <f t="shared" si="21"/>
        <v/>
      </c>
      <c r="BO21" s="23" t="str">
        <f t="shared" si="21"/>
        <v/>
      </c>
      <c r="BP21" s="23" t="str">
        <f t="shared" si="21"/>
        <v/>
      </c>
      <c r="BQ21" s="23" t="str">
        <f t="shared" si="21"/>
        <v/>
      </c>
      <c r="BR21" s="23" t="str">
        <f t="shared" si="21"/>
        <v/>
      </c>
      <c r="BS21" s="23" t="str">
        <f t="shared" si="21"/>
        <v/>
      </c>
      <c r="BU21" s="29" t="s">
        <v>161</v>
      </c>
    </row>
    <row r="22" spans="1:73" ht="17" outlineLevel="1" x14ac:dyDescent="0.2">
      <c r="A22" s="6" t="s">
        <v>162</v>
      </c>
      <c r="B22" s="25" t="s">
        <v>163</v>
      </c>
      <c r="C22" s="6" t="s">
        <v>55</v>
      </c>
      <c r="D22" s="24" t="s">
        <v>121</v>
      </c>
      <c r="F22" s="6" t="s">
        <v>159</v>
      </c>
      <c r="G22" s="22">
        <v>2</v>
      </c>
      <c r="H22" s="22">
        <v>1</v>
      </c>
      <c r="I22" s="22">
        <f t="shared" si="22"/>
        <v>2</v>
      </c>
      <c r="J22" s="22">
        <f t="shared" si="23"/>
        <v>2</v>
      </c>
      <c r="K22" s="23" t="str">
        <f t="shared" si="16"/>
        <v/>
      </c>
      <c r="L22" s="23">
        <f t="shared" si="16"/>
        <v>1</v>
      </c>
      <c r="M22" s="23" t="str">
        <f t="shared" si="16"/>
        <v/>
      </c>
      <c r="N22" s="23" t="str">
        <f t="shared" si="16"/>
        <v/>
      </c>
      <c r="O22" s="23" t="str">
        <f t="shared" si="16"/>
        <v/>
      </c>
      <c r="P22" s="23" t="str">
        <f t="shared" si="16"/>
        <v/>
      </c>
      <c r="Q22" s="23" t="str">
        <f t="shared" si="16"/>
        <v/>
      </c>
      <c r="R22" s="23" t="str">
        <f t="shared" si="16"/>
        <v/>
      </c>
      <c r="S22" s="23" t="str">
        <f t="shared" si="16"/>
        <v/>
      </c>
      <c r="T22" s="23" t="str">
        <f t="shared" si="16"/>
        <v/>
      </c>
      <c r="U22" s="23" t="str">
        <f t="shared" si="17"/>
        <v/>
      </c>
      <c r="V22" s="23" t="str">
        <f t="shared" si="17"/>
        <v/>
      </c>
      <c r="W22" s="23" t="str">
        <f t="shared" si="17"/>
        <v/>
      </c>
      <c r="X22" s="23" t="str">
        <f t="shared" si="17"/>
        <v/>
      </c>
      <c r="Y22" s="23" t="str">
        <f t="shared" si="17"/>
        <v/>
      </c>
      <c r="Z22" s="23" t="str">
        <f t="shared" si="17"/>
        <v/>
      </c>
      <c r="AA22" s="23" t="str">
        <f t="shared" si="17"/>
        <v/>
      </c>
      <c r="AB22" s="23" t="str">
        <f t="shared" si="17"/>
        <v/>
      </c>
      <c r="AC22" s="23" t="str">
        <f t="shared" si="17"/>
        <v/>
      </c>
      <c r="AD22" s="23" t="str">
        <f t="shared" si="17"/>
        <v/>
      </c>
      <c r="AE22" s="23" t="str">
        <f t="shared" si="18"/>
        <v/>
      </c>
      <c r="AF22" s="23" t="str">
        <f t="shared" si="18"/>
        <v/>
      </c>
      <c r="AG22" s="23" t="str">
        <f t="shared" si="18"/>
        <v/>
      </c>
      <c r="AH22" s="23" t="str">
        <f t="shared" si="18"/>
        <v/>
      </c>
      <c r="AI22" s="23" t="str">
        <f t="shared" si="18"/>
        <v/>
      </c>
      <c r="AJ22" s="23" t="str">
        <f t="shared" si="18"/>
        <v/>
      </c>
      <c r="AK22" s="23" t="str">
        <f t="shared" si="18"/>
        <v/>
      </c>
      <c r="AL22" s="23" t="str">
        <f t="shared" si="18"/>
        <v/>
      </c>
      <c r="AM22" s="23" t="str">
        <f t="shared" si="18"/>
        <v/>
      </c>
      <c r="AN22" s="23" t="str">
        <f t="shared" si="18"/>
        <v/>
      </c>
      <c r="AO22" s="23" t="str">
        <f t="shared" si="19"/>
        <v/>
      </c>
      <c r="AP22" s="23" t="str">
        <f t="shared" si="19"/>
        <v/>
      </c>
      <c r="AQ22" s="23" t="str">
        <f t="shared" si="19"/>
        <v/>
      </c>
      <c r="AR22" s="23" t="str">
        <f t="shared" si="19"/>
        <v/>
      </c>
      <c r="AS22" s="23" t="str">
        <f t="shared" si="19"/>
        <v/>
      </c>
      <c r="AT22" s="23" t="str">
        <f t="shared" si="19"/>
        <v/>
      </c>
      <c r="AU22" s="23" t="str">
        <f t="shared" si="19"/>
        <v/>
      </c>
      <c r="AV22" s="23" t="str">
        <f t="shared" si="19"/>
        <v/>
      </c>
      <c r="AW22" s="23" t="str">
        <f t="shared" si="19"/>
        <v/>
      </c>
      <c r="AX22" s="23" t="str">
        <f t="shared" si="19"/>
        <v/>
      </c>
      <c r="AY22" s="23" t="str">
        <f t="shared" si="20"/>
        <v/>
      </c>
      <c r="AZ22" s="23" t="str">
        <f t="shared" si="20"/>
        <v/>
      </c>
      <c r="BA22" s="23" t="str">
        <f t="shared" si="20"/>
        <v/>
      </c>
      <c r="BB22" s="23" t="str">
        <f t="shared" si="20"/>
        <v/>
      </c>
      <c r="BC22" s="23" t="str">
        <f t="shared" si="20"/>
        <v/>
      </c>
      <c r="BD22" s="23" t="str">
        <f t="shared" si="20"/>
        <v/>
      </c>
      <c r="BE22" s="23" t="str">
        <f t="shared" si="20"/>
        <v/>
      </c>
      <c r="BF22" s="23" t="str">
        <f t="shared" si="20"/>
        <v/>
      </c>
      <c r="BG22" s="23" t="str">
        <f t="shared" si="20"/>
        <v/>
      </c>
      <c r="BH22" s="23" t="str">
        <f t="shared" si="20"/>
        <v/>
      </c>
      <c r="BI22" s="23" t="str">
        <f t="shared" si="21"/>
        <v/>
      </c>
      <c r="BJ22" s="23" t="str">
        <f t="shared" si="21"/>
        <v/>
      </c>
      <c r="BK22" s="23" t="str">
        <f t="shared" si="21"/>
        <v/>
      </c>
      <c r="BL22" s="23" t="str">
        <f t="shared" si="21"/>
        <v/>
      </c>
      <c r="BM22" s="23" t="str">
        <f t="shared" si="21"/>
        <v/>
      </c>
      <c r="BN22" s="23" t="str">
        <f t="shared" si="21"/>
        <v/>
      </c>
      <c r="BO22" s="23" t="str">
        <f t="shared" si="21"/>
        <v/>
      </c>
      <c r="BP22" s="23" t="str">
        <f t="shared" si="21"/>
        <v/>
      </c>
      <c r="BQ22" s="23" t="str">
        <f t="shared" si="21"/>
        <v/>
      </c>
      <c r="BR22" s="23" t="str">
        <f t="shared" si="21"/>
        <v/>
      </c>
      <c r="BS22" s="23" t="str">
        <f t="shared" si="21"/>
        <v/>
      </c>
      <c r="BU22" s="29" t="s">
        <v>164</v>
      </c>
    </row>
    <row r="23" spans="1:73" ht="17" outlineLevel="1" x14ac:dyDescent="0.2">
      <c r="A23" s="6" t="s">
        <v>165</v>
      </c>
      <c r="B23" s="25" t="s">
        <v>166</v>
      </c>
      <c r="C23" s="6" t="s">
        <v>55</v>
      </c>
      <c r="D23" s="24" t="s">
        <v>121</v>
      </c>
      <c r="F23" s="6" t="s">
        <v>162</v>
      </c>
      <c r="G23" s="22">
        <v>3</v>
      </c>
      <c r="H23" s="22">
        <v>1</v>
      </c>
      <c r="I23" s="22">
        <f t="shared" si="22"/>
        <v>3</v>
      </c>
      <c r="J23" s="22">
        <f t="shared" si="23"/>
        <v>3</v>
      </c>
      <c r="K23" s="23" t="str">
        <f t="shared" si="16"/>
        <v/>
      </c>
      <c r="L23" s="23" t="str">
        <f t="shared" si="16"/>
        <v/>
      </c>
      <c r="M23" s="23">
        <f t="shared" si="16"/>
        <v>1</v>
      </c>
      <c r="N23" s="23" t="str">
        <f t="shared" si="16"/>
        <v/>
      </c>
      <c r="O23" s="23" t="str">
        <f t="shared" si="16"/>
        <v/>
      </c>
      <c r="P23" s="23" t="str">
        <f t="shared" si="16"/>
        <v/>
      </c>
      <c r="Q23" s="23" t="str">
        <f t="shared" si="16"/>
        <v/>
      </c>
      <c r="R23" s="23" t="str">
        <f t="shared" si="16"/>
        <v/>
      </c>
      <c r="S23" s="23" t="str">
        <f t="shared" si="16"/>
        <v/>
      </c>
      <c r="T23" s="23" t="str">
        <f t="shared" si="16"/>
        <v/>
      </c>
      <c r="U23" s="23" t="str">
        <f t="shared" si="17"/>
        <v/>
      </c>
      <c r="V23" s="23" t="str">
        <f t="shared" si="17"/>
        <v/>
      </c>
      <c r="W23" s="23" t="str">
        <f t="shared" si="17"/>
        <v/>
      </c>
      <c r="X23" s="23" t="str">
        <f t="shared" si="17"/>
        <v/>
      </c>
      <c r="Y23" s="23" t="str">
        <f t="shared" si="17"/>
        <v/>
      </c>
      <c r="Z23" s="23" t="str">
        <f t="shared" si="17"/>
        <v/>
      </c>
      <c r="AA23" s="23" t="str">
        <f t="shared" si="17"/>
        <v/>
      </c>
      <c r="AB23" s="23" t="str">
        <f t="shared" si="17"/>
        <v/>
      </c>
      <c r="AC23" s="23" t="str">
        <f t="shared" si="17"/>
        <v/>
      </c>
      <c r="AD23" s="23" t="str">
        <f t="shared" si="17"/>
        <v/>
      </c>
      <c r="AE23" s="23" t="str">
        <f t="shared" si="18"/>
        <v/>
      </c>
      <c r="AF23" s="23" t="str">
        <f t="shared" si="18"/>
        <v/>
      </c>
      <c r="AG23" s="23" t="str">
        <f t="shared" si="18"/>
        <v/>
      </c>
      <c r="AH23" s="23" t="str">
        <f t="shared" si="18"/>
        <v/>
      </c>
      <c r="AI23" s="23" t="str">
        <f t="shared" si="18"/>
        <v/>
      </c>
      <c r="AJ23" s="23" t="str">
        <f t="shared" si="18"/>
        <v/>
      </c>
      <c r="AK23" s="23" t="str">
        <f t="shared" si="18"/>
        <v/>
      </c>
      <c r="AL23" s="23" t="str">
        <f t="shared" si="18"/>
        <v/>
      </c>
      <c r="AM23" s="23" t="str">
        <f t="shared" si="18"/>
        <v/>
      </c>
      <c r="AN23" s="23" t="str">
        <f t="shared" si="18"/>
        <v/>
      </c>
      <c r="AO23" s="23" t="str">
        <f t="shared" si="19"/>
        <v/>
      </c>
      <c r="AP23" s="23" t="str">
        <f t="shared" si="19"/>
        <v/>
      </c>
      <c r="AQ23" s="23" t="str">
        <f t="shared" si="19"/>
        <v/>
      </c>
      <c r="AR23" s="23" t="str">
        <f t="shared" si="19"/>
        <v/>
      </c>
      <c r="AS23" s="23" t="str">
        <f t="shared" si="19"/>
        <v/>
      </c>
      <c r="AT23" s="23" t="str">
        <f t="shared" si="19"/>
        <v/>
      </c>
      <c r="AU23" s="23" t="str">
        <f t="shared" si="19"/>
        <v/>
      </c>
      <c r="AV23" s="23" t="str">
        <f t="shared" si="19"/>
        <v/>
      </c>
      <c r="AW23" s="23" t="str">
        <f t="shared" si="19"/>
        <v/>
      </c>
      <c r="AX23" s="23" t="str">
        <f t="shared" si="19"/>
        <v/>
      </c>
      <c r="AY23" s="23" t="str">
        <f t="shared" si="20"/>
        <v/>
      </c>
      <c r="AZ23" s="23" t="str">
        <f t="shared" si="20"/>
        <v/>
      </c>
      <c r="BA23" s="23" t="str">
        <f t="shared" si="20"/>
        <v/>
      </c>
      <c r="BB23" s="23" t="str">
        <f t="shared" si="20"/>
        <v/>
      </c>
      <c r="BC23" s="23" t="str">
        <f t="shared" si="20"/>
        <v/>
      </c>
      <c r="BD23" s="23" t="str">
        <f t="shared" si="20"/>
        <v/>
      </c>
      <c r="BE23" s="23" t="str">
        <f t="shared" si="20"/>
        <v/>
      </c>
      <c r="BF23" s="23" t="str">
        <f t="shared" si="20"/>
        <v/>
      </c>
      <c r="BG23" s="23" t="str">
        <f t="shared" si="20"/>
        <v/>
      </c>
      <c r="BH23" s="23" t="str">
        <f t="shared" si="20"/>
        <v/>
      </c>
      <c r="BI23" s="23" t="str">
        <f t="shared" si="21"/>
        <v/>
      </c>
      <c r="BJ23" s="23" t="str">
        <f t="shared" si="21"/>
        <v/>
      </c>
      <c r="BK23" s="23" t="str">
        <f t="shared" si="21"/>
        <v/>
      </c>
      <c r="BL23" s="23" t="str">
        <f t="shared" si="21"/>
        <v/>
      </c>
      <c r="BM23" s="23" t="str">
        <f t="shared" si="21"/>
        <v/>
      </c>
      <c r="BN23" s="23" t="str">
        <f t="shared" si="21"/>
        <v/>
      </c>
      <c r="BO23" s="23" t="str">
        <f t="shared" si="21"/>
        <v/>
      </c>
      <c r="BP23" s="23" t="str">
        <f t="shared" si="21"/>
        <v/>
      </c>
      <c r="BQ23" s="23" t="str">
        <f t="shared" si="21"/>
        <v/>
      </c>
      <c r="BR23" s="23" t="str">
        <f t="shared" si="21"/>
        <v/>
      </c>
      <c r="BS23" s="23" t="str">
        <f t="shared" si="21"/>
        <v/>
      </c>
      <c r="BU23" s="29" t="s">
        <v>167</v>
      </c>
    </row>
    <row r="24" spans="1:73" ht="17" outlineLevel="1" x14ac:dyDescent="0.2">
      <c r="A24" s="6" t="s">
        <v>168</v>
      </c>
      <c r="B24" s="25" t="s">
        <v>169</v>
      </c>
      <c r="C24" s="6" t="s">
        <v>55</v>
      </c>
      <c r="D24" s="24" t="s">
        <v>128</v>
      </c>
      <c r="F24" s="6" t="s">
        <v>162</v>
      </c>
      <c r="G24" s="22">
        <v>3</v>
      </c>
      <c r="H24" s="22">
        <v>2</v>
      </c>
      <c r="I24" s="22">
        <f t="shared" si="22"/>
        <v>3</v>
      </c>
      <c r="J24" s="22">
        <f t="shared" si="23"/>
        <v>4</v>
      </c>
      <c r="K24" s="23" t="str">
        <f t="shared" si="16"/>
        <v/>
      </c>
      <c r="L24" s="23" t="str">
        <f t="shared" si="16"/>
        <v/>
      </c>
      <c r="M24" s="23">
        <f t="shared" si="16"/>
        <v>1</v>
      </c>
      <c r="N24" s="23">
        <f t="shared" si="16"/>
        <v>1</v>
      </c>
      <c r="O24" s="23" t="str">
        <f t="shared" si="16"/>
        <v/>
      </c>
      <c r="P24" s="23" t="str">
        <f t="shared" si="16"/>
        <v/>
      </c>
      <c r="Q24" s="23" t="str">
        <f t="shared" si="16"/>
        <v/>
      </c>
      <c r="R24" s="23" t="str">
        <f t="shared" si="16"/>
        <v/>
      </c>
      <c r="S24" s="23" t="str">
        <f t="shared" si="16"/>
        <v/>
      </c>
      <c r="T24" s="23" t="str">
        <f t="shared" si="16"/>
        <v/>
      </c>
      <c r="U24" s="23" t="str">
        <f t="shared" si="17"/>
        <v/>
      </c>
      <c r="V24" s="23" t="str">
        <f t="shared" si="17"/>
        <v/>
      </c>
      <c r="W24" s="23" t="str">
        <f t="shared" si="17"/>
        <v/>
      </c>
      <c r="X24" s="23" t="str">
        <f t="shared" si="17"/>
        <v/>
      </c>
      <c r="Y24" s="23" t="str">
        <f t="shared" si="17"/>
        <v/>
      </c>
      <c r="Z24" s="23" t="str">
        <f t="shared" si="17"/>
        <v/>
      </c>
      <c r="AA24" s="23" t="str">
        <f t="shared" si="17"/>
        <v/>
      </c>
      <c r="AB24" s="23" t="str">
        <f t="shared" si="17"/>
        <v/>
      </c>
      <c r="AC24" s="23" t="str">
        <f t="shared" si="17"/>
        <v/>
      </c>
      <c r="AD24" s="23" t="str">
        <f t="shared" si="17"/>
        <v/>
      </c>
      <c r="AE24" s="23" t="str">
        <f t="shared" si="18"/>
        <v/>
      </c>
      <c r="AF24" s="23" t="str">
        <f t="shared" si="18"/>
        <v/>
      </c>
      <c r="AG24" s="23" t="str">
        <f t="shared" si="18"/>
        <v/>
      </c>
      <c r="AH24" s="23" t="str">
        <f t="shared" si="18"/>
        <v/>
      </c>
      <c r="AI24" s="23" t="str">
        <f t="shared" si="18"/>
        <v/>
      </c>
      <c r="AJ24" s="23" t="str">
        <f t="shared" si="18"/>
        <v/>
      </c>
      <c r="AK24" s="23" t="str">
        <f t="shared" si="18"/>
        <v/>
      </c>
      <c r="AL24" s="23" t="str">
        <f t="shared" si="18"/>
        <v/>
      </c>
      <c r="AM24" s="23" t="str">
        <f t="shared" si="18"/>
        <v/>
      </c>
      <c r="AN24" s="23" t="str">
        <f t="shared" si="18"/>
        <v/>
      </c>
      <c r="AO24" s="23" t="str">
        <f t="shared" si="19"/>
        <v/>
      </c>
      <c r="AP24" s="23" t="str">
        <f t="shared" si="19"/>
        <v/>
      </c>
      <c r="AQ24" s="23" t="str">
        <f t="shared" si="19"/>
        <v/>
      </c>
      <c r="AR24" s="23" t="str">
        <f t="shared" si="19"/>
        <v/>
      </c>
      <c r="AS24" s="23" t="str">
        <f t="shared" si="19"/>
        <v/>
      </c>
      <c r="AT24" s="23" t="str">
        <f t="shared" si="19"/>
        <v/>
      </c>
      <c r="AU24" s="23" t="str">
        <f t="shared" si="19"/>
        <v/>
      </c>
      <c r="AV24" s="23" t="str">
        <f t="shared" si="19"/>
        <v/>
      </c>
      <c r="AW24" s="23" t="str">
        <f t="shared" si="19"/>
        <v/>
      </c>
      <c r="AX24" s="23" t="str">
        <f t="shared" si="19"/>
        <v/>
      </c>
      <c r="AY24" s="23" t="str">
        <f t="shared" si="20"/>
        <v/>
      </c>
      <c r="AZ24" s="23" t="str">
        <f t="shared" si="20"/>
        <v/>
      </c>
      <c r="BA24" s="23" t="str">
        <f t="shared" si="20"/>
        <v/>
      </c>
      <c r="BB24" s="23" t="str">
        <f t="shared" si="20"/>
        <v/>
      </c>
      <c r="BC24" s="23" t="str">
        <f t="shared" si="20"/>
        <v/>
      </c>
      <c r="BD24" s="23" t="str">
        <f t="shared" si="20"/>
        <v/>
      </c>
      <c r="BE24" s="23" t="str">
        <f t="shared" si="20"/>
        <v/>
      </c>
      <c r="BF24" s="23" t="str">
        <f t="shared" si="20"/>
        <v/>
      </c>
      <c r="BG24" s="23" t="str">
        <f t="shared" si="20"/>
        <v/>
      </c>
      <c r="BH24" s="23" t="str">
        <f t="shared" si="20"/>
        <v/>
      </c>
      <c r="BI24" s="23" t="str">
        <f t="shared" si="21"/>
        <v/>
      </c>
      <c r="BJ24" s="23" t="str">
        <f t="shared" si="21"/>
        <v/>
      </c>
      <c r="BK24" s="23" t="str">
        <f t="shared" si="21"/>
        <v/>
      </c>
      <c r="BL24" s="23" t="str">
        <f t="shared" si="21"/>
        <v/>
      </c>
      <c r="BM24" s="23" t="str">
        <f t="shared" si="21"/>
        <v/>
      </c>
      <c r="BN24" s="23" t="str">
        <f t="shared" si="21"/>
        <v/>
      </c>
      <c r="BO24" s="23" t="str">
        <f t="shared" si="21"/>
        <v/>
      </c>
      <c r="BP24" s="23" t="str">
        <f t="shared" si="21"/>
        <v/>
      </c>
      <c r="BQ24" s="23" t="str">
        <f t="shared" si="21"/>
        <v/>
      </c>
      <c r="BR24" s="23" t="str">
        <f t="shared" si="21"/>
        <v/>
      </c>
      <c r="BS24" s="23" t="str">
        <f t="shared" si="21"/>
        <v/>
      </c>
      <c r="BU24" s="29" t="s">
        <v>170</v>
      </c>
    </row>
    <row r="25" spans="1:73" ht="17" outlineLevel="1" x14ac:dyDescent="0.2">
      <c r="A25" s="6" t="s">
        <v>171</v>
      </c>
      <c r="B25" s="25" t="s">
        <v>172</v>
      </c>
      <c r="C25" s="6" t="s">
        <v>55</v>
      </c>
      <c r="D25" s="24" t="s">
        <v>128</v>
      </c>
      <c r="F25" s="6" t="s">
        <v>168</v>
      </c>
      <c r="G25" s="22">
        <v>4</v>
      </c>
      <c r="H25" s="22">
        <v>2</v>
      </c>
      <c r="I25" s="22">
        <f t="shared" si="22"/>
        <v>4</v>
      </c>
      <c r="J25" s="22">
        <f t="shared" si="23"/>
        <v>5</v>
      </c>
      <c r="K25" s="23" t="str">
        <f t="shared" si="16"/>
        <v/>
      </c>
      <c r="L25" s="23" t="str">
        <f t="shared" si="16"/>
        <v/>
      </c>
      <c r="M25" s="23" t="str">
        <f t="shared" si="16"/>
        <v/>
      </c>
      <c r="N25" s="23">
        <f t="shared" si="16"/>
        <v>1</v>
      </c>
      <c r="O25" s="23">
        <f t="shared" si="16"/>
        <v>1</v>
      </c>
      <c r="P25" s="23" t="str">
        <f t="shared" si="16"/>
        <v/>
      </c>
      <c r="Q25" s="23" t="str">
        <f t="shared" si="16"/>
        <v/>
      </c>
      <c r="R25" s="23" t="str">
        <f t="shared" si="16"/>
        <v/>
      </c>
      <c r="S25" s="23" t="str">
        <f t="shared" si="16"/>
        <v/>
      </c>
      <c r="T25" s="23" t="str">
        <f t="shared" si="16"/>
        <v/>
      </c>
      <c r="U25" s="23" t="str">
        <f t="shared" si="17"/>
        <v/>
      </c>
      <c r="V25" s="23" t="str">
        <f t="shared" si="17"/>
        <v/>
      </c>
      <c r="W25" s="23" t="str">
        <f t="shared" si="17"/>
        <v/>
      </c>
      <c r="X25" s="23" t="str">
        <f t="shared" si="17"/>
        <v/>
      </c>
      <c r="Y25" s="23" t="str">
        <f t="shared" si="17"/>
        <v/>
      </c>
      <c r="Z25" s="23" t="str">
        <f t="shared" si="17"/>
        <v/>
      </c>
      <c r="AA25" s="23" t="str">
        <f t="shared" si="17"/>
        <v/>
      </c>
      <c r="AB25" s="23" t="str">
        <f t="shared" si="17"/>
        <v/>
      </c>
      <c r="AC25" s="23" t="str">
        <f t="shared" si="17"/>
        <v/>
      </c>
      <c r="AD25" s="23" t="str">
        <f t="shared" si="17"/>
        <v/>
      </c>
      <c r="AE25" s="23" t="str">
        <f t="shared" si="18"/>
        <v/>
      </c>
      <c r="AF25" s="23" t="str">
        <f t="shared" si="18"/>
        <v/>
      </c>
      <c r="AG25" s="23" t="str">
        <f t="shared" si="18"/>
        <v/>
      </c>
      <c r="AH25" s="23" t="str">
        <f t="shared" si="18"/>
        <v/>
      </c>
      <c r="AI25" s="23" t="str">
        <f t="shared" si="18"/>
        <v/>
      </c>
      <c r="AJ25" s="23" t="str">
        <f t="shared" si="18"/>
        <v/>
      </c>
      <c r="AK25" s="23" t="str">
        <f t="shared" si="18"/>
        <v/>
      </c>
      <c r="AL25" s="23" t="str">
        <f t="shared" si="18"/>
        <v/>
      </c>
      <c r="AM25" s="23" t="str">
        <f t="shared" si="18"/>
        <v/>
      </c>
      <c r="AN25" s="23" t="str">
        <f t="shared" si="18"/>
        <v/>
      </c>
      <c r="AO25" s="23" t="str">
        <f t="shared" si="19"/>
        <v/>
      </c>
      <c r="AP25" s="23" t="str">
        <f t="shared" si="19"/>
        <v/>
      </c>
      <c r="AQ25" s="23" t="str">
        <f t="shared" si="19"/>
        <v/>
      </c>
      <c r="AR25" s="23" t="str">
        <f t="shared" si="19"/>
        <v/>
      </c>
      <c r="AS25" s="23" t="str">
        <f t="shared" si="19"/>
        <v/>
      </c>
      <c r="AT25" s="23" t="str">
        <f t="shared" si="19"/>
        <v/>
      </c>
      <c r="AU25" s="23" t="str">
        <f t="shared" si="19"/>
        <v/>
      </c>
      <c r="AV25" s="23" t="str">
        <f t="shared" si="19"/>
        <v/>
      </c>
      <c r="AW25" s="23" t="str">
        <f t="shared" si="19"/>
        <v/>
      </c>
      <c r="AX25" s="23" t="str">
        <f t="shared" si="19"/>
        <v/>
      </c>
      <c r="AY25" s="23" t="str">
        <f t="shared" si="20"/>
        <v/>
      </c>
      <c r="AZ25" s="23" t="str">
        <f t="shared" si="20"/>
        <v/>
      </c>
      <c r="BA25" s="23" t="str">
        <f t="shared" si="20"/>
        <v/>
      </c>
      <c r="BB25" s="23" t="str">
        <f t="shared" si="20"/>
        <v/>
      </c>
      <c r="BC25" s="23" t="str">
        <f t="shared" si="20"/>
        <v/>
      </c>
      <c r="BD25" s="23" t="str">
        <f t="shared" si="20"/>
        <v/>
      </c>
      <c r="BE25" s="23" t="str">
        <f t="shared" si="20"/>
        <v/>
      </c>
      <c r="BF25" s="23" t="str">
        <f t="shared" si="20"/>
        <v/>
      </c>
      <c r="BG25" s="23" t="str">
        <f t="shared" si="20"/>
        <v/>
      </c>
      <c r="BH25" s="23" t="str">
        <f t="shared" si="20"/>
        <v/>
      </c>
      <c r="BI25" s="23" t="str">
        <f t="shared" si="21"/>
        <v/>
      </c>
      <c r="BJ25" s="23" t="str">
        <f t="shared" si="21"/>
        <v/>
      </c>
      <c r="BK25" s="23" t="str">
        <f t="shared" si="21"/>
        <v/>
      </c>
      <c r="BL25" s="23" t="str">
        <f t="shared" si="21"/>
        <v/>
      </c>
      <c r="BM25" s="23" t="str">
        <f t="shared" si="21"/>
        <v/>
      </c>
      <c r="BN25" s="23" t="str">
        <f t="shared" si="21"/>
        <v/>
      </c>
      <c r="BO25" s="23" t="str">
        <f t="shared" si="21"/>
        <v/>
      </c>
      <c r="BP25" s="23" t="str">
        <f t="shared" si="21"/>
        <v/>
      </c>
      <c r="BQ25" s="23" t="str">
        <f t="shared" si="21"/>
        <v/>
      </c>
      <c r="BR25" s="23" t="str">
        <f t="shared" si="21"/>
        <v/>
      </c>
      <c r="BS25" s="23" t="str">
        <f t="shared" si="21"/>
        <v/>
      </c>
      <c r="BU25" s="29" t="s">
        <v>173</v>
      </c>
    </row>
    <row r="26" spans="1:73" ht="17" outlineLevel="1" x14ac:dyDescent="0.2">
      <c r="A26" s="6" t="s">
        <v>174</v>
      </c>
      <c r="B26" s="25" t="s">
        <v>175</v>
      </c>
      <c r="C26" s="6" t="s">
        <v>55</v>
      </c>
      <c r="D26" s="24" t="s">
        <v>128</v>
      </c>
      <c r="F26" s="6" t="s">
        <v>165</v>
      </c>
      <c r="G26" s="22">
        <v>4</v>
      </c>
      <c r="H26" s="22">
        <v>2</v>
      </c>
      <c r="I26" s="22">
        <f t="shared" si="22"/>
        <v>4</v>
      </c>
      <c r="J26" s="22">
        <f t="shared" si="23"/>
        <v>5</v>
      </c>
      <c r="K26" s="23" t="str">
        <f t="shared" si="16"/>
        <v/>
      </c>
      <c r="L26" s="23" t="str">
        <f t="shared" si="16"/>
        <v/>
      </c>
      <c r="M26" s="23" t="str">
        <f t="shared" si="16"/>
        <v/>
      </c>
      <c r="N26" s="23">
        <f t="shared" si="16"/>
        <v>1</v>
      </c>
      <c r="O26" s="23">
        <f t="shared" si="16"/>
        <v>1</v>
      </c>
      <c r="P26" s="23" t="str">
        <f t="shared" si="16"/>
        <v/>
      </c>
      <c r="Q26" s="23" t="str">
        <f t="shared" si="16"/>
        <v/>
      </c>
      <c r="R26" s="23" t="str">
        <f t="shared" si="16"/>
        <v/>
      </c>
      <c r="S26" s="23" t="str">
        <f t="shared" si="16"/>
        <v/>
      </c>
      <c r="T26" s="23" t="str">
        <f t="shared" si="16"/>
        <v/>
      </c>
      <c r="U26" s="23" t="str">
        <f t="shared" si="17"/>
        <v/>
      </c>
      <c r="V26" s="23" t="str">
        <f t="shared" si="17"/>
        <v/>
      </c>
      <c r="W26" s="23" t="str">
        <f t="shared" si="17"/>
        <v/>
      </c>
      <c r="X26" s="23" t="str">
        <f t="shared" si="17"/>
        <v/>
      </c>
      <c r="Y26" s="23" t="str">
        <f t="shared" si="17"/>
        <v/>
      </c>
      <c r="Z26" s="23" t="str">
        <f t="shared" si="17"/>
        <v/>
      </c>
      <c r="AA26" s="23" t="str">
        <f t="shared" si="17"/>
        <v/>
      </c>
      <c r="AB26" s="23" t="str">
        <f t="shared" si="17"/>
        <v/>
      </c>
      <c r="AC26" s="23" t="str">
        <f t="shared" si="17"/>
        <v/>
      </c>
      <c r="AD26" s="23" t="str">
        <f t="shared" si="17"/>
        <v/>
      </c>
      <c r="AE26" s="23" t="str">
        <f t="shared" si="18"/>
        <v/>
      </c>
      <c r="AF26" s="23" t="str">
        <f t="shared" si="18"/>
        <v/>
      </c>
      <c r="AG26" s="23" t="str">
        <f t="shared" si="18"/>
        <v/>
      </c>
      <c r="AH26" s="23" t="str">
        <f t="shared" si="18"/>
        <v/>
      </c>
      <c r="AI26" s="23" t="str">
        <f t="shared" si="18"/>
        <v/>
      </c>
      <c r="AJ26" s="23" t="str">
        <f t="shared" si="18"/>
        <v/>
      </c>
      <c r="AK26" s="23" t="str">
        <f t="shared" si="18"/>
        <v/>
      </c>
      <c r="AL26" s="23" t="str">
        <f t="shared" si="18"/>
        <v/>
      </c>
      <c r="AM26" s="23" t="str">
        <f t="shared" si="18"/>
        <v/>
      </c>
      <c r="AN26" s="23" t="str">
        <f t="shared" si="18"/>
        <v/>
      </c>
      <c r="AO26" s="23" t="str">
        <f t="shared" si="19"/>
        <v/>
      </c>
      <c r="AP26" s="23" t="str">
        <f t="shared" si="19"/>
        <v/>
      </c>
      <c r="AQ26" s="23" t="str">
        <f t="shared" si="19"/>
        <v/>
      </c>
      <c r="AR26" s="23" t="str">
        <f t="shared" si="19"/>
        <v/>
      </c>
      <c r="AS26" s="23" t="str">
        <f t="shared" si="19"/>
        <v/>
      </c>
      <c r="AT26" s="23" t="str">
        <f t="shared" si="19"/>
        <v/>
      </c>
      <c r="AU26" s="23" t="str">
        <f t="shared" si="19"/>
        <v/>
      </c>
      <c r="AV26" s="23" t="str">
        <f t="shared" si="19"/>
        <v/>
      </c>
      <c r="AW26" s="23" t="str">
        <f t="shared" si="19"/>
        <v/>
      </c>
      <c r="AX26" s="23" t="str">
        <f t="shared" si="19"/>
        <v/>
      </c>
      <c r="AY26" s="23" t="str">
        <f t="shared" si="20"/>
        <v/>
      </c>
      <c r="AZ26" s="23" t="str">
        <f t="shared" si="20"/>
        <v/>
      </c>
      <c r="BA26" s="23" t="str">
        <f t="shared" si="20"/>
        <v/>
      </c>
      <c r="BB26" s="23" t="str">
        <f t="shared" si="20"/>
        <v/>
      </c>
      <c r="BC26" s="23" t="str">
        <f t="shared" si="20"/>
        <v/>
      </c>
      <c r="BD26" s="23" t="str">
        <f t="shared" si="20"/>
        <v/>
      </c>
      <c r="BE26" s="23" t="str">
        <f t="shared" si="20"/>
        <v/>
      </c>
      <c r="BF26" s="23" t="str">
        <f t="shared" si="20"/>
        <v/>
      </c>
      <c r="BG26" s="23" t="str">
        <f t="shared" si="20"/>
        <v/>
      </c>
      <c r="BH26" s="23" t="str">
        <f t="shared" si="20"/>
        <v/>
      </c>
      <c r="BI26" s="23" t="str">
        <f t="shared" si="21"/>
        <v/>
      </c>
      <c r="BJ26" s="23" t="str">
        <f t="shared" si="21"/>
        <v/>
      </c>
      <c r="BK26" s="23" t="str">
        <f t="shared" si="21"/>
        <v/>
      </c>
      <c r="BL26" s="23" t="str">
        <f t="shared" si="21"/>
        <v/>
      </c>
      <c r="BM26" s="23" t="str">
        <f t="shared" si="21"/>
        <v/>
      </c>
      <c r="BN26" s="23" t="str">
        <f t="shared" si="21"/>
        <v/>
      </c>
      <c r="BO26" s="23" t="str">
        <f t="shared" si="21"/>
        <v/>
      </c>
      <c r="BP26" s="23" t="str">
        <f t="shared" si="21"/>
        <v/>
      </c>
      <c r="BQ26" s="23" t="str">
        <f t="shared" si="21"/>
        <v/>
      </c>
      <c r="BR26" s="23" t="str">
        <f t="shared" si="21"/>
        <v/>
      </c>
      <c r="BS26" s="23" t="str">
        <f t="shared" si="21"/>
        <v/>
      </c>
      <c r="BU26" s="29" t="s">
        <v>176</v>
      </c>
    </row>
    <row r="27" spans="1:73" x14ac:dyDescent="0.2">
      <c r="BU27" s="30"/>
    </row>
    <row r="28" spans="1:73" ht="17" x14ac:dyDescent="0.2">
      <c r="A28" s="19" t="s">
        <v>177</v>
      </c>
      <c r="B28" s="20" t="s">
        <v>178</v>
      </c>
      <c r="C28" s="19" t="s">
        <v>55</v>
      </c>
      <c r="D28" s="21" t="s">
        <v>117</v>
      </c>
      <c r="E28" s="19" t="s">
        <v>79</v>
      </c>
      <c r="F28" s="19"/>
      <c r="G28" s="22">
        <v>1</v>
      </c>
      <c r="H28" s="22">
        <v>5</v>
      </c>
      <c r="I28" s="22">
        <f>MIN(61,IF(G28&lt;=29,ROUND((G28-1)*(29+SlipWeeks)/29,0)+1,G28+SlipWeeks))</f>
        <v>1</v>
      </c>
      <c r="J28" s="22">
        <f>MIN(61,IF(G28+H28-1&lt;=29,MAX(ROUND((G28+H28-1)*(29+SlipWeeks)/29,0),I28),G28+H28-1+SlipWeeks))</f>
        <v>5</v>
      </c>
      <c r="K28" s="23">
        <f t="shared" ref="K28:T32" si="24">IF(AND(K$4&gt;=$I28,K$4&lt;=$J28),1,"")</f>
        <v>1</v>
      </c>
      <c r="L28" s="23">
        <f t="shared" si="24"/>
        <v>1</v>
      </c>
      <c r="M28" s="23">
        <f t="shared" si="24"/>
        <v>1</v>
      </c>
      <c r="N28" s="23">
        <f t="shared" si="24"/>
        <v>1</v>
      </c>
      <c r="O28" s="23">
        <f t="shared" si="24"/>
        <v>1</v>
      </c>
      <c r="P28" s="23" t="str">
        <f t="shared" si="24"/>
        <v/>
      </c>
      <c r="Q28" s="23" t="str">
        <f t="shared" si="24"/>
        <v/>
      </c>
      <c r="R28" s="23" t="str">
        <f t="shared" si="24"/>
        <v/>
      </c>
      <c r="S28" s="23" t="str">
        <f t="shared" si="24"/>
        <v/>
      </c>
      <c r="T28" s="23" t="str">
        <f t="shared" si="24"/>
        <v/>
      </c>
      <c r="U28" s="23" t="str">
        <f t="shared" ref="U28:AD32" si="25">IF(AND(U$4&gt;=$I28,U$4&lt;=$J28),1,"")</f>
        <v/>
      </c>
      <c r="V28" s="23" t="str">
        <f t="shared" si="25"/>
        <v/>
      </c>
      <c r="W28" s="23" t="str">
        <f t="shared" si="25"/>
        <v/>
      </c>
      <c r="X28" s="23" t="str">
        <f t="shared" si="25"/>
        <v/>
      </c>
      <c r="Y28" s="23" t="str">
        <f t="shared" si="25"/>
        <v/>
      </c>
      <c r="Z28" s="23" t="str">
        <f t="shared" si="25"/>
        <v/>
      </c>
      <c r="AA28" s="23" t="str">
        <f t="shared" si="25"/>
        <v/>
      </c>
      <c r="AB28" s="23" t="str">
        <f t="shared" si="25"/>
        <v/>
      </c>
      <c r="AC28" s="23" t="str">
        <f t="shared" si="25"/>
        <v/>
      </c>
      <c r="AD28" s="23" t="str">
        <f t="shared" si="25"/>
        <v/>
      </c>
      <c r="AE28" s="23" t="str">
        <f t="shared" ref="AE28:AN32" si="26">IF(AND(AE$4&gt;=$I28,AE$4&lt;=$J28),1,"")</f>
        <v/>
      </c>
      <c r="AF28" s="23" t="str">
        <f t="shared" si="26"/>
        <v/>
      </c>
      <c r="AG28" s="23" t="str">
        <f t="shared" si="26"/>
        <v/>
      </c>
      <c r="AH28" s="23" t="str">
        <f t="shared" si="26"/>
        <v/>
      </c>
      <c r="AI28" s="23" t="str">
        <f t="shared" si="26"/>
        <v/>
      </c>
      <c r="AJ28" s="23" t="str">
        <f t="shared" si="26"/>
        <v/>
      </c>
      <c r="AK28" s="23" t="str">
        <f t="shared" si="26"/>
        <v/>
      </c>
      <c r="AL28" s="23" t="str">
        <f t="shared" si="26"/>
        <v/>
      </c>
      <c r="AM28" s="23" t="str">
        <f t="shared" si="26"/>
        <v/>
      </c>
      <c r="AN28" s="23" t="str">
        <f t="shared" si="26"/>
        <v/>
      </c>
      <c r="AO28" s="23" t="str">
        <f t="shared" ref="AO28:AX32" si="27">IF(AND(AO$4&gt;=$I28,AO$4&lt;=$J28),1,"")</f>
        <v/>
      </c>
      <c r="AP28" s="23" t="str">
        <f t="shared" si="27"/>
        <v/>
      </c>
      <c r="AQ28" s="23" t="str">
        <f t="shared" si="27"/>
        <v/>
      </c>
      <c r="AR28" s="23" t="str">
        <f t="shared" si="27"/>
        <v/>
      </c>
      <c r="AS28" s="23" t="str">
        <f t="shared" si="27"/>
        <v/>
      </c>
      <c r="AT28" s="23" t="str">
        <f t="shared" si="27"/>
        <v/>
      </c>
      <c r="AU28" s="23" t="str">
        <f t="shared" si="27"/>
        <v/>
      </c>
      <c r="AV28" s="23" t="str">
        <f t="shared" si="27"/>
        <v/>
      </c>
      <c r="AW28" s="23" t="str">
        <f t="shared" si="27"/>
        <v/>
      </c>
      <c r="AX28" s="23" t="str">
        <f t="shared" si="27"/>
        <v/>
      </c>
      <c r="AY28" s="23" t="str">
        <f t="shared" ref="AY28:BH32" si="28">IF(AND(AY$4&gt;=$I28,AY$4&lt;=$J28),1,"")</f>
        <v/>
      </c>
      <c r="AZ28" s="23" t="str">
        <f t="shared" si="28"/>
        <v/>
      </c>
      <c r="BA28" s="23" t="str">
        <f t="shared" si="28"/>
        <v/>
      </c>
      <c r="BB28" s="23" t="str">
        <f t="shared" si="28"/>
        <v/>
      </c>
      <c r="BC28" s="23" t="str">
        <f t="shared" si="28"/>
        <v/>
      </c>
      <c r="BD28" s="23" t="str">
        <f t="shared" si="28"/>
        <v/>
      </c>
      <c r="BE28" s="23" t="str">
        <f t="shared" si="28"/>
        <v/>
      </c>
      <c r="BF28" s="23" t="str">
        <f t="shared" si="28"/>
        <v/>
      </c>
      <c r="BG28" s="23" t="str">
        <f t="shared" si="28"/>
        <v/>
      </c>
      <c r="BH28" s="23" t="str">
        <f t="shared" si="28"/>
        <v/>
      </c>
      <c r="BI28" s="23" t="str">
        <f t="shared" ref="BI28:BS32" si="29">IF(AND(BI$4&gt;=$I28,BI$4&lt;=$J28),1,"")</f>
        <v/>
      </c>
      <c r="BJ28" s="23" t="str">
        <f t="shared" si="29"/>
        <v/>
      </c>
      <c r="BK28" s="23" t="str">
        <f t="shared" si="29"/>
        <v/>
      </c>
      <c r="BL28" s="23" t="str">
        <f t="shared" si="29"/>
        <v/>
      </c>
      <c r="BM28" s="23" t="str">
        <f t="shared" si="29"/>
        <v/>
      </c>
      <c r="BN28" s="23" t="str">
        <f t="shared" si="29"/>
        <v/>
      </c>
      <c r="BO28" s="23" t="str">
        <f t="shared" si="29"/>
        <v/>
      </c>
      <c r="BP28" s="23" t="str">
        <f t="shared" si="29"/>
        <v/>
      </c>
      <c r="BQ28" s="23" t="str">
        <f t="shared" si="29"/>
        <v/>
      </c>
      <c r="BR28" s="23" t="str">
        <f t="shared" si="29"/>
        <v/>
      </c>
      <c r="BS28" s="23" t="str">
        <f t="shared" si="29"/>
        <v/>
      </c>
      <c r="BT28" s="24" t="str">
        <f>IF(IF(G28+H28-1&lt;=29,MAX(ROUND((G28+H28-1)*(29+SlipWeeks)/29,0),$I28),G28+H28-1+SlipWeeks)&gt;61,"▶ clipped","")</f>
        <v/>
      </c>
      <c r="BU28" s="29" t="s">
        <v>179</v>
      </c>
    </row>
    <row r="29" spans="1:73" ht="34" outlineLevel="1" x14ac:dyDescent="0.2">
      <c r="A29" s="6" t="s">
        <v>180</v>
      </c>
      <c r="B29" s="25" t="s">
        <v>181</v>
      </c>
      <c r="C29" s="6" t="s">
        <v>55</v>
      </c>
      <c r="D29" s="24" t="s">
        <v>128</v>
      </c>
      <c r="F29" s="6"/>
      <c r="G29" s="22">
        <v>1</v>
      </c>
      <c r="H29" s="22">
        <v>2</v>
      </c>
      <c r="I29" s="22">
        <f>MEDIAN($I$28,$J$28,$I$28+ROUND((G29-$G$28)/$H$28*($J$28-$I$28+1),0))</f>
        <v>1</v>
      </c>
      <c r="J29" s="22">
        <f>MEDIAN(I29,$J$28,$I$28+ROUND((G29+H29-$G$28)/$H$28*($J$28-$I$28+1),0)-1)</f>
        <v>2</v>
      </c>
      <c r="K29" s="23">
        <f t="shared" si="24"/>
        <v>1</v>
      </c>
      <c r="L29" s="23">
        <f t="shared" si="24"/>
        <v>1</v>
      </c>
      <c r="M29" s="23" t="str">
        <f t="shared" si="24"/>
        <v/>
      </c>
      <c r="N29" s="23" t="str">
        <f t="shared" si="24"/>
        <v/>
      </c>
      <c r="O29" s="23" t="str">
        <f t="shared" si="24"/>
        <v/>
      </c>
      <c r="P29" s="23" t="str">
        <f t="shared" si="24"/>
        <v/>
      </c>
      <c r="Q29" s="23" t="str">
        <f t="shared" si="24"/>
        <v/>
      </c>
      <c r="R29" s="23" t="str">
        <f t="shared" si="24"/>
        <v/>
      </c>
      <c r="S29" s="23" t="str">
        <f t="shared" si="24"/>
        <v/>
      </c>
      <c r="T29" s="23" t="str">
        <f t="shared" si="24"/>
        <v/>
      </c>
      <c r="U29" s="23" t="str">
        <f t="shared" si="25"/>
        <v/>
      </c>
      <c r="V29" s="23" t="str">
        <f t="shared" si="25"/>
        <v/>
      </c>
      <c r="W29" s="23" t="str">
        <f t="shared" si="25"/>
        <v/>
      </c>
      <c r="X29" s="23" t="str">
        <f t="shared" si="25"/>
        <v/>
      </c>
      <c r="Y29" s="23" t="str">
        <f t="shared" si="25"/>
        <v/>
      </c>
      <c r="Z29" s="23" t="str">
        <f t="shared" si="25"/>
        <v/>
      </c>
      <c r="AA29" s="23" t="str">
        <f t="shared" si="25"/>
        <v/>
      </c>
      <c r="AB29" s="23" t="str">
        <f t="shared" si="25"/>
        <v/>
      </c>
      <c r="AC29" s="23" t="str">
        <f t="shared" si="25"/>
        <v/>
      </c>
      <c r="AD29" s="23" t="str">
        <f t="shared" si="25"/>
        <v/>
      </c>
      <c r="AE29" s="23" t="str">
        <f t="shared" si="26"/>
        <v/>
      </c>
      <c r="AF29" s="23" t="str">
        <f t="shared" si="26"/>
        <v/>
      </c>
      <c r="AG29" s="23" t="str">
        <f t="shared" si="26"/>
        <v/>
      </c>
      <c r="AH29" s="23" t="str">
        <f t="shared" si="26"/>
        <v/>
      </c>
      <c r="AI29" s="23" t="str">
        <f t="shared" si="26"/>
        <v/>
      </c>
      <c r="AJ29" s="23" t="str">
        <f t="shared" si="26"/>
        <v/>
      </c>
      <c r="AK29" s="23" t="str">
        <f t="shared" si="26"/>
        <v/>
      </c>
      <c r="AL29" s="23" t="str">
        <f t="shared" si="26"/>
        <v/>
      </c>
      <c r="AM29" s="23" t="str">
        <f t="shared" si="26"/>
        <v/>
      </c>
      <c r="AN29" s="23" t="str">
        <f t="shared" si="26"/>
        <v/>
      </c>
      <c r="AO29" s="23" t="str">
        <f t="shared" si="27"/>
        <v/>
      </c>
      <c r="AP29" s="23" t="str">
        <f t="shared" si="27"/>
        <v/>
      </c>
      <c r="AQ29" s="23" t="str">
        <f t="shared" si="27"/>
        <v/>
      </c>
      <c r="AR29" s="23" t="str">
        <f t="shared" si="27"/>
        <v/>
      </c>
      <c r="AS29" s="23" t="str">
        <f t="shared" si="27"/>
        <v/>
      </c>
      <c r="AT29" s="23" t="str">
        <f t="shared" si="27"/>
        <v/>
      </c>
      <c r="AU29" s="23" t="str">
        <f t="shared" si="27"/>
        <v/>
      </c>
      <c r="AV29" s="23" t="str">
        <f t="shared" si="27"/>
        <v/>
      </c>
      <c r="AW29" s="23" t="str">
        <f t="shared" si="27"/>
        <v/>
      </c>
      <c r="AX29" s="23" t="str">
        <f t="shared" si="27"/>
        <v/>
      </c>
      <c r="AY29" s="23" t="str">
        <f t="shared" si="28"/>
        <v/>
      </c>
      <c r="AZ29" s="23" t="str">
        <f t="shared" si="28"/>
        <v/>
      </c>
      <c r="BA29" s="23" t="str">
        <f t="shared" si="28"/>
        <v/>
      </c>
      <c r="BB29" s="23" t="str">
        <f t="shared" si="28"/>
        <v/>
      </c>
      <c r="BC29" s="23" t="str">
        <f t="shared" si="28"/>
        <v/>
      </c>
      <c r="BD29" s="23" t="str">
        <f t="shared" si="28"/>
        <v/>
      </c>
      <c r="BE29" s="23" t="str">
        <f t="shared" si="28"/>
        <v/>
      </c>
      <c r="BF29" s="23" t="str">
        <f t="shared" si="28"/>
        <v/>
      </c>
      <c r="BG29" s="23" t="str">
        <f t="shared" si="28"/>
        <v/>
      </c>
      <c r="BH29" s="23" t="str">
        <f t="shared" si="28"/>
        <v/>
      </c>
      <c r="BI29" s="23" t="str">
        <f t="shared" si="29"/>
        <v/>
      </c>
      <c r="BJ29" s="23" t="str">
        <f t="shared" si="29"/>
        <v/>
      </c>
      <c r="BK29" s="23" t="str">
        <f t="shared" si="29"/>
        <v/>
      </c>
      <c r="BL29" s="23" t="str">
        <f t="shared" si="29"/>
        <v/>
      </c>
      <c r="BM29" s="23" t="str">
        <f t="shared" si="29"/>
        <v/>
      </c>
      <c r="BN29" s="23" t="str">
        <f t="shared" si="29"/>
        <v/>
      </c>
      <c r="BO29" s="23" t="str">
        <f t="shared" si="29"/>
        <v/>
      </c>
      <c r="BP29" s="23" t="str">
        <f t="shared" si="29"/>
        <v/>
      </c>
      <c r="BQ29" s="23" t="str">
        <f t="shared" si="29"/>
        <v/>
      </c>
      <c r="BR29" s="23" t="str">
        <f t="shared" si="29"/>
        <v/>
      </c>
      <c r="BS29" s="23" t="str">
        <f t="shared" si="29"/>
        <v/>
      </c>
      <c r="BU29" s="29" t="s">
        <v>182</v>
      </c>
    </row>
    <row r="30" spans="1:73" ht="17" outlineLevel="1" x14ac:dyDescent="0.2">
      <c r="A30" s="6" t="s">
        <v>183</v>
      </c>
      <c r="B30" s="25" t="s">
        <v>184</v>
      </c>
      <c r="C30" s="6" t="s">
        <v>55</v>
      </c>
      <c r="D30" s="24" t="s">
        <v>121</v>
      </c>
      <c r="F30" s="6" t="s">
        <v>180</v>
      </c>
      <c r="G30" s="22">
        <v>3</v>
      </c>
      <c r="H30" s="22">
        <v>1</v>
      </c>
      <c r="I30" s="22">
        <f>MEDIAN($I$28,$J$28,$I$28+ROUND((G30-$G$28)/$H$28*($J$28-$I$28+1),0))</f>
        <v>3</v>
      </c>
      <c r="J30" s="22">
        <f>MEDIAN(I30,$J$28,$I$28+ROUND((G30+H30-$G$28)/$H$28*($J$28-$I$28+1),0)-1)</f>
        <v>3</v>
      </c>
      <c r="K30" s="23" t="str">
        <f t="shared" si="24"/>
        <v/>
      </c>
      <c r="L30" s="23" t="str">
        <f t="shared" si="24"/>
        <v/>
      </c>
      <c r="M30" s="23">
        <f t="shared" si="24"/>
        <v>1</v>
      </c>
      <c r="N30" s="23" t="str">
        <f t="shared" si="24"/>
        <v/>
      </c>
      <c r="O30" s="23" t="str">
        <f t="shared" si="24"/>
        <v/>
      </c>
      <c r="P30" s="23" t="str">
        <f t="shared" si="24"/>
        <v/>
      </c>
      <c r="Q30" s="23" t="str">
        <f t="shared" si="24"/>
        <v/>
      </c>
      <c r="R30" s="23" t="str">
        <f t="shared" si="24"/>
        <v/>
      </c>
      <c r="S30" s="23" t="str">
        <f t="shared" si="24"/>
        <v/>
      </c>
      <c r="T30" s="23" t="str">
        <f t="shared" si="24"/>
        <v/>
      </c>
      <c r="U30" s="23" t="str">
        <f t="shared" si="25"/>
        <v/>
      </c>
      <c r="V30" s="23" t="str">
        <f t="shared" si="25"/>
        <v/>
      </c>
      <c r="W30" s="23" t="str">
        <f t="shared" si="25"/>
        <v/>
      </c>
      <c r="X30" s="23" t="str">
        <f t="shared" si="25"/>
        <v/>
      </c>
      <c r="Y30" s="23" t="str">
        <f t="shared" si="25"/>
        <v/>
      </c>
      <c r="Z30" s="23" t="str">
        <f t="shared" si="25"/>
        <v/>
      </c>
      <c r="AA30" s="23" t="str">
        <f t="shared" si="25"/>
        <v/>
      </c>
      <c r="AB30" s="23" t="str">
        <f t="shared" si="25"/>
        <v/>
      </c>
      <c r="AC30" s="23" t="str">
        <f t="shared" si="25"/>
        <v/>
      </c>
      <c r="AD30" s="23" t="str">
        <f t="shared" si="25"/>
        <v/>
      </c>
      <c r="AE30" s="23" t="str">
        <f t="shared" si="26"/>
        <v/>
      </c>
      <c r="AF30" s="23" t="str">
        <f t="shared" si="26"/>
        <v/>
      </c>
      <c r="AG30" s="23" t="str">
        <f t="shared" si="26"/>
        <v/>
      </c>
      <c r="AH30" s="23" t="str">
        <f t="shared" si="26"/>
        <v/>
      </c>
      <c r="AI30" s="23" t="str">
        <f t="shared" si="26"/>
        <v/>
      </c>
      <c r="AJ30" s="23" t="str">
        <f t="shared" si="26"/>
        <v/>
      </c>
      <c r="AK30" s="23" t="str">
        <f t="shared" si="26"/>
        <v/>
      </c>
      <c r="AL30" s="23" t="str">
        <f t="shared" si="26"/>
        <v/>
      </c>
      <c r="AM30" s="23" t="str">
        <f t="shared" si="26"/>
        <v/>
      </c>
      <c r="AN30" s="23" t="str">
        <f t="shared" si="26"/>
        <v/>
      </c>
      <c r="AO30" s="23" t="str">
        <f t="shared" si="27"/>
        <v/>
      </c>
      <c r="AP30" s="23" t="str">
        <f t="shared" si="27"/>
        <v/>
      </c>
      <c r="AQ30" s="23" t="str">
        <f t="shared" si="27"/>
        <v/>
      </c>
      <c r="AR30" s="23" t="str">
        <f t="shared" si="27"/>
        <v/>
      </c>
      <c r="AS30" s="23" t="str">
        <f t="shared" si="27"/>
        <v/>
      </c>
      <c r="AT30" s="23" t="str">
        <f t="shared" si="27"/>
        <v/>
      </c>
      <c r="AU30" s="23" t="str">
        <f t="shared" si="27"/>
        <v/>
      </c>
      <c r="AV30" s="23" t="str">
        <f t="shared" si="27"/>
        <v/>
      </c>
      <c r="AW30" s="23" t="str">
        <f t="shared" si="27"/>
        <v/>
      </c>
      <c r="AX30" s="23" t="str">
        <f t="shared" si="27"/>
        <v/>
      </c>
      <c r="AY30" s="23" t="str">
        <f t="shared" si="28"/>
        <v/>
      </c>
      <c r="AZ30" s="23" t="str">
        <f t="shared" si="28"/>
        <v/>
      </c>
      <c r="BA30" s="23" t="str">
        <f t="shared" si="28"/>
        <v/>
      </c>
      <c r="BB30" s="23" t="str">
        <f t="shared" si="28"/>
        <v/>
      </c>
      <c r="BC30" s="23" t="str">
        <f t="shared" si="28"/>
        <v/>
      </c>
      <c r="BD30" s="23" t="str">
        <f t="shared" si="28"/>
        <v/>
      </c>
      <c r="BE30" s="23" t="str">
        <f t="shared" si="28"/>
        <v/>
      </c>
      <c r="BF30" s="23" t="str">
        <f t="shared" si="28"/>
        <v/>
      </c>
      <c r="BG30" s="23" t="str">
        <f t="shared" si="28"/>
        <v/>
      </c>
      <c r="BH30" s="23" t="str">
        <f t="shared" si="28"/>
        <v/>
      </c>
      <c r="BI30" s="23" t="str">
        <f t="shared" si="29"/>
        <v/>
      </c>
      <c r="BJ30" s="23" t="str">
        <f t="shared" si="29"/>
        <v/>
      </c>
      <c r="BK30" s="23" t="str">
        <f t="shared" si="29"/>
        <v/>
      </c>
      <c r="BL30" s="23" t="str">
        <f t="shared" si="29"/>
        <v/>
      </c>
      <c r="BM30" s="23" t="str">
        <f t="shared" si="29"/>
        <v/>
      </c>
      <c r="BN30" s="23" t="str">
        <f t="shared" si="29"/>
        <v/>
      </c>
      <c r="BO30" s="23" t="str">
        <f t="shared" si="29"/>
        <v/>
      </c>
      <c r="BP30" s="23" t="str">
        <f t="shared" si="29"/>
        <v/>
      </c>
      <c r="BQ30" s="23" t="str">
        <f t="shared" si="29"/>
        <v/>
      </c>
      <c r="BR30" s="23" t="str">
        <f t="shared" si="29"/>
        <v/>
      </c>
      <c r="BS30" s="23" t="str">
        <f t="shared" si="29"/>
        <v/>
      </c>
      <c r="BU30" s="29" t="s">
        <v>185</v>
      </c>
    </row>
    <row r="31" spans="1:73" ht="17" outlineLevel="1" x14ac:dyDescent="0.2">
      <c r="A31" s="6" t="s">
        <v>186</v>
      </c>
      <c r="B31" s="25" t="s">
        <v>187</v>
      </c>
      <c r="C31" s="6" t="s">
        <v>55</v>
      </c>
      <c r="D31" s="24" t="s">
        <v>128</v>
      </c>
      <c r="F31" s="6" t="s">
        <v>183</v>
      </c>
      <c r="G31" s="22">
        <v>4</v>
      </c>
      <c r="H31" s="22">
        <v>2</v>
      </c>
      <c r="I31" s="22">
        <f>MEDIAN($I$28,$J$28,$I$28+ROUND((G31-$G$28)/$H$28*($J$28-$I$28+1),0))</f>
        <v>4</v>
      </c>
      <c r="J31" s="22">
        <f>MEDIAN(I31,$J$28,$I$28+ROUND((G31+H31-$G$28)/$H$28*($J$28-$I$28+1),0)-1)</f>
        <v>5</v>
      </c>
      <c r="K31" s="23" t="str">
        <f t="shared" si="24"/>
        <v/>
      </c>
      <c r="L31" s="23" t="str">
        <f t="shared" si="24"/>
        <v/>
      </c>
      <c r="M31" s="23" t="str">
        <f t="shared" si="24"/>
        <v/>
      </c>
      <c r="N31" s="23">
        <f t="shared" si="24"/>
        <v>1</v>
      </c>
      <c r="O31" s="23">
        <f t="shared" si="24"/>
        <v>1</v>
      </c>
      <c r="P31" s="23" t="str">
        <f t="shared" si="24"/>
        <v/>
      </c>
      <c r="Q31" s="23" t="str">
        <f t="shared" si="24"/>
        <v/>
      </c>
      <c r="R31" s="23" t="str">
        <f t="shared" si="24"/>
        <v/>
      </c>
      <c r="S31" s="23" t="str">
        <f t="shared" si="24"/>
        <v/>
      </c>
      <c r="T31" s="23" t="str">
        <f t="shared" si="24"/>
        <v/>
      </c>
      <c r="U31" s="23" t="str">
        <f t="shared" si="25"/>
        <v/>
      </c>
      <c r="V31" s="23" t="str">
        <f t="shared" si="25"/>
        <v/>
      </c>
      <c r="W31" s="23" t="str">
        <f t="shared" si="25"/>
        <v/>
      </c>
      <c r="X31" s="23" t="str">
        <f t="shared" si="25"/>
        <v/>
      </c>
      <c r="Y31" s="23" t="str">
        <f t="shared" si="25"/>
        <v/>
      </c>
      <c r="Z31" s="23" t="str">
        <f t="shared" si="25"/>
        <v/>
      </c>
      <c r="AA31" s="23" t="str">
        <f t="shared" si="25"/>
        <v/>
      </c>
      <c r="AB31" s="23" t="str">
        <f t="shared" si="25"/>
        <v/>
      </c>
      <c r="AC31" s="23" t="str">
        <f t="shared" si="25"/>
        <v/>
      </c>
      <c r="AD31" s="23" t="str">
        <f t="shared" si="25"/>
        <v/>
      </c>
      <c r="AE31" s="23" t="str">
        <f t="shared" si="26"/>
        <v/>
      </c>
      <c r="AF31" s="23" t="str">
        <f t="shared" si="26"/>
        <v/>
      </c>
      <c r="AG31" s="23" t="str">
        <f t="shared" si="26"/>
        <v/>
      </c>
      <c r="AH31" s="23" t="str">
        <f t="shared" si="26"/>
        <v/>
      </c>
      <c r="AI31" s="23" t="str">
        <f t="shared" si="26"/>
        <v/>
      </c>
      <c r="AJ31" s="23" t="str">
        <f t="shared" si="26"/>
        <v/>
      </c>
      <c r="AK31" s="23" t="str">
        <f t="shared" si="26"/>
        <v/>
      </c>
      <c r="AL31" s="23" t="str">
        <f t="shared" si="26"/>
        <v/>
      </c>
      <c r="AM31" s="23" t="str">
        <f t="shared" si="26"/>
        <v/>
      </c>
      <c r="AN31" s="23" t="str">
        <f t="shared" si="26"/>
        <v/>
      </c>
      <c r="AO31" s="23" t="str">
        <f t="shared" si="27"/>
        <v/>
      </c>
      <c r="AP31" s="23" t="str">
        <f t="shared" si="27"/>
        <v/>
      </c>
      <c r="AQ31" s="23" t="str">
        <f t="shared" si="27"/>
        <v/>
      </c>
      <c r="AR31" s="23" t="str">
        <f t="shared" si="27"/>
        <v/>
      </c>
      <c r="AS31" s="23" t="str">
        <f t="shared" si="27"/>
        <v/>
      </c>
      <c r="AT31" s="23" t="str">
        <f t="shared" si="27"/>
        <v/>
      </c>
      <c r="AU31" s="23" t="str">
        <f t="shared" si="27"/>
        <v/>
      </c>
      <c r="AV31" s="23" t="str">
        <f t="shared" si="27"/>
        <v/>
      </c>
      <c r="AW31" s="23" t="str">
        <f t="shared" si="27"/>
        <v/>
      </c>
      <c r="AX31" s="23" t="str">
        <f t="shared" si="27"/>
        <v/>
      </c>
      <c r="AY31" s="23" t="str">
        <f t="shared" si="28"/>
        <v/>
      </c>
      <c r="AZ31" s="23" t="str">
        <f t="shared" si="28"/>
        <v/>
      </c>
      <c r="BA31" s="23" t="str">
        <f t="shared" si="28"/>
        <v/>
      </c>
      <c r="BB31" s="23" t="str">
        <f t="shared" si="28"/>
        <v/>
      </c>
      <c r="BC31" s="23" t="str">
        <f t="shared" si="28"/>
        <v/>
      </c>
      <c r="BD31" s="23" t="str">
        <f t="shared" si="28"/>
        <v/>
      </c>
      <c r="BE31" s="23" t="str">
        <f t="shared" si="28"/>
        <v/>
      </c>
      <c r="BF31" s="23" t="str">
        <f t="shared" si="28"/>
        <v/>
      </c>
      <c r="BG31" s="23" t="str">
        <f t="shared" si="28"/>
        <v/>
      </c>
      <c r="BH31" s="23" t="str">
        <f t="shared" si="28"/>
        <v/>
      </c>
      <c r="BI31" s="23" t="str">
        <f t="shared" si="29"/>
        <v/>
      </c>
      <c r="BJ31" s="23" t="str">
        <f t="shared" si="29"/>
        <v/>
      </c>
      <c r="BK31" s="23" t="str">
        <f t="shared" si="29"/>
        <v/>
      </c>
      <c r="BL31" s="23" t="str">
        <f t="shared" si="29"/>
        <v/>
      </c>
      <c r="BM31" s="23" t="str">
        <f t="shared" si="29"/>
        <v/>
      </c>
      <c r="BN31" s="23" t="str">
        <f t="shared" si="29"/>
        <v/>
      </c>
      <c r="BO31" s="23" t="str">
        <f t="shared" si="29"/>
        <v/>
      </c>
      <c r="BP31" s="23" t="str">
        <f t="shared" si="29"/>
        <v/>
      </c>
      <c r="BQ31" s="23" t="str">
        <f t="shared" si="29"/>
        <v/>
      </c>
      <c r="BR31" s="23" t="str">
        <f t="shared" si="29"/>
        <v/>
      </c>
      <c r="BS31" s="23" t="str">
        <f t="shared" si="29"/>
        <v/>
      </c>
      <c r="BU31" s="29" t="s">
        <v>188</v>
      </c>
    </row>
    <row r="32" spans="1:73" ht="34" outlineLevel="1" x14ac:dyDescent="0.2">
      <c r="A32" s="6" t="s">
        <v>189</v>
      </c>
      <c r="B32" s="25" t="s">
        <v>190</v>
      </c>
      <c r="C32" s="6" t="s">
        <v>55</v>
      </c>
      <c r="D32" s="24" t="s">
        <v>128</v>
      </c>
      <c r="F32" s="6" t="s">
        <v>183</v>
      </c>
      <c r="G32" s="22">
        <v>4</v>
      </c>
      <c r="H32" s="22">
        <v>2</v>
      </c>
      <c r="I32" s="22">
        <f>MEDIAN($I$28,$J$28,$I$28+ROUND((G32-$G$28)/$H$28*($J$28-$I$28+1),0))</f>
        <v>4</v>
      </c>
      <c r="J32" s="22">
        <f>MEDIAN(I32,$J$28,$I$28+ROUND((G32+H32-$G$28)/$H$28*($J$28-$I$28+1),0)-1)</f>
        <v>5</v>
      </c>
      <c r="K32" s="23" t="str">
        <f t="shared" si="24"/>
        <v/>
      </c>
      <c r="L32" s="23" t="str">
        <f t="shared" si="24"/>
        <v/>
      </c>
      <c r="M32" s="23" t="str">
        <f t="shared" si="24"/>
        <v/>
      </c>
      <c r="N32" s="23">
        <f t="shared" si="24"/>
        <v>1</v>
      </c>
      <c r="O32" s="23">
        <f t="shared" si="24"/>
        <v>1</v>
      </c>
      <c r="P32" s="23" t="str">
        <f t="shared" si="24"/>
        <v/>
      </c>
      <c r="Q32" s="23" t="str">
        <f t="shared" si="24"/>
        <v/>
      </c>
      <c r="R32" s="23" t="str">
        <f t="shared" si="24"/>
        <v/>
      </c>
      <c r="S32" s="23" t="str">
        <f t="shared" si="24"/>
        <v/>
      </c>
      <c r="T32" s="23" t="str">
        <f t="shared" si="24"/>
        <v/>
      </c>
      <c r="U32" s="23" t="str">
        <f t="shared" si="25"/>
        <v/>
      </c>
      <c r="V32" s="23" t="str">
        <f t="shared" si="25"/>
        <v/>
      </c>
      <c r="W32" s="23" t="str">
        <f t="shared" si="25"/>
        <v/>
      </c>
      <c r="X32" s="23" t="str">
        <f t="shared" si="25"/>
        <v/>
      </c>
      <c r="Y32" s="23" t="str">
        <f t="shared" si="25"/>
        <v/>
      </c>
      <c r="Z32" s="23" t="str">
        <f t="shared" si="25"/>
        <v/>
      </c>
      <c r="AA32" s="23" t="str">
        <f t="shared" si="25"/>
        <v/>
      </c>
      <c r="AB32" s="23" t="str">
        <f t="shared" si="25"/>
        <v/>
      </c>
      <c r="AC32" s="23" t="str">
        <f t="shared" si="25"/>
        <v/>
      </c>
      <c r="AD32" s="23" t="str">
        <f t="shared" si="25"/>
        <v/>
      </c>
      <c r="AE32" s="23" t="str">
        <f t="shared" si="26"/>
        <v/>
      </c>
      <c r="AF32" s="23" t="str">
        <f t="shared" si="26"/>
        <v/>
      </c>
      <c r="AG32" s="23" t="str">
        <f t="shared" si="26"/>
        <v/>
      </c>
      <c r="AH32" s="23" t="str">
        <f t="shared" si="26"/>
        <v/>
      </c>
      <c r="AI32" s="23" t="str">
        <f t="shared" si="26"/>
        <v/>
      </c>
      <c r="AJ32" s="23" t="str">
        <f t="shared" si="26"/>
        <v/>
      </c>
      <c r="AK32" s="23" t="str">
        <f t="shared" si="26"/>
        <v/>
      </c>
      <c r="AL32" s="23" t="str">
        <f t="shared" si="26"/>
        <v/>
      </c>
      <c r="AM32" s="23" t="str">
        <f t="shared" si="26"/>
        <v/>
      </c>
      <c r="AN32" s="23" t="str">
        <f t="shared" si="26"/>
        <v/>
      </c>
      <c r="AO32" s="23" t="str">
        <f t="shared" si="27"/>
        <v/>
      </c>
      <c r="AP32" s="23" t="str">
        <f t="shared" si="27"/>
        <v/>
      </c>
      <c r="AQ32" s="23" t="str">
        <f t="shared" si="27"/>
        <v/>
      </c>
      <c r="AR32" s="23" t="str">
        <f t="shared" si="27"/>
        <v/>
      </c>
      <c r="AS32" s="23" t="str">
        <f t="shared" si="27"/>
        <v/>
      </c>
      <c r="AT32" s="23" t="str">
        <f t="shared" si="27"/>
        <v/>
      </c>
      <c r="AU32" s="23" t="str">
        <f t="shared" si="27"/>
        <v/>
      </c>
      <c r="AV32" s="23" t="str">
        <f t="shared" si="27"/>
        <v/>
      </c>
      <c r="AW32" s="23" t="str">
        <f t="shared" si="27"/>
        <v/>
      </c>
      <c r="AX32" s="23" t="str">
        <f t="shared" si="27"/>
        <v/>
      </c>
      <c r="AY32" s="23" t="str">
        <f t="shared" si="28"/>
        <v/>
      </c>
      <c r="AZ32" s="23" t="str">
        <f t="shared" si="28"/>
        <v/>
      </c>
      <c r="BA32" s="23" t="str">
        <f t="shared" si="28"/>
        <v/>
      </c>
      <c r="BB32" s="23" t="str">
        <f t="shared" si="28"/>
        <v/>
      </c>
      <c r="BC32" s="23" t="str">
        <f t="shared" si="28"/>
        <v/>
      </c>
      <c r="BD32" s="23" t="str">
        <f t="shared" si="28"/>
        <v/>
      </c>
      <c r="BE32" s="23" t="str">
        <f t="shared" si="28"/>
        <v/>
      </c>
      <c r="BF32" s="23" t="str">
        <f t="shared" si="28"/>
        <v/>
      </c>
      <c r="BG32" s="23" t="str">
        <f t="shared" si="28"/>
        <v/>
      </c>
      <c r="BH32" s="23" t="str">
        <f t="shared" si="28"/>
        <v/>
      </c>
      <c r="BI32" s="23" t="str">
        <f t="shared" si="29"/>
        <v/>
      </c>
      <c r="BJ32" s="23" t="str">
        <f t="shared" si="29"/>
        <v/>
      </c>
      <c r="BK32" s="23" t="str">
        <f t="shared" si="29"/>
        <v/>
      </c>
      <c r="BL32" s="23" t="str">
        <f t="shared" si="29"/>
        <v/>
      </c>
      <c r="BM32" s="23" t="str">
        <f t="shared" si="29"/>
        <v/>
      </c>
      <c r="BN32" s="23" t="str">
        <f t="shared" si="29"/>
        <v/>
      </c>
      <c r="BO32" s="23" t="str">
        <f t="shared" si="29"/>
        <v/>
      </c>
      <c r="BP32" s="23" t="str">
        <f t="shared" si="29"/>
        <v/>
      </c>
      <c r="BQ32" s="23" t="str">
        <f t="shared" si="29"/>
        <v/>
      </c>
      <c r="BR32" s="23" t="str">
        <f t="shared" si="29"/>
        <v/>
      </c>
      <c r="BS32" s="23" t="str">
        <f t="shared" si="29"/>
        <v/>
      </c>
      <c r="BU32" s="29" t="s">
        <v>191</v>
      </c>
    </row>
    <row r="33" spans="1:73" x14ac:dyDescent="0.2">
      <c r="BU33" s="30"/>
    </row>
    <row r="34" spans="1:73" ht="17" x14ac:dyDescent="0.2">
      <c r="A34" s="19" t="s">
        <v>192</v>
      </c>
      <c r="B34" s="20" t="s">
        <v>193</v>
      </c>
      <c r="C34" s="19" t="s">
        <v>55</v>
      </c>
      <c r="D34" s="21" t="s">
        <v>117</v>
      </c>
      <c r="E34" s="19" t="s">
        <v>79</v>
      </c>
      <c r="F34" s="19"/>
      <c r="G34" s="22">
        <v>1</v>
      </c>
      <c r="H34" s="22">
        <v>5</v>
      </c>
      <c r="I34" s="22">
        <f>MIN(61,IF(G34&lt;=29,ROUND((G34-1)*(29+SlipWeeks)/29,0)+1,G34+SlipWeeks))</f>
        <v>1</v>
      </c>
      <c r="J34" s="22">
        <f>MIN(61,IF(G34+H34-1&lt;=29,MAX(ROUND((G34+H34-1)*(29+SlipWeeks)/29,0),I34),G34+H34-1+SlipWeeks))</f>
        <v>5</v>
      </c>
      <c r="K34" s="23">
        <f t="shared" ref="K34:T38" si="30">IF(AND(K$4&gt;=$I34,K$4&lt;=$J34),1,"")</f>
        <v>1</v>
      </c>
      <c r="L34" s="23">
        <f t="shared" si="30"/>
        <v>1</v>
      </c>
      <c r="M34" s="23">
        <f t="shared" si="30"/>
        <v>1</v>
      </c>
      <c r="N34" s="23">
        <f t="shared" si="30"/>
        <v>1</v>
      </c>
      <c r="O34" s="23">
        <f t="shared" si="30"/>
        <v>1</v>
      </c>
      <c r="P34" s="23" t="str">
        <f t="shared" si="30"/>
        <v/>
      </c>
      <c r="Q34" s="23" t="str">
        <f t="shared" si="30"/>
        <v/>
      </c>
      <c r="R34" s="23" t="str">
        <f t="shared" si="30"/>
        <v/>
      </c>
      <c r="S34" s="23" t="str">
        <f t="shared" si="30"/>
        <v/>
      </c>
      <c r="T34" s="23" t="str">
        <f t="shared" si="30"/>
        <v/>
      </c>
      <c r="U34" s="23" t="str">
        <f t="shared" ref="U34:AD38" si="31">IF(AND(U$4&gt;=$I34,U$4&lt;=$J34),1,"")</f>
        <v/>
      </c>
      <c r="V34" s="23" t="str">
        <f t="shared" si="31"/>
        <v/>
      </c>
      <c r="W34" s="23" t="str">
        <f t="shared" si="31"/>
        <v/>
      </c>
      <c r="X34" s="23" t="str">
        <f t="shared" si="31"/>
        <v/>
      </c>
      <c r="Y34" s="23" t="str">
        <f t="shared" si="31"/>
        <v/>
      </c>
      <c r="Z34" s="23" t="str">
        <f t="shared" si="31"/>
        <v/>
      </c>
      <c r="AA34" s="23" t="str">
        <f t="shared" si="31"/>
        <v/>
      </c>
      <c r="AB34" s="23" t="str">
        <f t="shared" si="31"/>
        <v/>
      </c>
      <c r="AC34" s="23" t="str">
        <f t="shared" si="31"/>
        <v/>
      </c>
      <c r="AD34" s="23" t="str">
        <f t="shared" si="31"/>
        <v/>
      </c>
      <c r="AE34" s="23" t="str">
        <f t="shared" ref="AE34:AN38" si="32">IF(AND(AE$4&gt;=$I34,AE$4&lt;=$J34),1,"")</f>
        <v/>
      </c>
      <c r="AF34" s="23" t="str">
        <f t="shared" si="32"/>
        <v/>
      </c>
      <c r="AG34" s="23" t="str">
        <f t="shared" si="32"/>
        <v/>
      </c>
      <c r="AH34" s="23" t="str">
        <f t="shared" si="32"/>
        <v/>
      </c>
      <c r="AI34" s="23" t="str">
        <f t="shared" si="32"/>
        <v/>
      </c>
      <c r="AJ34" s="23" t="str">
        <f t="shared" si="32"/>
        <v/>
      </c>
      <c r="AK34" s="23" t="str">
        <f t="shared" si="32"/>
        <v/>
      </c>
      <c r="AL34" s="23" t="str">
        <f t="shared" si="32"/>
        <v/>
      </c>
      <c r="AM34" s="23" t="str">
        <f t="shared" si="32"/>
        <v/>
      </c>
      <c r="AN34" s="23" t="str">
        <f t="shared" si="32"/>
        <v/>
      </c>
      <c r="AO34" s="23" t="str">
        <f t="shared" ref="AO34:AX38" si="33">IF(AND(AO$4&gt;=$I34,AO$4&lt;=$J34),1,"")</f>
        <v/>
      </c>
      <c r="AP34" s="23" t="str">
        <f t="shared" si="33"/>
        <v/>
      </c>
      <c r="AQ34" s="23" t="str">
        <f t="shared" si="33"/>
        <v/>
      </c>
      <c r="AR34" s="23" t="str">
        <f t="shared" si="33"/>
        <v/>
      </c>
      <c r="AS34" s="23" t="str">
        <f t="shared" si="33"/>
        <v/>
      </c>
      <c r="AT34" s="23" t="str">
        <f t="shared" si="33"/>
        <v/>
      </c>
      <c r="AU34" s="23" t="str">
        <f t="shared" si="33"/>
        <v/>
      </c>
      <c r="AV34" s="23" t="str">
        <f t="shared" si="33"/>
        <v/>
      </c>
      <c r="AW34" s="23" t="str">
        <f t="shared" si="33"/>
        <v/>
      </c>
      <c r="AX34" s="23" t="str">
        <f t="shared" si="33"/>
        <v/>
      </c>
      <c r="AY34" s="23" t="str">
        <f t="shared" ref="AY34:BH38" si="34">IF(AND(AY$4&gt;=$I34,AY$4&lt;=$J34),1,"")</f>
        <v/>
      </c>
      <c r="AZ34" s="23" t="str">
        <f t="shared" si="34"/>
        <v/>
      </c>
      <c r="BA34" s="23" t="str">
        <f t="shared" si="34"/>
        <v/>
      </c>
      <c r="BB34" s="23" t="str">
        <f t="shared" si="34"/>
        <v/>
      </c>
      <c r="BC34" s="23" t="str">
        <f t="shared" si="34"/>
        <v/>
      </c>
      <c r="BD34" s="23" t="str">
        <f t="shared" si="34"/>
        <v/>
      </c>
      <c r="BE34" s="23" t="str">
        <f t="shared" si="34"/>
        <v/>
      </c>
      <c r="BF34" s="23" t="str">
        <f t="shared" si="34"/>
        <v/>
      </c>
      <c r="BG34" s="23" t="str">
        <f t="shared" si="34"/>
        <v/>
      </c>
      <c r="BH34" s="23" t="str">
        <f t="shared" si="34"/>
        <v/>
      </c>
      <c r="BI34" s="23" t="str">
        <f t="shared" ref="BI34:BS38" si="35">IF(AND(BI$4&gt;=$I34,BI$4&lt;=$J34),1,"")</f>
        <v/>
      </c>
      <c r="BJ34" s="23" t="str">
        <f t="shared" si="35"/>
        <v/>
      </c>
      <c r="BK34" s="23" t="str">
        <f t="shared" si="35"/>
        <v/>
      </c>
      <c r="BL34" s="23" t="str">
        <f t="shared" si="35"/>
        <v/>
      </c>
      <c r="BM34" s="23" t="str">
        <f t="shared" si="35"/>
        <v/>
      </c>
      <c r="BN34" s="23" t="str">
        <f t="shared" si="35"/>
        <v/>
      </c>
      <c r="BO34" s="23" t="str">
        <f t="shared" si="35"/>
        <v/>
      </c>
      <c r="BP34" s="23" t="str">
        <f t="shared" si="35"/>
        <v/>
      </c>
      <c r="BQ34" s="23" t="str">
        <f t="shared" si="35"/>
        <v/>
      </c>
      <c r="BR34" s="23" t="str">
        <f t="shared" si="35"/>
        <v/>
      </c>
      <c r="BS34" s="23" t="str">
        <f t="shared" si="35"/>
        <v/>
      </c>
      <c r="BT34" s="24" t="str">
        <f>IF(IF(G34+H34-1&lt;=29,MAX(ROUND((G34+H34-1)*(29+SlipWeeks)/29,0),$I34),G34+H34-1+SlipWeeks)&gt;61,"▶ clipped","")</f>
        <v/>
      </c>
      <c r="BU34" s="29" t="s">
        <v>194</v>
      </c>
    </row>
    <row r="35" spans="1:73" ht="34" outlineLevel="1" x14ac:dyDescent="0.2">
      <c r="A35" s="6" t="s">
        <v>195</v>
      </c>
      <c r="B35" s="25" t="s">
        <v>196</v>
      </c>
      <c r="C35" s="6" t="s">
        <v>55</v>
      </c>
      <c r="D35" s="24" t="s">
        <v>121</v>
      </c>
      <c r="F35" s="6"/>
      <c r="G35" s="22">
        <v>1</v>
      </c>
      <c r="H35" s="22">
        <v>2</v>
      </c>
      <c r="I35" s="22">
        <f>MEDIAN($I$34,$J$34,$I$34+ROUND((G35-$G$34)/$H$34*($J$34-$I$34+1),0))</f>
        <v>1</v>
      </c>
      <c r="J35" s="22">
        <f>MEDIAN(I35,$J$34,$I$34+ROUND((G35+H35-$G$34)/$H$34*($J$34-$I$34+1),0)-1)</f>
        <v>2</v>
      </c>
      <c r="K35" s="23">
        <f t="shared" si="30"/>
        <v>1</v>
      </c>
      <c r="L35" s="23">
        <f t="shared" si="30"/>
        <v>1</v>
      </c>
      <c r="M35" s="23" t="str">
        <f t="shared" si="30"/>
        <v/>
      </c>
      <c r="N35" s="23" t="str">
        <f t="shared" si="30"/>
        <v/>
      </c>
      <c r="O35" s="23" t="str">
        <f t="shared" si="30"/>
        <v/>
      </c>
      <c r="P35" s="23" t="str">
        <f t="shared" si="30"/>
        <v/>
      </c>
      <c r="Q35" s="23" t="str">
        <f t="shared" si="30"/>
        <v/>
      </c>
      <c r="R35" s="23" t="str">
        <f t="shared" si="30"/>
        <v/>
      </c>
      <c r="S35" s="23" t="str">
        <f t="shared" si="30"/>
        <v/>
      </c>
      <c r="T35" s="23" t="str">
        <f t="shared" si="30"/>
        <v/>
      </c>
      <c r="U35" s="23" t="str">
        <f t="shared" si="31"/>
        <v/>
      </c>
      <c r="V35" s="23" t="str">
        <f t="shared" si="31"/>
        <v/>
      </c>
      <c r="W35" s="23" t="str">
        <f t="shared" si="31"/>
        <v/>
      </c>
      <c r="X35" s="23" t="str">
        <f t="shared" si="31"/>
        <v/>
      </c>
      <c r="Y35" s="23" t="str">
        <f t="shared" si="31"/>
        <v/>
      </c>
      <c r="Z35" s="23" t="str">
        <f t="shared" si="31"/>
        <v/>
      </c>
      <c r="AA35" s="23" t="str">
        <f t="shared" si="31"/>
        <v/>
      </c>
      <c r="AB35" s="23" t="str">
        <f t="shared" si="31"/>
        <v/>
      </c>
      <c r="AC35" s="23" t="str">
        <f t="shared" si="31"/>
        <v/>
      </c>
      <c r="AD35" s="23" t="str">
        <f t="shared" si="31"/>
        <v/>
      </c>
      <c r="AE35" s="23" t="str">
        <f t="shared" si="32"/>
        <v/>
      </c>
      <c r="AF35" s="23" t="str">
        <f t="shared" si="32"/>
        <v/>
      </c>
      <c r="AG35" s="23" t="str">
        <f t="shared" si="32"/>
        <v/>
      </c>
      <c r="AH35" s="23" t="str">
        <f t="shared" si="32"/>
        <v/>
      </c>
      <c r="AI35" s="23" t="str">
        <f t="shared" si="32"/>
        <v/>
      </c>
      <c r="AJ35" s="23" t="str">
        <f t="shared" si="32"/>
        <v/>
      </c>
      <c r="AK35" s="23" t="str">
        <f t="shared" si="32"/>
        <v/>
      </c>
      <c r="AL35" s="23" t="str">
        <f t="shared" si="32"/>
        <v/>
      </c>
      <c r="AM35" s="23" t="str">
        <f t="shared" si="32"/>
        <v/>
      </c>
      <c r="AN35" s="23" t="str">
        <f t="shared" si="32"/>
        <v/>
      </c>
      <c r="AO35" s="23" t="str">
        <f t="shared" si="33"/>
        <v/>
      </c>
      <c r="AP35" s="23" t="str">
        <f t="shared" si="33"/>
        <v/>
      </c>
      <c r="AQ35" s="23" t="str">
        <f t="shared" si="33"/>
        <v/>
      </c>
      <c r="AR35" s="23" t="str">
        <f t="shared" si="33"/>
        <v/>
      </c>
      <c r="AS35" s="23" t="str">
        <f t="shared" si="33"/>
        <v/>
      </c>
      <c r="AT35" s="23" t="str">
        <f t="shared" si="33"/>
        <v/>
      </c>
      <c r="AU35" s="23" t="str">
        <f t="shared" si="33"/>
        <v/>
      </c>
      <c r="AV35" s="23" t="str">
        <f t="shared" si="33"/>
        <v/>
      </c>
      <c r="AW35" s="23" t="str">
        <f t="shared" si="33"/>
        <v/>
      </c>
      <c r="AX35" s="23" t="str">
        <f t="shared" si="33"/>
        <v/>
      </c>
      <c r="AY35" s="23" t="str">
        <f t="shared" si="34"/>
        <v/>
      </c>
      <c r="AZ35" s="23" t="str">
        <f t="shared" si="34"/>
        <v/>
      </c>
      <c r="BA35" s="23" t="str">
        <f t="shared" si="34"/>
        <v/>
      </c>
      <c r="BB35" s="23" t="str">
        <f t="shared" si="34"/>
        <v/>
      </c>
      <c r="BC35" s="23" t="str">
        <f t="shared" si="34"/>
        <v/>
      </c>
      <c r="BD35" s="23" t="str">
        <f t="shared" si="34"/>
        <v/>
      </c>
      <c r="BE35" s="23" t="str">
        <f t="shared" si="34"/>
        <v/>
      </c>
      <c r="BF35" s="23" t="str">
        <f t="shared" si="34"/>
        <v/>
      </c>
      <c r="BG35" s="23" t="str">
        <f t="shared" si="34"/>
        <v/>
      </c>
      <c r="BH35" s="23" t="str">
        <f t="shared" si="34"/>
        <v/>
      </c>
      <c r="BI35" s="23" t="str">
        <f t="shared" si="35"/>
        <v/>
      </c>
      <c r="BJ35" s="23" t="str">
        <f t="shared" si="35"/>
        <v/>
      </c>
      <c r="BK35" s="23" t="str">
        <f t="shared" si="35"/>
        <v/>
      </c>
      <c r="BL35" s="23" t="str">
        <f t="shared" si="35"/>
        <v/>
      </c>
      <c r="BM35" s="23" t="str">
        <f t="shared" si="35"/>
        <v/>
      </c>
      <c r="BN35" s="23" t="str">
        <f t="shared" si="35"/>
        <v/>
      </c>
      <c r="BO35" s="23" t="str">
        <f t="shared" si="35"/>
        <v/>
      </c>
      <c r="BP35" s="23" t="str">
        <f t="shared" si="35"/>
        <v/>
      </c>
      <c r="BQ35" s="23" t="str">
        <f t="shared" si="35"/>
        <v/>
      </c>
      <c r="BR35" s="23" t="str">
        <f t="shared" si="35"/>
        <v/>
      </c>
      <c r="BS35" s="23" t="str">
        <f t="shared" si="35"/>
        <v/>
      </c>
      <c r="BU35" s="29" t="s">
        <v>197</v>
      </c>
    </row>
    <row r="36" spans="1:73" ht="34" outlineLevel="1" x14ac:dyDescent="0.2">
      <c r="A36" s="6" t="s">
        <v>198</v>
      </c>
      <c r="B36" s="25" t="s">
        <v>199</v>
      </c>
      <c r="C36" s="6" t="s">
        <v>55</v>
      </c>
      <c r="D36" s="24" t="s">
        <v>128</v>
      </c>
      <c r="F36" s="6" t="s">
        <v>195</v>
      </c>
      <c r="G36" s="22">
        <v>2</v>
      </c>
      <c r="H36" s="22">
        <v>2</v>
      </c>
      <c r="I36" s="22">
        <f>MEDIAN($I$34,$J$34,$I$34+ROUND((G36-$G$34)/$H$34*($J$34-$I$34+1),0))</f>
        <v>2</v>
      </c>
      <c r="J36" s="22">
        <f>MEDIAN(I36,$J$34,$I$34+ROUND((G36+H36-$G$34)/$H$34*($J$34-$I$34+1),0)-1)</f>
        <v>3</v>
      </c>
      <c r="K36" s="23" t="str">
        <f t="shared" si="30"/>
        <v/>
      </c>
      <c r="L36" s="23">
        <f t="shared" si="30"/>
        <v>1</v>
      </c>
      <c r="M36" s="23">
        <f t="shared" si="30"/>
        <v>1</v>
      </c>
      <c r="N36" s="23" t="str">
        <f t="shared" si="30"/>
        <v/>
      </c>
      <c r="O36" s="23" t="str">
        <f t="shared" si="30"/>
        <v/>
      </c>
      <c r="P36" s="23" t="str">
        <f t="shared" si="30"/>
        <v/>
      </c>
      <c r="Q36" s="23" t="str">
        <f t="shared" si="30"/>
        <v/>
      </c>
      <c r="R36" s="23" t="str">
        <f t="shared" si="30"/>
        <v/>
      </c>
      <c r="S36" s="23" t="str">
        <f t="shared" si="30"/>
        <v/>
      </c>
      <c r="T36" s="23" t="str">
        <f t="shared" si="30"/>
        <v/>
      </c>
      <c r="U36" s="23" t="str">
        <f t="shared" si="31"/>
        <v/>
      </c>
      <c r="V36" s="23" t="str">
        <f t="shared" si="31"/>
        <v/>
      </c>
      <c r="W36" s="23" t="str">
        <f t="shared" si="31"/>
        <v/>
      </c>
      <c r="X36" s="23" t="str">
        <f t="shared" si="31"/>
        <v/>
      </c>
      <c r="Y36" s="23" t="str">
        <f t="shared" si="31"/>
        <v/>
      </c>
      <c r="Z36" s="23" t="str">
        <f t="shared" si="31"/>
        <v/>
      </c>
      <c r="AA36" s="23" t="str">
        <f t="shared" si="31"/>
        <v/>
      </c>
      <c r="AB36" s="23" t="str">
        <f t="shared" si="31"/>
        <v/>
      </c>
      <c r="AC36" s="23" t="str">
        <f t="shared" si="31"/>
        <v/>
      </c>
      <c r="AD36" s="23" t="str">
        <f t="shared" si="31"/>
        <v/>
      </c>
      <c r="AE36" s="23" t="str">
        <f t="shared" si="32"/>
        <v/>
      </c>
      <c r="AF36" s="23" t="str">
        <f t="shared" si="32"/>
        <v/>
      </c>
      <c r="AG36" s="23" t="str">
        <f t="shared" si="32"/>
        <v/>
      </c>
      <c r="AH36" s="23" t="str">
        <f t="shared" si="32"/>
        <v/>
      </c>
      <c r="AI36" s="23" t="str">
        <f t="shared" si="32"/>
        <v/>
      </c>
      <c r="AJ36" s="23" t="str">
        <f t="shared" si="32"/>
        <v/>
      </c>
      <c r="AK36" s="23" t="str">
        <f t="shared" si="32"/>
        <v/>
      </c>
      <c r="AL36" s="23" t="str">
        <f t="shared" si="32"/>
        <v/>
      </c>
      <c r="AM36" s="23" t="str">
        <f t="shared" si="32"/>
        <v/>
      </c>
      <c r="AN36" s="23" t="str">
        <f t="shared" si="32"/>
        <v/>
      </c>
      <c r="AO36" s="23" t="str">
        <f t="shared" si="33"/>
        <v/>
      </c>
      <c r="AP36" s="23" t="str">
        <f t="shared" si="33"/>
        <v/>
      </c>
      <c r="AQ36" s="23" t="str">
        <f t="shared" si="33"/>
        <v/>
      </c>
      <c r="AR36" s="23" t="str">
        <f t="shared" si="33"/>
        <v/>
      </c>
      <c r="AS36" s="23" t="str">
        <f t="shared" si="33"/>
        <v/>
      </c>
      <c r="AT36" s="23" t="str">
        <f t="shared" si="33"/>
        <v/>
      </c>
      <c r="AU36" s="23" t="str">
        <f t="shared" si="33"/>
        <v/>
      </c>
      <c r="AV36" s="23" t="str">
        <f t="shared" si="33"/>
        <v/>
      </c>
      <c r="AW36" s="23" t="str">
        <f t="shared" si="33"/>
        <v/>
      </c>
      <c r="AX36" s="23" t="str">
        <f t="shared" si="33"/>
        <v/>
      </c>
      <c r="AY36" s="23" t="str">
        <f t="shared" si="34"/>
        <v/>
      </c>
      <c r="AZ36" s="23" t="str">
        <f t="shared" si="34"/>
        <v/>
      </c>
      <c r="BA36" s="23" t="str">
        <f t="shared" si="34"/>
        <v/>
      </c>
      <c r="BB36" s="23" t="str">
        <f t="shared" si="34"/>
        <v/>
      </c>
      <c r="BC36" s="23" t="str">
        <f t="shared" si="34"/>
        <v/>
      </c>
      <c r="BD36" s="23" t="str">
        <f t="shared" si="34"/>
        <v/>
      </c>
      <c r="BE36" s="23" t="str">
        <f t="shared" si="34"/>
        <v/>
      </c>
      <c r="BF36" s="23" t="str">
        <f t="shared" si="34"/>
        <v/>
      </c>
      <c r="BG36" s="23" t="str">
        <f t="shared" si="34"/>
        <v/>
      </c>
      <c r="BH36" s="23" t="str">
        <f t="shared" si="34"/>
        <v/>
      </c>
      <c r="BI36" s="23" t="str">
        <f t="shared" si="35"/>
        <v/>
      </c>
      <c r="BJ36" s="23" t="str">
        <f t="shared" si="35"/>
        <v/>
      </c>
      <c r="BK36" s="23" t="str">
        <f t="shared" si="35"/>
        <v/>
      </c>
      <c r="BL36" s="23" t="str">
        <f t="shared" si="35"/>
        <v/>
      </c>
      <c r="BM36" s="23" t="str">
        <f t="shared" si="35"/>
        <v/>
      </c>
      <c r="BN36" s="23" t="str">
        <f t="shared" si="35"/>
        <v/>
      </c>
      <c r="BO36" s="23" t="str">
        <f t="shared" si="35"/>
        <v/>
      </c>
      <c r="BP36" s="23" t="str">
        <f t="shared" si="35"/>
        <v/>
      </c>
      <c r="BQ36" s="23" t="str">
        <f t="shared" si="35"/>
        <v/>
      </c>
      <c r="BR36" s="23" t="str">
        <f t="shared" si="35"/>
        <v/>
      </c>
      <c r="BS36" s="23" t="str">
        <f t="shared" si="35"/>
        <v/>
      </c>
      <c r="BU36" s="29" t="s">
        <v>200</v>
      </c>
    </row>
    <row r="37" spans="1:73" ht="17" outlineLevel="1" x14ac:dyDescent="0.2">
      <c r="A37" s="6" t="s">
        <v>201</v>
      </c>
      <c r="B37" s="25" t="s">
        <v>202</v>
      </c>
      <c r="C37" s="6" t="s">
        <v>55</v>
      </c>
      <c r="D37" s="24" t="s">
        <v>128</v>
      </c>
      <c r="F37" s="6" t="s">
        <v>198</v>
      </c>
      <c r="G37" s="22">
        <v>3</v>
      </c>
      <c r="H37" s="22">
        <v>2</v>
      </c>
      <c r="I37" s="22">
        <f>MEDIAN($I$34,$J$34,$I$34+ROUND((G37-$G$34)/$H$34*($J$34-$I$34+1),0))</f>
        <v>3</v>
      </c>
      <c r="J37" s="22">
        <f>MEDIAN(I37,$J$34,$I$34+ROUND((G37+H37-$G$34)/$H$34*($J$34-$I$34+1),0)-1)</f>
        <v>4</v>
      </c>
      <c r="K37" s="23" t="str">
        <f t="shared" si="30"/>
        <v/>
      </c>
      <c r="L37" s="23" t="str">
        <f t="shared" si="30"/>
        <v/>
      </c>
      <c r="M37" s="23">
        <f t="shared" si="30"/>
        <v>1</v>
      </c>
      <c r="N37" s="23">
        <f t="shared" si="30"/>
        <v>1</v>
      </c>
      <c r="O37" s="23" t="str">
        <f t="shared" si="30"/>
        <v/>
      </c>
      <c r="P37" s="23" t="str">
        <f t="shared" si="30"/>
        <v/>
      </c>
      <c r="Q37" s="23" t="str">
        <f t="shared" si="30"/>
        <v/>
      </c>
      <c r="R37" s="23" t="str">
        <f t="shared" si="30"/>
        <v/>
      </c>
      <c r="S37" s="23" t="str">
        <f t="shared" si="30"/>
        <v/>
      </c>
      <c r="T37" s="23" t="str">
        <f t="shared" si="30"/>
        <v/>
      </c>
      <c r="U37" s="23" t="str">
        <f t="shared" si="31"/>
        <v/>
      </c>
      <c r="V37" s="23" t="str">
        <f t="shared" si="31"/>
        <v/>
      </c>
      <c r="W37" s="23" t="str">
        <f t="shared" si="31"/>
        <v/>
      </c>
      <c r="X37" s="23" t="str">
        <f t="shared" si="31"/>
        <v/>
      </c>
      <c r="Y37" s="23" t="str">
        <f t="shared" si="31"/>
        <v/>
      </c>
      <c r="Z37" s="23" t="str">
        <f t="shared" si="31"/>
        <v/>
      </c>
      <c r="AA37" s="23" t="str">
        <f t="shared" si="31"/>
        <v/>
      </c>
      <c r="AB37" s="23" t="str">
        <f t="shared" si="31"/>
        <v/>
      </c>
      <c r="AC37" s="23" t="str">
        <f t="shared" si="31"/>
        <v/>
      </c>
      <c r="AD37" s="23" t="str">
        <f t="shared" si="31"/>
        <v/>
      </c>
      <c r="AE37" s="23" t="str">
        <f t="shared" si="32"/>
        <v/>
      </c>
      <c r="AF37" s="23" t="str">
        <f t="shared" si="32"/>
        <v/>
      </c>
      <c r="AG37" s="23" t="str">
        <f t="shared" si="32"/>
        <v/>
      </c>
      <c r="AH37" s="23" t="str">
        <f t="shared" si="32"/>
        <v/>
      </c>
      <c r="AI37" s="23" t="str">
        <f t="shared" si="32"/>
        <v/>
      </c>
      <c r="AJ37" s="23" t="str">
        <f t="shared" si="32"/>
        <v/>
      </c>
      <c r="AK37" s="23" t="str">
        <f t="shared" si="32"/>
        <v/>
      </c>
      <c r="AL37" s="23" t="str">
        <f t="shared" si="32"/>
        <v/>
      </c>
      <c r="AM37" s="23" t="str">
        <f t="shared" si="32"/>
        <v/>
      </c>
      <c r="AN37" s="23" t="str">
        <f t="shared" si="32"/>
        <v/>
      </c>
      <c r="AO37" s="23" t="str">
        <f t="shared" si="33"/>
        <v/>
      </c>
      <c r="AP37" s="23" t="str">
        <f t="shared" si="33"/>
        <v/>
      </c>
      <c r="AQ37" s="23" t="str">
        <f t="shared" si="33"/>
        <v/>
      </c>
      <c r="AR37" s="23" t="str">
        <f t="shared" si="33"/>
        <v/>
      </c>
      <c r="AS37" s="23" t="str">
        <f t="shared" si="33"/>
        <v/>
      </c>
      <c r="AT37" s="23" t="str">
        <f t="shared" si="33"/>
        <v/>
      </c>
      <c r="AU37" s="23" t="str">
        <f t="shared" si="33"/>
        <v/>
      </c>
      <c r="AV37" s="23" t="str">
        <f t="shared" si="33"/>
        <v/>
      </c>
      <c r="AW37" s="23" t="str">
        <f t="shared" si="33"/>
        <v/>
      </c>
      <c r="AX37" s="23" t="str">
        <f t="shared" si="33"/>
        <v/>
      </c>
      <c r="AY37" s="23" t="str">
        <f t="shared" si="34"/>
        <v/>
      </c>
      <c r="AZ37" s="23" t="str">
        <f t="shared" si="34"/>
        <v/>
      </c>
      <c r="BA37" s="23" t="str">
        <f t="shared" si="34"/>
        <v/>
      </c>
      <c r="BB37" s="23" t="str">
        <f t="shared" si="34"/>
        <v/>
      </c>
      <c r="BC37" s="23" t="str">
        <f t="shared" si="34"/>
        <v/>
      </c>
      <c r="BD37" s="23" t="str">
        <f t="shared" si="34"/>
        <v/>
      </c>
      <c r="BE37" s="23" t="str">
        <f t="shared" si="34"/>
        <v/>
      </c>
      <c r="BF37" s="23" t="str">
        <f t="shared" si="34"/>
        <v/>
      </c>
      <c r="BG37" s="23" t="str">
        <f t="shared" si="34"/>
        <v/>
      </c>
      <c r="BH37" s="23" t="str">
        <f t="shared" si="34"/>
        <v/>
      </c>
      <c r="BI37" s="23" t="str">
        <f t="shared" si="35"/>
        <v/>
      </c>
      <c r="BJ37" s="23" t="str">
        <f t="shared" si="35"/>
        <v/>
      </c>
      <c r="BK37" s="23" t="str">
        <f t="shared" si="35"/>
        <v/>
      </c>
      <c r="BL37" s="23" t="str">
        <f t="shared" si="35"/>
        <v/>
      </c>
      <c r="BM37" s="23" t="str">
        <f t="shared" si="35"/>
        <v/>
      </c>
      <c r="BN37" s="23" t="str">
        <f t="shared" si="35"/>
        <v/>
      </c>
      <c r="BO37" s="23" t="str">
        <f t="shared" si="35"/>
        <v/>
      </c>
      <c r="BP37" s="23" t="str">
        <f t="shared" si="35"/>
        <v/>
      </c>
      <c r="BQ37" s="23" t="str">
        <f t="shared" si="35"/>
        <v/>
      </c>
      <c r="BR37" s="23" t="str">
        <f t="shared" si="35"/>
        <v/>
      </c>
      <c r="BS37" s="23" t="str">
        <f t="shared" si="35"/>
        <v/>
      </c>
      <c r="BU37" s="29" t="s">
        <v>203</v>
      </c>
    </row>
    <row r="38" spans="1:73" ht="17" outlineLevel="1" x14ac:dyDescent="0.2">
      <c r="A38" s="6" t="s">
        <v>204</v>
      </c>
      <c r="B38" s="25" t="s">
        <v>205</v>
      </c>
      <c r="C38" s="6" t="s">
        <v>55</v>
      </c>
      <c r="D38" s="24" t="s">
        <v>128</v>
      </c>
      <c r="F38" s="6" t="s">
        <v>201</v>
      </c>
      <c r="G38" s="22">
        <v>4</v>
      </c>
      <c r="H38" s="22">
        <v>2</v>
      </c>
      <c r="I38" s="22">
        <f>MEDIAN($I$34,$J$34,$I$34+ROUND((G38-$G$34)/$H$34*($J$34-$I$34+1),0))</f>
        <v>4</v>
      </c>
      <c r="J38" s="22">
        <f>MEDIAN(I38,$J$34,$I$34+ROUND((G38+H38-$G$34)/$H$34*($J$34-$I$34+1),0)-1)</f>
        <v>5</v>
      </c>
      <c r="K38" s="23" t="str">
        <f t="shared" si="30"/>
        <v/>
      </c>
      <c r="L38" s="23" t="str">
        <f t="shared" si="30"/>
        <v/>
      </c>
      <c r="M38" s="23" t="str">
        <f t="shared" si="30"/>
        <v/>
      </c>
      <c r="N38" s="23">
        <f t="shared" si="30"/>
        <v>1</v>
      </c>
      <c r="O38" s="23">
        <f t="shared" si="30"/>
        <v>1</v>
      </c>
      <c r="P38" s="23" t="str">
        <f t="shared" si="30"/>
        <v/>
      </c>
      <c r="Q38" s="23" t="str">
        <f t="shared" si="30"/>
        <v/>
      </c>
      <c r="R38" s="23" t="str">
        <f t="shared" si="30"/>
        <v/>
      </c>
      <c r="S38" s="23" t="str">
        <f t="shared" si="30"/>
        <v/>
      </c>
      <c r="T38" s="23" t="str">
        <f t="shared" si="30"/>
        <v/>
      </c>
      <c r="U38" s="23" t="str">
        <f t="shared" si="31"/>
        <v/>
      </c>
      <c r="V38" s="23" t="str">
        <f t="shared" si="31"/>
        <v/>
      </c>
      <c r="W38" s="23" t="str">
        <f t="shared" si="31"/>
        <v/>
      </c>
      <c r="X38" s="23" t="str">
        <f t="shared" si="31"/>
        <v/>
      </c>
      <c r="Y38" s="23" t="str">
        <f t="shared" si="31"/>
        <v/>
      </c>
      <c r="Z38" s="23" t="str">
        <f t="shared" si="31"/>
        <v/>
      </c>
      <c r="AA38" s="23" t="str">
        <f t="shared" si="31"/>
        <v/>
      </c>
      <c r="AB38" s="23" t="str">
        <f t="shared" si="31"/>
        <v/>
      </c>
      <c r="AC38" s="23" t="str">
        <f t="shared" si="31"/>
        <v/>
      </c>
      <c r="AD38" s="23" t="str">
        <f t="shared" si="31"/>
        <v/>
      </c>
      <c r="AE38" s="23" t="str">
        <f t="shared" si="32"/>
        <v/>
      </c>
      <c r="AF38" s="23" t="str">
        <f t="shared" si="32"/>
        <v/>
      </c>
      <c r="AG38" s="23" t="str">
        <f t="shared" si="32"/>
        <v/>
      </c>
      <c r="AH38" s="23" t="str">
        <f t="shared" si="32"/>
        <v/>
      </c>
      <c r="AI38" s="23" t="str">
        <f t="shared" si="32"/>
        <v/>
      </c>
      <c r="AJ38" s="23" t="str">
        <f t="shared" si="32"/>
        <v/>
      </c>
      <c r="AK38" s="23" t="str">
        <f t="shared" si="32"/>
        <v/>
      </c>
      <c r="AL38" s="23" t="str">
        <f t="shared" si="32"/>
        <v/>
      </c>
      <c r="AM38" s="23" t="str">
        <f t="shared" si="32"/>
        <v/>
      </c>
      <c r="AN38" s="23" t="str">
        <f t="shared" si="32"/>
        <v/>
      </c>
      <c r="AO38" s="23" t="str">
        <f t="shared" si="33"/>
        <v/>
      </c>
      <c r="AP38" s="23" t="str">
        <f t="shared" si="33"/>
        <v/>
      </c>
      <c r="AQ38" s="23" t="str">
        <f t="shared" si="33"/>
        <v/>
      </c>
      <c r="AR38" s="23" t="str">
        <f t="shared" si="33"/>
        <v/>
      </c>
      <c r="AS38" s="23" t="str">
        <f t="shared" si="33"/>
        <v/>
      </c>
      <c r="AT38" s="23" t="str">
        <f t="shared" si="33"/>
        <v/>
      </c>
      <c r="AU38" s="23" t="str">
        <f t="shared" si="33"/>
        <v/>
      </c>
      <c r="AV38" s="23" t="str">
        <f t="shared" si="33"/>
        <v/>
      </c>
      <c r="AW38" s="23" t="str">
        <f t="shared" si="33"/>
        <v/>
      </c>
      <c r="AX38" s="23" t="str">
        <f t="shared" si="33"/>
        <v/>
      </c>
      <c r="AY38" s="23" t="str">
        <f t="shared" si="34"/>
        <v/>
      </c>
      <c r="AZ38" s="23" t="str">
        <f t="shared" si="34"/>
        <v/>
      </c>
      <c r="BA38" s="23" t="str">
        <f t="shared" si="34"/>
        <v/>
      </c>
      <c r="BB38" s="23" t="str">
        <f t="shared" si="34"/>
        <v/>
      </c>
      <c r="BC38" s="23" t="str">
        <f t="shared" si="34"/>
        <v/>
      </c>
      <c r="BD38" s="23" t="str">
        <f t="shared" si="34"/>
        <v/>
      </c>
      <c r="BE38" s="23" t="str">
        <f t="shared" si="34"/>
        <v/>
      </c>
      <c r="BF38" s="23" t="str">
        <f t="shared" si="34"/>
        <v/>
      </c>
      <c r="BG38" s="23" t="str">
        <f t="shared" si="34"/>
        <v/>
      </c>
      <c r="BH38" s="23" t="str">
        <f t="shared" si="34"/>
        <v/>
      </c>
      <c r="BI38" s="23" t="str">
        <f t="shared" si="35"/>
        <v/>
      </c>
      <c r="BJ38" s="23" t="str">
        <f t="shared" si="35"/>
        <v/>
      </c>
      <c r="BK38" s="23" t="str">
        <f t="shared" si="35"/>
        <v/>
      </c>
      <c r="BL38" s="23" t="str">
        <f t="shared" si="35"/>
        <v/>
      </c>
      <c r="BM38" s="23" t="str">
        <f t="shared" si="35"/>
        <v/>
      </c>
      <c r="BN38" s="23" t="str">
        <f t="shared" si="35"/>
        <v/>
      </c>
      <c r="BO38" s="23" t="str">
        <f t="shared" si="35"/>
        <v/>
      </c>
      <c r="BP38" s="23" t="str">
        <f t="shared" si="35"/>
        <v/>
      </c>
      <c r="BQ38" s="23" t="str">
        <f t="shared" si="35"/>
        <v/>
      </c>
      <c r="BR38" s="23" t="str">
        <f t="shared" si="35"/>
        <v/>
      </c>
      <c r="BS38" s="23" t="str">
        <f t="shared" si="35"/>
        <v/>
      </c>
      <c r="BU38" s="29" t="s">
        <v>206</v>
      </c>
    </row>
    <row r="39" spans="1:73" x14ac:dyDescent="0.2">
      <c r="BU39" s="30"/>
    </row>
    <row r="40" spans="1:73" ht="17" x14ac:dyDescent="0.2">
      <c r="A40" s="19" t="s">
        <v>207</v>
      </c>
      <c r="B40" s="20" t="s">
        <v>208</v>
      </c>
      <c r="C40" s="19" t="s">
        <v>55</v>
      </c>
      <c r="D40" s="21" t="s">
        <v>117</v>
      </c>
      <c r="E40" s="19" t="s">
        <v>79</v>
      </c>
      <c r="F40" s="19"/>
      <c r="G40" s="22">
        <v>1</v>
      </c>
      <c r="H40" s="22">
        <v>5</v>
      </c>
      <c r="I40" s="22">
        <f>MIN(61,IF(G40&lt;=29,ROUND((G40-1)*(29+SlipWeeks)/29,0)+1,G40+SlipWeeks))</f>
        <v>1</v>
      </c>
      <c r="J40" s="22">
        <f>MIN(61,IF(G40+H40-1&lt;=29,MAX(ROUND((G40+H40-1)*(29+SlipWeeks)/29,0),I40),G40+H40-1+SlipWeeks))</f>
        <v>5</v>
      </c>
      <c r="K40" s="23">
        <f t="shared" ref="K40:T44" si="36">IF(AND(K$4&gt;=$I40,K$4&lt;=$J40),1,"")</f>
        <v>1</v>
      </c>
      <c r="L40" s="23">
        <f t="shared" si="36"/>
        <v>1</v>
      </c>
      <c r="M40" s="23">
        <f t="shared" si="36"/>
        <v>1</v>
      </c>
      <c r="N40" s="23">
        <f t="shared" si="36"/>
        <v>1</v>
      </c>
      <c r="O40" s="23">
        <f t="shared" si="36"/>
        <v>1</v>
      </c>
      <c r="P40" s="23" t="str">
        <f t="shared" si="36"/>
        <v/>
      </c>
      <c r="Q40" s="23" t="str">
        <f t="shared" si="36"/>
        <v/>
      </c>
      <c r="R40" s="23" t="str">
        <f t="shared" si="36"/>
        <v/>
      </c>
      <c r="S40" s="23" t="str">
        <f t="shared" si="36"/>
        <v/>
      </c>
      <c r="T40" s="23" t="str">
        <f t="shared" si="36"/>
        <v/>
      </c>
      <c r="U40" s="23" t="str">
        <f t="shared" ref="U40:AD44" si="37">IF(AND(U$4&gt;=$I40,U$4&lt;=$J40),1,"")</f>
        <v/>
      </c>
      <c r="V40" s="23" t="str">
        <f t="shared" si="37"/>
        <v/>
      </c>
      <c r="W40" s="23" t="str">
        <f t="shared" si="37"/>
        <v/>
      </c>
      <c r="X40" s="23" t="str">
        <f t="shared" si="37"/>
        <v/>
      </c>
      <c r="Y40" s="23" t="str">
        <f t="shared" si="37"/>
        <v/>
      </c>
      <c r="Z40" s="23" t="str">
        <f t="shared" si="37"/>
        <v/>
      </c>
      <c r="AA40" s="23" t="str">
        <f t="shared" si="37"/>
        <v/>
      </c>
      <c r="AB40" s="23" t="str">
        <f t="shared" si="37"/>
        <v/>
      </c>
      <c r="AC40" s="23" t="str">
        <f t="shared" si="37"/>
        <v/>
      </c>
      <c r="AD40" s="23" t="str">
        <f t="shared" si="37"/>
        <v/>
      </c>
      <c r="AE40" s="23" t="str">
        <f t="shared" ref="AE40:AN44" si="38">IF(AND(AE$4&gt;=$I40,AE$4&lt;=$J40),1,"")</f>
        <v/>
      </c>
      <c r="AF40" s="23" t="str">
        <f t="shared" si="38"/>
        <v/>
      </c>
      <c r="AG40" s="23" t="str">
        <f t="shared" si="38"/>
        <v/>
      </c>
      <c r="AH40" s="23" t="str">
        <f t="shared" si="38"/>
        <v/>
      </c>
      <c r="AI40" s="23" t="str">
        <f t="shared" si="38"/>
        <v/>
      </c>
      <c r="AJ40" s="23" t="str">
        <f t="shared" si="38"/>
        <v/>
      </c>
      <c r="AK40" s="23" t="str">
        <f t="shared" si="38"/>
        <v/>
      </c>
      <c r="AL40" s="23" t="str">
        <f t="shared" si="38"/>
        <v/>
      </c>
      <c r="AM40" s="23" t="str">
        <f t="shared" si="38"/>
        <v/>
      </c>
      <c r="AN40" s="23" t="str">
        <f t="shared" si="38"/>
        <v/>
      </c>
      <c r="AO40" s="23" t="str">
        <f t="shared" ref="AO40:AX44" si="39">IF(AND(AO$4&gt;=$I40,AO$4&lt;=$J40),1,"")</f>
        <v/>
      </c>
      <c r="AP40" s="23" t="str">
        <f t="shared" si="39"/>
        <v/>
      </c>
      <c r="AQ40" s="23" t="str">
        <f t="shared" si="39"/>
        <v/>
      </c>
      <c r="AR40" s="23" t="str">
        <f t="shared" si="39"/>
        <v/>
      </c>
      <c r="AS40" s="23" t="str">
        <f t="shared" si="39"/>
        <v/>
      </c>
      <c r="AT40" s="23" t="str">
        <f t="shared" si="39"/>
        <v/>
      </c>
      <c r="AU40" s="23" t="str">
        <f t="shared" si="39"/>
        <v/>
      </c>
      <c r="AV40" s="23" t="str">
        <f t="shared" si="39"/>
        <v/>
      </c>
      <c r="AW40" s="23" t="str">
        <f t="shared" si="39"/>
        <v/>
      </c>
      <c r="AX40" s="23" t="str">
        <f t="shared" si="39"/>
        <v/>
      </c>
      <c r="AY40" s="23" t="str">
        <f t="shared" ref="AY40:BH44" si="40">IF(AND(AY$4&gt;=$I40,AY$4&lt;=$J40),1,"")</f>
        <v/>
      </c>
      <c r="AZ40" s="23" t="str">
        <f t="shared" si="40"/>
        <v/>
      </c>
      <c r="BA40" s="23" t="str">
        <f t="shared" si="40"/>
        <v/>
      </c>
      <c r="BB40" s="23" t="str">
        <f t="shared" si="40"/>
        <v/>
      </c>
      <c r="BC40" s="23" t="str">
        <f t="shared" si="40"/>
        <v/>
      </c>
      <c r="BD40" s="23" t="str">
        <f t="shared" si="40"/>
        <v/>
      </c>
      <c r="BE40" s="23" t="str">
        <f t="shared" si="40"/>
        <v/>
      </c>
      <c r="BF40" s="23" t="str">
        <f t="shared" si="40"/>
        <v/>
      </c>
      <c r="BG40" s="23" t="str">
        <f t="shared" si="40"/>
        <v/>
      </c>
      <c r="BH40" s="23" t="str">
        <f t="shared" si="40"/>
        <v/>
      </c>
      <c r="BI40" s="23" t="str">
        <f t="shared" ref="BI40:BS44" si="41">IF(AND(BI$4&gt;=$I40,BI$4&lt;=$J40),1,"")</f>
        <v/>
      </c>
      <c r="BJ40" s="23" t="str">
        <f t="shared" si="41"/>
        <v/>
      </c>
      <c r="BK40" s="23" t="str">
        <f t="shared" si="41"/>
        <v/>
      </c>
      <c r="BL40" s="23" t="str">
        <f t="shared" si="41"/>
        <v/>
      </c>
      <c r="BM40" s="23" t="str">
        <f t="shared" si="41"/>
        <v/>
      </c>
      <c r="BN40" s="23" t="str">
        <f t="shared" si="41"/>
        <v/>
      </c>
      <c r="BO40" s="23" t="str">
        <f t="shared" si="41"/>
        <v/>
      </c>
      <c r="BP40" s="23" t="str">
        <f t="shared" si="41"/>
        <v/>
      </c>
      <c r="BQ40" s="23" t="str">
        <f t="shared" si="41"/>
        <v/>
      </c>
      <c r="BR40" s="23" t="str">
        <f t="shared" si="41"/>
        <v/>
      </c>
      <c r="BS40" s="23" t="str">
        <f t="shared" si="41"/>
        <v/>
      </c>
      <c r="BT40" s="24" t="str">
        <f>IF(IF(G40+H40-1&lt;=29,MAX(ROUND((G40+H40-1)*(29+SlipWeeks)/29,0),$I40),G40+H40-1+SlipWeeks)&gt;61,"▶ clipped","")</f>
        <v/>
      </c>
      <c r="BU40" s="29" t="s">
        <v>209</v>
      </c>
    </row>
    <row r="41" spans="1:73" ht="17" outlineLevel="1" x14ac:dyDescent="0.2">
      <c r="A41" s="6" t="s">
        <v>210</v>
      </c>
      <c r="B41" s="25" t="s">
        <v>211</v>
      </c>
      <c r="C41" s="6" t="s">
        <v>55</v>
      </c>
      <c r="D41" s="24" t="s">
        <v>121</v>
      </c>
      <c r="F41" s="6"/>
      <c r="G41" s="22">
        <v>1</v>
      </c>
      <c r="H41" s="22">
        <v>1</v>
      </c>
      <c r="I41" s="22">
        <f>MEDIAN($I$40,$J$40,$I$40+ROUND((G41-$G$40)/$H$40*($J$40-$I$40+1),0))</f>
        <v>1</v>
      </c>
      <c r="J41" s="22">
        <f>MEDIAN(I41,$J$40,$I$40+ROUND((G41+H41-$G$40)/$H$40*($J$40-$I$40+1),0)-1)</f>
        <v>1</v>
      </c>
      <c r="K41" s="23">
        <f t="shared" si="36"/>
        <v>1</v>
      </c>
      <c r="L41" s="23" t="str">
        <f t="shared" si="36"/>
        <v/>
      </c>
      <c r="M41" s="23" t="str">
        <f t="shared" si="36"/>
        <v/>
      </c>
      <c r="N41" s="23" t="str">
        <f t="shared" si="36"/>
        <v/>
      </c>
      <c r="O41" s="23" t="str">
        <f t="shared" si="36"/>
        <v/>
      </c>
      <c r="P41" s="23" t="str">
        <f t="shared" si="36"/>
        <v/>
      </c>
      <c r="Q41" s="23" t="str">
        <f t="shared" si="36"/>
        <v/>
      </c>
      <c r="R41" s="23" t="str">
        <f t="shared" si="36"/>
        <v/>
      </c>
      <c r="S41" s="23" t="str">
        <f t="shared" si="36"/>
        <v/>
      </c>
      <c r="T41" s="23" t="str">
        <f t="shared" si="36"/>
        <v/>
      </c>
      <c r="U41" s="23" t="str">
        <f t="shared" si="37"/>
        <v/>
      </c>
      <c r="V41" s="23" t="str">
        <f t="shared" si="37"/>
        <v/>
      </c>
      <c r="W41" s="23" t="str">
        <f t="shared" si="37"/>
        <v/>
      </c>
      <c r="X41" s="23" t="str">
        <f t="shared" si="37"/>
        <v/>
      </c>
      <c r="Y41" s="23" t="str">
        <f t="shared" si="37"/>
        <v/>
      </c>
      <c r="Z41" s="23" t="str">
        <f t="shared" si="37"/>
        <v/>
      </c>
      <c r="AA41" s="23" t="str">
        <f t="shared" si="37"/>
        <v/>
      </c>
      <c r="AB41" s="23" t="str">
        <f t="shared" si="37"/>
        <v/>
      </c>
      <c r="AC41" s="23" t="str">
        <f t="shared" si="37"/>
        <v/>
      </c>
      <c r="AD41" s="23" t="str">
        <f t="shared" si="37"/>
        <v/>
      </c>
      <c r="AE41" s="23" t="str">
        <f t="shared" si="38"/>
        <v/>
      </c>
      <c r="AF41" s="23" t="str">
        <f t="shared" si="38"/>
        <v/>
      </c>
      <c r="AG41" s="23" t="str">
        <f t="shared" si="38"/>
        <v/>
      </c>
      <c r="AH41" s="23" t="str">
        <f t="shared" si="38"/>
        <v/>
      </c>
      <c r="AI41" s="23" t="str">
        <f t="shared" si="38"/>
        <v/>
      </c>
      <c r="AJ41" s="23" t="str">
        <f t="shared" si="38"/>
        <v/>
      </c>
      <c r="AK41" s="23" t="str">
        <f t="shared" si="38"/>
        <v/>
      </c>
      <c r="AL41" s="23" t="str">
        <f t="shared" si="38"/>
        <v/>
      </c>
      <c r="AM41" s="23" t="str">
        <f t="shared" si="38"/>
        <v/>
      </c>
      <c r="AN41" s="23" t="str">
        <f t="shared" si="38"/>
        <v/>
      </c>
      <c r="AO41" s="23" t="str">
        <f t="shared" si="39"/>
        <v/>
      </c>
      <c r="AP41" s="23" t="str">
        <f t="shared" si="39"/>
        <v/>
      </c>
      <c r="AQ41" s="23" t="str">
        <f t="shared" si="39"/>
        <v/>
      </c>
      <c r="AR41" s="23" t="str">
        <f t="shared" si="39"/>
        <v/>
      </c>
      <c r="AS41" s="23" t="str">
        <f t="shared" si="39"/>
        <v/>
      </c>
      <c r="AT41" s="23" t="str">
        <f t="shared" si="39"/>
        <v/>
      </c>
      <c r="AU41" s="23" t="str">
        <f t="shared" si="39"/>
        <v/>
      </c>
      <c r="AV41" s="23" t="str">
        <f t="shared" si="39"/>
        <v/>
      </c>
      <c r="AW41" s="23" t="str">
        <f t="shared" si="39"/>
        <v/>
      </c>
      <c r="AX41" s="23" t="str">
        <f t="shared" si="39"/>
        <v/>
      </c>
      <c r="AY41" s="23" t="str">
        <f t="shared" si="40"/>
        <v/>
      </c>
      <c r="AZ41" s="23" t="str">
        <f t="shared" si="40"/>
        <v/>
      </c>
      <c r="BA41" s="23" t="str">
        <f t="shared" si="40"/>
        <v/>
      </c>
      <c r="BB41" s="23" t="str">
        <f t="shared" si="40"/>
        <v/>
      </c>
      <c r="BC41" s="23" t="str">
        <f t="shared" si="40"/>
        <v/>
      </c>
      <c r="BD41" s="23" t="str">
        <f t="shared" si="40"/>
        <v/>
      </c>
      <c r="BE41" s="23" t="str">
        <f t="shared" si="40"/>
        <v/>
      </c>
      <c r="BF41" s="23" t="str">
        <f t="shared" si="40"/>
        <v/>
      </c>
      <c r="BG41" s="23" t="str">
        <f t="shared" si="40"/>
        <v/>
      </c>
      <c r="BH41" s="23" t="str">
        <f t="shared" si="40"/>
        <v/>
      </c>
      <c r="BI41" s="23" t="str">
        <f t="shared" si="41"/>
        <v/>
      </c>
      <c r="BJ41" s="23" t="str">
        <f t="shared" si="41"/>
        <v/>
      </c>
      <c r="BK41" s="23" t="str">
        <f t="shared" si="41"/>
        <v/>
      </c>
      <c r="BL41" s="23" t="str">
        <f t="shared" si="41"/>
        <v/>
      </c>
      <c r="BM41" s="23" t="str">
        <f t="shared" si="41"/>
        <v/>
      </c>
      <c r="BN41" s="23" t="str">
        <f t="shared" si="41"/>
        <v/>
      </c>
      <c r="BO41" s="23" t="str">
        <f t="shared" si="41"/>
        <v/>
      </c>
      <c r="BP41" s="23" t="str">
        <f t="shared" si="41"/>
        <v/>
      </c>
      <c r="BQ41" s="23" t="str">
        <f t="shared" si="41"/>
        <v/>
      </c>
      <c r="BR41" s="23" t="str">
        <f t="shared" si="41"/>
        <v/>
      </c>
      <c r="BS41" s="23" t="str">
        <f t="shared" si="41"/>
        <v/>
      </c>
      <c r="BU41" s="29" t="s">
        <v>212</v>
      </c>
    </row>
    <row r="42" spans="1:73" ht="17" outlineLevel="1" x14ac:dyDescent="0.2">
      <c r="A42" s="6" t="s">
        <v>213</v>
      </c>
      <c r="B42" s="25" t="s">
        <v>214</v>
      </c>
      <c r="C42" s="6" t="s">
        <v>55</v>
      </c>
      <c r="D42" s="24" t="s">
        <v>128</v>
      </c>
      <c r="F42" s="6" t="s">
        <v>210</v>
      </c>
      <c r="G42" s="22">
        <v>2</v>
      </c>
      <c r="H42" s="22">
        <v>3</v>
      </c>
      <c r="I42" s="22">
        <f>MEDIAN($I$40,$J$40,$I$40+ROUND((G42-$G$40)/$H$40*($J$40-$I$40+1),0))</f>
        <v>2</v>
      </c>
      <c r="J42" s="22">
        <f>MEDIAN(I42,$J$40,$I$40+ROUND((G42+H42-$G$40)/$H$40*($J$40-$I$40+1),0)-1)</f>
        <v>4</v>
      </c>
      <c r="K42" s="23" t="str">
        <f t="shared" si="36"/>
        <v/>
      </c>
      <c r="L42" s="23">
        <f t="shared" si="36"/>
        <v>1</v>
      </c>
      <c r="M42" s="23">
        <f t="shared" si="36"/>
        <v>1</v>
      </c>
      <c r="N42" s="23">
        <f t="shared" si="36"/>
        <v>1</v>
      </c>
      <c r="O42" s="23" t="str">
        <f t="shared" si="36"/>
        <v/>
      </c>
      <c r="P42" s="23" t="str">
        <f t="shared" si="36"/>
        <v/>
      </c>
      <c r="Q42" s="23" t="str">
        <f t="shared" si="36"/>
        <v/>
      </c>
      <c r="R42" s="23" t="str">
        <f t="shared" si="36"/>
        <v/>
      </c>
      <c r="S42" s="23" t="str">
        <f t="shared" si="36"/>
        <v/>
      </c>
      <c r="T42" s="23" t="str">
        <f t="shared" si="36"/>
        <v/>
      </c>
      <c r="U42" s="23" t="str">
        <f t="shared" si="37"/>
        <v/>
      </c>
      <c r="V42" s="23" t="str">
        <f t="shared" si="37"/>
        <v/>
      </c>
      <c r="W42" s="23" t="str">
        <f t="shared" si="37"/>
        <v/>
      </c>
      <c r="X42" s="23" t="str">
        <f t="shared" si="37"/>
        <v/>
      </c>
      <c r="Y42" s="23" t="str">
        <f t="shared" si="37"/>
        <v/>
      </c>
      <c r="Z42" s="23" t="str">
        <f t="shared" si="37"/>
        <v/>
      </c>
      <c r="AA42" s="23" t="str">
        <f t="shared" si="37"/>
        <v/>
      </c>
      <c r="AB42" s="23" t="str">
        <f t="shared" si="37"/>
        <v/>
      </c>
      <c r="AC42" s="23" t="str">
        <f t="shared" si="37"/>
        <v/>
      </c>
      <c r="AD42" s="23" t="str">
        <f t="shared" si="37"/>
        <v/>
      </c>
      <c r="AE42" s="23" t="str">
        <f t="shared" si="38"/>
        <v/>
      </c>
      <c r="AF42" s="23" t="str">
        <f t="shared" si="38"/>
        <v/>
      </c>
      <c r="AG42" s="23" t="str">
        <f t="shared" si="38"/>
        <v/>
      </c>
      <c r="AH42" s="23" t="str">
        <f t="shared" si="38"/>
        <v/>
      </c>
      <c r="AI42" s="23" t="str">
        <f t="shared" si="38"/>
        <v/>
      </c>
      <c r="AJ42" s="23" t="str">
        <f t="shared" si="38"/>
        <v/>
      </c>
      <c r="AK42" s="23" t="str">
        <f t="shared" si="38"/>
        <v/>
      </c>
      <c r="AL42" s="23" t="str">
        <f t="shared" si="38"/>
        <v/>
      </c>
      <c r="AM42" s="23" t="str">
        <f t="shared" si="38"/>
        <v/>
      </c>
      <c r="AN42" s="23" t="str">
        <f t="shared" si="38"/>
        <v/>
      </c>
      <c r="AO42" s="23" t="str">
        <f t="shared" si="39"/>
        <v/>
      </c>
      <c r="AP42" s="23" t="str">
        <f t="shared" si="39"/>
        <v/>
      </c>
      <c r="AQ42" s="23" t="str">
        <f t="shared" si="39"/>
        <v/>
      </c>
      <c r="AR42" s="23" t="str">
        <f t="shared" si="39"/>
        <v/>
      </c>
      <c r="AS42" s="23" t="str">
        <f t="shared" si="39"/>
        <v/>
      </c>
      <c r="AT42" s="23" t="str">
        <f t="shared" si="39"/>
        <v/>
      </c>
      <c r="AU42" s="23" t="str">
        <f t="shared" si="39"/>
        <v/>
      </c>
      <c r="AV42" s="23" t="str">
        <f t="shared" si="39"/>
        <v/>
      </c>
      <c r="AW42" s="23" t="str">
        <f t="shared" si="39"/>
        <v/>
      </c>
      <c r="AX42" s="23" t="str">
        <f t="shared" si="39"/>
        <v/>
      </c>
      <c r="AY42" s="23" t="str">
        <f t="shared" si="40"/>
        <v/>
      </c>
      <c r="AZ42" s="23" t="str">
        <f t="shared" si="40"/>
        <v/>
      </c>
      <c r="BA42" s="23" t="str">
        <f t="shared" si="40"/>
        <v/>
      </c>
      <c r="BB42" s="23" t="str">
        <f t="shared" si="40"/>
        <v/>
      </c>
      <c r="BC42" s="23" t="str">
        <f t="shared" si="40"/>
        <v/>
      </c>
      <c r="BD42" s="23" t="str">
        <f t="shared" si="40"/>
        <v/>
      </c>
      <c r="BE42" s="23" t="str">
        <f t="shared" si="40"/>
        <v/>
      </c>
      <c r="BF42" s="23" t="str">
        <f t="shared" si="40"/>
        <v/>
      </c>
      <c r="BG42" s="23" t="str">
        <f t="shared" si="40"/>
        <v/>
      </c>
      <c r="BH42" s="23" t="str">
        <f t="shared" si="40"/>
        <v/>
      </c>
      <c r="BI42" s="23" t="str">
        <f t="shared" si="41"/>
        <v/>
      </c>
      <c r="BJ42" s="23" t="str">
        <f t="shared" si="41"/>
        <v/>
      </c>
      <c r="BK42" s="23" t="str">
        <f t="shared" si="41"/>
        <v/>
      </c>
      <c r="BL42" s="23" t="str">
        <f t="shared" si="41"/>
        <v/>
      </c>
      <c r="BM42" s="23" t="str">
        <f t="shared" si="41"/>
        <v/>
      </c>
      <c r="BN42" s="23" t="str">
        <f t="shared" si="41"/>
        <v/>
      </c>
      <c r="BO42" s="23" t="str">
        <f t="shared" si="41"/>
        <v/>
      </c>
      <c r="BP42" s="23" t="str">
        <f t="shared" si="41"/>
        <v/>
      </c>
      <c r="BQ42" s="23" t="str">
        <f t="shared" si="41"/>
        <v/>
      </c>
      <c r="BR42" s="23" t="str">
        <f t="shared" si="41"/>
        <v/>
      </c>
      <c r="BS42" s="23" t="str">
        <f t="shared" si="41"/>
        <v/>
      </c>
      <c r="BU42" s="29" t="s">
        <v>215</v>
      </c>
    </row>
    <row r="43" spans="1:73" ht="34" outlineLevel="1" x14ac:dyDescent="0.2">
      <c r="A43" s="6" t="s">
        <v>216</v>
      </c>
      <c r="B43" s="25" t="s">
        <v>217</v>
      </c>
      <c r="C43" s="6" t="s">
        <v>55</v>
      </c>
      <c r="D43" s="24" t="s">
        <v>128</v>
      </c>
      <c r="F43" s="6" t="s">
        <v>213</v>
      </c>
      <c r="G43" s="22">
        <v>3</v>
      </c>
      <c r="H43" s="22">
        <v>3</v>
      </c>
      <c r="I43" s="22">
        <f>MEDIAN($I$40,$J$40,$I$40+ROUND((G43-$G$40)/$H$40*($J$40-$I$40+1),0))</f>
        <v>3</v>
      </c>
      <c r="J43" s="22">
        <f>MEDIAN(I43,$J$40,$I$40+ROUND((G43+H43-$G$40)/$H$40*($J$40-$I$40+1),0)-1)</f>
        <v>5</v>
      </c>
      <c r="K43" s="23" t="str">
        <f t="shared" si="36"/>
        <v/>
      </c>
      <c r="L43" s="23" t="str">
        <f t="shared" si="36"/>
        <v/>
      </c>
      <c r="M43" s="23">
        <f t="shared" si="36"/>
        <v>1</v>
      </c>
      <c r="N43" s="23">
        <f t="shared" si="36"/>
        <v>1</v>
      </c>
      <c r="O43" s="23">
        <f t="shared" si="36"/>
        <v>1</v>
      </c>
      <c r="P43" s="23" t="str">
        <f t="shared" si="36"/>
        <v/>
      </c>
      <c r="Q43" s="23" t="str">
        <f t="shared" si="36"/>
        <v/>
      </c>
      <c r="R43" s="23" t="str">
        <f t="shared" si="36"/>
        <v/>
      </c>
      <c r="S43" s="23" t="str">
        <f t="shared" si="36"/>
        <v/>
      </c>
      <c r="T43" s="23" t="str">
        <f t="shared" si="36"/>
        <v/>
      </c>
      <c r="U43" s="23" t="str">
        <f t="shared" si="37"/>
        <v/>
      </c>
      <c r="V43" s="23" t="str">
        <f t="shared" si="37"/>
        <v/>
      </c>
      <c r="W43" s="23" t="str">
        <f t="shared" si="37"/>
        <v/>
      </c>
      <c r="X43" s="23" t="str">
        <f t="shared" si="37"/>
        <v/>
      </c>
      <c r="Y43" s="23" t="str">
        <f t="shared" si="37"/>
        <v/>
      </c>
      <c r="Z43" s="23" t="str">
        <f t="shared" si="37"/>
        <v/>
      </c>
      <c r="AA43" s="23" t="str">
        <f t="shared" si="37"/>
        <v/>
      </c>
      <c r="AB43" s="23" t="str">
        <f t="shared" si="37"/>
        <v/>
      </c>
      <c r="AC43" s="23" t="str">
        <f t="shared" si="37"/>
        <v/>
      </c>
      <c r="AD43" s="23" t="str">
        <f t="shared" si="37"/>
        <v/>
      </c>
      <c r="AE43" s="23" t="str">
        <f t="shared" si="38"/>
        <v/>
      </c>
      <c r="AF43" s="23" t="str">
        <f t="shared" si="38"/>
        <v/>
      </c>
      <c r="AG43" s="23" t="str">
        <f t="shared" si="38"/>
        <v/>
      </c>
      <c r="AH43" s="23" t="str">
        <f t="shared" si="38"/>
        <v/>
      </c>
      <c r="AI43" s="23" t="str">
        <f t="shared" si="38"/>
        <v/>
      </c>
      <c r="AJ43" s="23" t="str">
        <f t="shared" si="38"/>
        <v/>
      </c>
      <c r="AK43" s="23" t="str">
        <f t="shared" si="38"/>
        <v/>
      </c>
      <c r="AL43" s="23" t="str">
        <f t="shared" si="38"/>
        <v/>
      </c>
      <c r="AM43" s="23" t="str">
        <f t="shared" si="38"/>
        <v/>
      </c>
      <c r="AN43" s="23" t="str">
        <f t="shared" si="38"/>
        <v/>
      </c>
      <c r="AO43" s="23" t="str">
        <f t="shared" si="39"/>
        <v/>
      </c>
      <c r="AP43" s="23" t="str">
        <f t="shared" si="39"/>
        <v/>
      </c>
      <c r="AQ43" s="23" t="str">
        <f t="shared" si="39"/>
        <v/>
      </c>
      <c r="AR43" s="23" t="str">
        <f t="shared" si="39"/>
        <v/>
      </c>
      <c r="AS43" s="23" t="str">
        <f t="shared" si="39"/>
        <v/>
      </c>
      <c r="AT43" s="23" t="str">
        <f t="shared" si="39"/>
        <v/>
      </c>
      <c r="AU43" s="23" t="str">
        <f t="shared" si="39"/>
        <v/>
      </c>
      <c r="AV43" s="23" t="str">
        <f t="shared" si="39"/>
        <v/>
      </c>
      <c r="AW43" s="23" t="str">
        <f t="shared" si="39"/>
        <v/>
      </c>
      <c r="AX43" s="23" t="str">
        <f t="shared" si="39"/>
        <v/>
      </c>
      <c r="AY43" s="23" t="str">
        <f t="shared" si="40"/>
        <v/>
      </c>
      <c r="AZ43" s="23" t="str">
        <f t="shared" si="40"/>
        <v/>
      </c>
      <c r="BA43" s="23" t="str">
        <f t="shared" si="40"/>
        <v/>
      </c>
      <c r="BB43" s="23" t="str">
        <f t="shared" si="40"/>
        <v/>
      </c>
      <c r="BC43" s="23" t="str">
        <f t="shared" si="40"/>
        <v/>
      </c>
      <c r="BD43" s="23" t="str">
        <f t="shared" si="40"/>
        <v/>
      </c>
      <c r="BE43" s="23" t="str">
        <f t="shared" si="40"/>
        <v/>
      </c>
      <c r="BF43" s="23" t="str">
        <f t="shared" si="40"/>
        <v/>
      </c>
      <c r="BG43" s="23" t="str">
        <f t="shared" si="40"/>
        <v/>
      </c>
      <c r="BH43" s="23" t="str">
        <f t="shared" si="40"/>
        <v/>
      </c>
      <c r="BI43" s="23" t="str">
        <f t="shared" si="41"/>
        <v/>
      </c>
      <c r="BJ43" s="23" t="str">
        <f t="shared" si="41"/>
        <v/>
      </c>
      <c r="BK43" s="23" t="str">
        <f t="shared" si="41"/>
        <v/>
      </c>
      <c r="BL43" s="23" t="str">
        <f t="shared" si="41"/>
        <v/>
      </c>
      <c r="BM43" s="23" t="str">
        <f t="shared" si="41"/>
        <v/>
      </c>
      <c r="BN43" s="23" t="str">
        <f t="shared" si="41"/>
        <v/>
      </c>
      <c r="BO43" s="23" t="str">
        <f t="shared" si="41"/>
        <v/>
      </c>
      <c r="BP43" s="23" t="str">
        <f t="shared" si="41"/>
        <v/>
      </c>
      <c r="BQ43" s="23" t="str">
        <f t="shared" si="41"/>
        <v/>
      </c>
      <c r="BR43" s="23" t="str">
        <f t="shared" si="41"/>
        <v/>
      </c>
      <c r="BS43" s="23" t="str">
        <f t="shared" si="41"/>
        <v/>
      </c>
      <c r="BU43" s="29" t="s">
        <v>218</v>
      </c>
    </row>
    <row r="44" spans="1:73" ht="17" outlineLevel="1" x14ac:dyDescent="0.2">
      <c r="A44" s="6" t="s">
        <v>219</v>
      </c>
      <c r="B44" s="25" t="s">
        <v>220</v>
      </c>
      <c r="C44" s="6" t="s">
        <v>55</v>
      </c>
      <c r="D44" s="24" t="s">
        <v>128</v>
      </c>
      <c r="F44" s="6" t="s">
        <v>213</v>
      </c>
      <c r="G44" s="22">
        <v>4</v>
      </c>
      <c r="H44" s="22">
        <v>2</v>
      </c>
      <c r="I44" s="22">
        <f>MEDIAN($I$40,$J$40,$I$40+ROUND((G44-$G$40)/$H$40*($J$40-$I$40+1),0))</f>
        <v>4</v>
      </c>
      <c r="J44" s="22">
        <f>MEDIAN(I44,$J$40,$I$40+ROUND((G44+H44-$G$40)/$H$40*($J$40-$I$40+1),0)-1)</f>
        <v>5</v>
      </c>
      <c r="K44" s="23" t="str">
        <f t="shared" si="36"/>
        <v/>
      </c>
      <c r="L44" s="23" t="str">
        <f t="shared" si="36"/>
        <v/>
      </c>
      <c r="M44" s="23" t="str">
        <f t="shared" si="36"/>
        <v/>
      </c>
      <c r="N44" s="23">
        <f t="shared" si="36"/>
        <v>1</v>
      </c>
      <c r="O44" s="23">
        <f t="shared" si="36"/>
        <v>1</v>
      </c>
      <c r="P44" s="23" t="str">
        <f t="shared" si="36"/>
        <v/>
      </c>
      <c r="Q44" s="23" t="str">
        <f t="shared" si="36"/>
        <v/>
      </c>
      <c r="R44" s="23" t="str">
        <f t="shared" si="36"/>
        <v/>
      </c>
      <c r="S44" s="23" t="str">
        <f t="shared" si="36"/>
        <v/>
      </c>
      <c r="T44" s="23" t="str">
        <f t="shared" si="36"/>
        <v/>
      </c>
      <c r="U44" s="23" t="str">
        <f t="shared" si="37"/>
        <v/>
      </c>
      <c r="V44" s="23" t="str">
        <f t="shared" si="37"/>
        <v/>
      </c>
      <c r="W44" s="23" t="str">
        <f t="shared" si="37"/>
        <v/>
      </c>
      <c r="X44" s="23" t="str">
        <f t="shared" si="37"/>
        <v/>
      </c>
      <c r="Y44" s="23" t="str">
        <f t="shared" si="37"/>
        <v/>
      </c>
      <c r="Z44" s="23" t="str">
        <f t="shared" si="37"/>
        <v/>
      </c>
      <c r="AA44" s="23" t="str">
        <f t="shared" si="37"/>
        <v/>
      </c>
      <c r="AB44" s="23" t="str">
        <f t="shared" si="37"/>
        <v/>
      </c>
      <c r="AC44" s="23" t="str">
        <f t="shared" si="37"/>
        <v/>
      </c>
      <c r="AD44" s="23" t="str">
        <f t="shared" si="37"/>
        <v/>
      </c>
      <c r="AE44" s="23" t="str">
        <f t="shared" si="38"/>
        <v/>
      </c>
      <c r="AF44" s="23" t="str">
        <f t="shared" si="38"/>
        <v/>
      </c>
      <c r="AG44" s="23" t="str">
        <f t="shared" si="38"/>
        <v/>
      </c>
      <c r="AH44" s="23" t="str">
        <f t="shared" si="38"/>
        <v/>
      </c>
      <c r="AI44" s="23" t="str">
        <f t="shared" si="38"/>
        <v/>
      </c>
      <c r="AJ44" s="23" t="str">
        <f t="shared" si="38"/>
        <v/>
      </c>
      <c r="AK44" s="23" t="str">
        <f t="shared" si="38"/>
        <v/>
      </c>
      <c r="AL44" s="23" t="str">
        <f t="shared" si="38"/>
        <v/>
      </c>
      <c r="AM44" s="23" t="str">
        <f t="shared" si="38"/>
        <v/>
      </c>
      <c r="AN44" s="23" t="str">
        <f t="shared" si="38"/>
        <v/>
      </c>
      <c r="AO44" s="23" t="str">
        <f t="shared" si="39"/>
        <v/>
      </c>
      <c r="AP44" s="23" t="str">
        <f t="shared" si="39"/>
        <v/>
      </c>
      <c r="AQ44" s="23" t="str">
        <f t="shared" si="39"/>
        <v/>
      </c>
      <c r="AR44" s="23" t="str">
        <f t="shared" si="39"/>
        <v/>
      </c>
      <c r="AS44" s="23" t="str">
        <f t="shared" si="39"/>
        <v/>
      </c>
      <c r="AT44" s="23" t="str">
        <f t="shared" si="39"/>
        <v/>
      </c>
      <c r="AU44" s="23" t="str">
        <f t="shared" si="39"/>
        <v/>
      </c>
      <c r="AV44" s="23" t="str">
        <f t="shared" si="39"/>
        <v/>
      </c>
      <c r="AW44" s="23" t="str">
        <f t="shared" si="39"/>
        <v/>
      </c>
      <c r="AX44" s="23" t="str">
        <f t="shared" si="39"/>
        <v/>
      </c>
      <c r="AY44" s="23" t="str">
        <f t="shared" si="40"/>
        <v/>
      </c>
      <c r="AZ44" s="23" t="str">
        <f t="shared" si="40"/>
        <v/>
      </c>
      <c r="BA44" s="23" t="str">
        <f t="shared" si="40"/>
        <v/>
      </c>
      <c r="BB44" s="23" t="str">
        <f t="shared" si="40"/>
        <v/>
      </c>
      <c r="BC44" s="23" t="str">
        <f t="shared" si="40"/>
        <v/>
      </c>
      <c r="BD44" s="23" t="str">
        <f t="shared" si="40"/>
        <v/>
      </c>
      <c r="BE44" s="23" t="str">
        <f t="shared" si="40"/>
        <v/>
      </c>
      <c r="BF44" s="23" t="str">
        <f t="shared" si="40"/>
        <v/>
      </c>
      <c r="BG44" s="23" t="str">
        <f t="shared" si="40"/>
        <v/>
      </c>
      <c r="BH44" s="23" t="str">
        <f t="shared" si="40"/>
        <v/>
      </c>
      <c r="BI44" s="23" t="str">
        <f t="shared" si="41"/>
        <v/>
      </c>
      <c r="BJ44" s="23" t="str">
        <f t="shared" si="41"/>
        <v/>
      </c>
      <c r="BK44" s="23" t="str">
        <f t="shared" si="41"/>
        <v/>
      </c>
      <c r="BL44" s="23" t="str">
        <f t="shared" si="41"/>
        <v/>
      </c>
      <c r="BM44" s="23" t="str">
        <f t="shared" si="41"/>
        <v/>
      </c>
      <c r="BN44" s="23" t="str">
        <f t="shared" si="41"/>
        <v/>
      </c>
      <c r="BO44" s="23" t="str">
        <f t="shared" si="41"/>
        <v/>
      </c>
      <c r="BP44" s="23" t="str">
        <f t="shared" si="41"/>
        <v/>
      </c>
      <c r="BQ44" s="23" t="str">
        <f t="shared" si="41"/>
        <v/>
      </c>
      <c r="BR44" s="23" t="str">
        <f t="shared" si="41"/>
        <v/>
      </c>
      <c r="BS44" s="23" t="str">
        <f t="shared" si="41"/>
        <v/>
      </c>
      <c r="BU44" s="29" t="s">
        <v>221</v>
      </c>
    </row>
    <row r="45" spans="1:73" x14ac:dyDescent="0.2">
      <c r="BU45" s="30"/>
    </row>
    <row r="46" spans="1:73" ht="17" x14ac:dyDescent="0.2">
      <c r="A46" s="19" t="s">
        <v>222</v>
      </c>
      <c r="B46" s="20" t="s">
        <v>223</v>
      </c>
      <c r="C46" s="19" t="s">
        <v>56</v>
      </c>
      <c r="D46" s="21" t="s">
        <v>117</v>
      </c>
      <c r="E46" s="19" t="s">
        <v>77</v>
      </c>
      <c r="F46" s="19"/>
      <c r="G46" s="22">
        <v>1</v>
      </c>
      <c r="H46" s="22">
        <v>5</v>
      </c>
      <c r="I46" s="22">
        <f>MIN(61,IF(G46&lt;=29,ROUND((G46-1)*(29+SlipWeeks)/29,0)+1,G46+SlipWeeks))</f>
        <v>1</v>
      </c>
      <c r="J46" s="22">
        <f>MIN(61,IF(G46+H46-1&lt;=29,MAX(ROUND((G46+H46-1)*(29+SlipWeeks)/29,0),I46),G46+H46-1+SlipWeeks))</f>
        <v>5</v>
      </c>
      <c r="K46" s="23">
        <f t="shared" ref="K46:T50" si="42">IF(AND(K$4&gt;=$I46,K$4&lt;=$J46),1,"")</f>
        <v>1</v>
      </c>
      <c r="L46" s="23">
        <f t="shared" si="42"/>
        <v>1</v>
      </c>
      <c r="M46" s="23">
        <f t="shared" si="42"/>
        <v>1</v>
      </c>
      <c r="N46" s="23">
        <f t="shared" si="42"/>
        <v>1</v>
      </c>
      <c r="O46" s="23">
        <f t="shared" si="42"/>
        <v>1</v>
      </c>
      <c r="P46" s="23" t="str">
        <f t="shared" si="42"/>
        <v/>
      </c>
      <c r="Q46" s="23" t="str">
        <f t="shared" si="42"/>
        <v/>
      </c>
      <c r="R46" s="23" t="str">
        <f t="shared" si="42"/>
        <v/>
      </c>
      <c r="S46" s="23" t="str">
        <f t="shared" si="42"/>
        <v/>
      </c>
      <c r="T46" s="23" t="str">
        <f t="shared" si="42"/>
        <v/>
      </c>
      <c r="U46" s="23" t="str">
        <f t="shared" ref="U46:AD50" si="43">IF(AND(U$4&gt;=$I46,U$4&lt;=$J46),1,"")</f>
        <v/>
      </c>
      <c r="V46" s="23" t="str">
        <f t="shared" si="43"/>
        <v/>
      </c>
      <c r="W46" s="23" t="str">
        <f t="shared" si="43"/>
        <v/>
      </c>
      <c r="X46" s="23" t="str">
        <f t="shared" si="43"/>
        <v/>
      </c>
      <c r="Y46" s="23" t="str">
        <f t="shared" si="43"/>
        <v/>
      </c>
      <c r="Z46" s="23" t="str">
        <f t="shared" si="43"/>
        <v/>
      </c>
      <c r="AA46" s="23" t="str">
        <f t="shared" si="43"/>
        <v/>
      </c>
      <c r="AB46" s="23" t="str">
        <f t="shared" si="43"/>
        <v/>
      </c>
      <c r="AC46" s="23" t="str">
        <f t="shared" si="43"/>
        <v/>
      </c>
      <c r="AD46" s="23" t="str">
        <f t="shared" si="43"/>
        <v/>
      </c>
      <c r="AE46" s="23" t="str">
        <f t="shared" ref="AE46:AN50" si="44">IF(AND(AE$4&gt;=$I46,AE$4&lt;=$J46),1,"")</f>
        <v/>
      </c>
      <c r="AF46" s="23" t="str">
        <f t="shared" si="44"/>
        <v/>
      </c>
      <c r="AG46" s="23" t="str">
        <f t="shared" si="44"/>
        <v/>
      </c>
      <c r="AH46" s="23" t="str">
        <f t="shared" si="44"/>
        <v/>
      </c>
      <c r="AI46" s="23" t="str">
        <f t="shared" si="44"/>
        <v/>
      </c>
      <c r="AJ46" s="23" t="str">
        <f t="shared" si="44"/>
        <v/>
      </c>
      <c r="AK46" s="23" t="str">
        <f t="shared" si="44"/>
        <v/>
      </c>
      <c r="AL46" s="23" t="str">
        <f t="shared" si="44"/>
        <v/>
      </c>
      <c r="AM46" s="23" t="str">
        <f t="shared" si="44"/>
        <v/>
      </c>
      <c r="AN46" s="23" t="str">
        <f t="shared" si="44"/>
        <v/>
      </c>
      <c r="AO46" s="23" t="str">
        <f t="shared" ref="AO46:AX50" si="45">IF(AND(AO$4&gt;=$I46,AO$4&lt;=$J46),1,"")</f>
        <v/>
      </c>
      <c r="AP46" s="23" t="str">
        <f t="shared" si="45"/>
        <v/>
      </c>
      <c r="AQ46" s="23" t="str">
        <f t="shared" si="45"/>
        <v/>
      </c>
      <c r="AR46" s="23" t="str">
        <f t="shared" si="45"/>
        <v/>
      </c>
      <c r="AS46" s="23" t="str">
        <f t="shared" si="45"/>
        <v/>
      </c>
      <c r="AT46" s="23" t="str">
        <f t="shared" si="45"/>
        <v/>
      </c>
      <c r="AU46" s="23" t="str">
        <f t="shared" si="45"/>
        <v/>
      </c>
      <c r="AV46" s="23" t="str">
        <f t="shared" si="45"/>
        <v/>
      </c>
      <c r="AW46" s="23" t="str">
        <f t="shared" si="45"/>
        <v/>
      </c>
      <c r="AX46" s="23" t="str">
        <f t="shared" si="45"/>
        <v/>
      </c>
      <c r="AY46" s="23" t="str">
        <f t="shared" ref="AY46:BH50" si="46">IF(AND(AY$4&gt;=$I46,AY$4&lt;=$J46),1,"")</f>
        <v/>
      </c>
      <c r="AZ46" s="23" t="str">
        <f t="shared" si="46"/>
        <v/>
      </c>
      <c r="BA46" s="23" t="str">
        <f t="shared" si="46"/>
        <v/>
      </c>
      <c r="BB46" s="23" t="str">
        <f t="shared" si="46"/>
        <v/>
      </c>
      <c r="BC46" s="23" t="str">
        <f t="shared" si="46"/>
        <v/>
      </c>
      <c r="BD46" s="23" t="str">
        <f t="shared" si="46"/>
        <v/>
      </c>
      <c r="BE46" s="23" t="str">
        <f t="shared" si="46"/>
        <v/>
      </c>
      <c r="BF46" s="23" t="str">
        <f t="shared" si="46"/>
        <v/>
      </c>
      <c r="BG46" s="23" t="str">
        <f t="shared" si="46"/>
        <v/>
      </c>
      <c r="BH46" s="23" t="str">
        <f t="shared" si="46"/>
        <v/>
      </c>
      <c r="BI46" s="23" t="str">
        <f t="shared" ref="BI46:BS50" si="47">IF(AND(BI$4&gt;=$I46,BI$4&lt;=$J46),1,"")</f>
        <v/>
      </c>
      <c r="BJ46" s="23" t="str">
        <f t="shared" si="47"/>
        <v/>
      </c>
      <c r="BK46" s="23" t="str">
        <f t="shared" si="47"/>
        <v/>
      </c>
      <c r="BL46" s="23" t="str">
        <f t="shared" si="47"/>
        <v/>
      </c>
      <c r="BM46" s="23" t="str">
        <f t="shared" si="47"/>
        <v/>
      </c>
      <c r="BN46" s="23" t="str">
        <f t="shared" si="47"/>
        <v/>
      </c>
      <c r="BO46" s="23" t="str">
        <f t="shared" si="47"/>
        <v/>
      </c>
      <c r="BP46" s="23" t="str">
        <f t="shared" si="47"/>
        <v/>
      </c>
      <c r="BQ46" s="23" t="str">
        <f t="shared" si="47"/>
        <v/>
      </c>
      <c r="BR46" s="23" t="str">
        <f t="shared" si="47"/>
        <v/>
      </c>
      <c r="BS46" s="23" t="str">
        <f t="shared" si="47"/>
        <v/>
      </c>
      <c r="BT46" s="24" t="str">
        <f>IF(IF(G46+H46-1&lt;=29,MAX(ROUND((G46+H46-1)*(29+SlipWeeks)/29,0),$I46),G46+H46-1+SlipWeeks)&gt;61,"▶ clipped","")</f>
        <v/>
      </c>
      <c r="BU46" s="29" t="s">
        <v>224</v>
      </c>
    </row>
    <row r="47" spans="1:73" ht="17" outlineLevel="1" x14ac:dyDescent="0.2">
      <c r="A47" s="6" t="s">
        <v>225</v>
      </c>
      <c r="B47" s="25" t="s">
        <v>226</v>
      </c>
      <c r="C47" s="6" t="s">
        <v>56</v>
      </c>
      <c r="D47" s="24" t="s">
        <v>121</v>
      </c>
      <c r="F47" s="6"/>
      <c r="G47" s="22">
        <v>1</v>
      </c>
      <c r="H47" s="22">
        <v>1</v>
      </c>
      <c r="I47" s="22">
        <f>MEDIAN($I$46,$J$46,$I$46+ROUND((G47-$G$46)/$H$46*($J$46-$I$46+1),0))</f>
        <v>1</v>
      </c>
      <c r="J47" s="22">
        <f>MEDIAN(I47,$J$46,$I$46+ROUND((G47+H47-$G$46)/$H$46*($J$46-$I$46+1),0)-1)</f>
        <v>1</v>
      </c>
      <c r="K47" s="23">
        <f t="shared" si="42"/>
        <v>1</v>
      </c>
      <c r="L47" s="23" t="str">
        <f t="shared" si="42"/>
        <v/>
      </c>
      <c r="M47" s="23" t="str">
        <f t="shared" si="42"/>
        <v/>
      </c>
      <c r="N47" s="23" t="str">
        <f t="shared" si="42"/>
        <v/>
      </c>
      <c r="O47" s="23" t="str">
        <f t="shared" si="42"/>
        <v/>
      </c>
      <c r="P47" s="23" t="str">
        <f t="shared" si="42"/>
        <v/>
      </c>
      <c r="Q47" s="23" t="str">
        <f t="shared" si="42"/>
        <v/>
      </c>
      <c r="R47" s="23" t="str">
        <f t="shared" si="42"/>
        <v/>
      </c>
      <c r="S47" s="23" t="str">
        <f t="shared" si="42"/>
        <v/>
      </c>
      <c r="T47" s="23" t="str">
        <f t="shared" si="42"/>
        <v/>
      </c>
      <c r="U47" s="23" t="str">
        <f t="shared" si="43"/>
        <v/>
      </c>
      <c r="V47" s="23" t="str">
        <f t="shared" si="43"/>
        <v/>
      </c>
      <c r="W47" s="23" t="str">
        <f t="shared" si="43"/>
        <v/>
      </c>
      <c r="X47" s="23" t="str">
        <f t="shared" si="43"/>
        <v/>
      </c>
      <c r="Y47" s="23" t="str">
        <f t="shared" si="43"/>
        <v/>
      </c>
      <c r="Z47" s="23" t="str">
        <f t="shared" si="43"/>
        <v/>
      </c>
      <c r="AA47" s="23" t="str">
        <f t="shared" si="43"/>
        <v/>
      </c>
      <c r="AB47" s="23" t="str">
        <f t="shared" si="43"/>
        <v/>
      </c>
      <c r="AC47" s="23" t="str">
        <f t="shared" si="43"/>
        <v/>
      </c>
      <c r="AD47" s="23" t="str">
        <f t="shared" si="43"/>
        <v/>
      </c>
      <c r="AE47" s="23" t="str">
        <f t="shared" si="44"/>
        <v/>
      </c>
      <c r="AF47" s="23" t="str">
        <f t="shared" si="44"/>
        <v/>
      </c>
      <c r="AG47" s="23" t="str">
        <f t="shared" si="44"/>
        <v/>
      </c>
      <c r="AH47" s="23" t="str">
        <f t="shared" si="44"/>
        <v/>
      </c>
      <c r="AI47" s="23" t="str">
        <f t="shared" si="44"/>
        <v/>
      </c>
      <c r="AJ47" s="23" t="str">
        <f t="shared" si="44"/>
        <v/>
      </c>
      <c r="AK47" s="23" t="str">
        <f t="shared" si="44"/>
        <v/>
      </c>
      <c r="AL47" s="23" t="str">
        <f t="shared" si="44"/>
        <v/>
      </c>
      <c r="AM47" s="23" t="str">
        <f t="shared" si="44"/>
        <v/>
      </c>
      <c r="AN47" s="23" t="str">
        <f t="shared" si="44"/>
        <v/>
      </c>
      <c r="AO47" s="23" t="str">
        <f t="shared" si="45"/>
        <v/>
      </c>
      <c r="AP47" s="23" t="str">
        <f t="shared" si="45"/>
        <v/>
      </c>
      <c r="AQ47" s="23" t="str">
        <f t="shared" si="45"/>
        <v/>
      </c>
      <c r="AR47" s="23" t="str">
        <f t="shared" si="45"/>
        <v/>
      </c>
      <c r="AS47" s="23" t="str">
        <f t="shared" si="45"/>
        <v/>
      </c>
      <c r="AT47" s="23" t="str">
        <f t="shared" si="45"/>
        <v/>
      </c>
      <c r="AU47" s="23" t="str">
        <f t="shared" si="45"/>
        <v/>
      </c>
      <c r="AV47" s="23" t="str">
        <f t="shared" si="45"/>
        <v/>
      </c>
      <c r="AW47" s="23" t="str">
        <f t="shared" si="45"/>
        <v/>
      </c>
      <c r="AX47" s="23" t="str">
        <f t="shared" si="45"/>
        <v/>
      </c>
      <c r="AY47" s="23" t="str">
        <f t="shared" si="46"/>
        <v/>
      </c>
      <c r="AZ47" s="23" t="str">
        <f t="shared" si="46"/>
        <v/>
      </c>
      <c r="BA47" s="23" t="str">
        <f t="shared" si="46"/>
        <v/>
      </c>
      <c r="BB47" s="23" t="str">
        <f t="shared" si="46"/>
        <v/>
      </c>
      <c r="BC47" s="23" t="str">
        <f t="shared" si="46"/>
        <v/>
      </c>
      <c r="BD47" s="23" t="str">
        <f t="shared" si="46"/>
        <v/>
      </c>
      <c r="BE47" s="23" t="str">
        <f t="shared" si="46"/>
        <v/>
      </c>
      <c r="BF47" s="23" t="str">
        <f t="shared" si="46"/>
        <v/>
      </c>
      <c r="BG47" s="23" t="str">
        <f t="shared" si="46"/>
        <v/>
      </c>
      <c r="BH47" s="23" t="str">
        <f t="shared" si="46"/>
        <v/>
      </c>
      <c r="BI47" s="23" t="str">
        <f t="shared" si="47"/>
        <v/>
      </c>
      <c r="BJ47" s="23" t="str">
        <f t="shared" si="47"/>
        <v/>
      </c>
      <c r="BK47" s="23" t="str">
        <f t="shared" si="47"/>
        <v/>
      </c>
      <c r="BL47" s="23" t="str">
        <f t="shared" si="47"/>
        <v/>
      </c>
      <c r="BM47" s="23" t="str">
        <f t="shared" si="47"/>
        <v/>
      </c>
      <c r="BN47" s="23" t="str">
        <f t="shared" si="47"/>
        <v/>
      </c>
      <c r="BO47" s="23" t="str">
        <f t="shared" si="47"/>
        <v/>
      </c>
      <c r="BP47" s="23" t="str">
        <f t="shared" si="47"/>
        <v/>
      </c>
      <c r="BQ47" s="23" t="str">
        <f t="shared" si="47"/>
        <v/>
      </c>
      <c r="BR47" s="23" t="str">
        <f t="shared" si="47"/>
        <v/>
      </c>
      <c r="BS47" s="23" t="str">
        <f t="shared" si="47"/>
        <v/>
      </c>
      <c r="BU47" s="29" t="s">
        <v>227</v>
      </c>
    </row>
    <row r="48" spans="1:73" ht="34" outlineLevel="1" x14ac:dyDescent="0.2">
      <c r="A48" s="6" t="s">
        <v>228</v>
      </c>
      <c r="B48" s="25" t="s">
        <v>229</v>
      </c>
      <c r="C48" s="6" t="s">
        <v>56</v>
      </c>
      <c r="D48" s="24" t="s">
        <v>121</v>
      </c>
      <c r="F48" s="6" t="s">
        <v>225</v>
      </c>
      <c r="G48" s="22">
        <v>2</v>
      </c>
      <c r="H48" s="22">
        <v>1</v>
      </c>
      <c r="I48" s="22">
        <f>MEDIAN($I$46,$J$46,$I$46+ROUND((G48-$G$46)/$H$46*($J$46-$I$46+1),0))</f>
        <v>2</v>
      </c>
      <c r="J48" s="22">
        <f>MEDIAN(I48,$J$46,$I$46+ROUND((G48+H48-$G$46)/$H$46*($J$46-$I$46+1),0)-1)</f>
        <v>2</v>
      </c>
      <c r="K48" s="23" t="str">
        <f t="shared" si="42"/>
        <v/>
      </c>
      <c r="L48" s="23">
        <f t="shared" si="42"/>
        <v>1</v>
      </c>
      <c r="M48" s="23" t="str">
        <f t="shared" si="42"/>
        <v/>
      </c>
      <c r="N48" s="23" t="str">
        <f t="shared" si="42"/>
        <v/>
      </c>
      <c r="O48" s="23" t="str">
        <f t="shared" si="42"/>
        <v/>
      </c>
      <c r="P48" s="23" t="str">
        <f t="shared" si="42"/>
        <v/>
      </c>
      <c r="Q48" s="23" t="str">
        <f t="shared" si="42"/>
        <v/>
      </c>
      <c r="R48" s="23" t="str">
        <f t="shared" si="42"/>
        <v/>
      </c>
      <c r="S48" s="23" t="str">
        <f t="shared" si="42"/>
        <v/>
      </c>
      <c r="T48" s="23" t="str">
        <f t="shared" si="42"/>
        <v/>
      </c>
      <c r="U48" s="23" t="str">
        <f t="shared" si="43"/>
        <v/>
      </c>
      <c r="V48" s="23" t="str">
        <f t="shared" si="43"/>
        <v/>
      </c>
      <c r="W48" s="23" t="str">
        <f t="shared" si="43"/>
        <v/>
      </c>
      <c r="X48" s="23" t="str">
        <f t="shared" si="43"/>
        <v/>
      </c>
      <c r="Y48" s="23" t="str">
        <f t="shared" si="43"/>
        <v/>
      </c>
      <c r="Z48" s="23" t="str">
        <f t="shared" si="43"/>
        <v/>
      </c>
      <c r="AA48" s="23" t="str">
        <f t="shared" si="43"/>
        <v/>
      </c>
      <c r="AB48" s="23" t="str">
        <f t="shared" si="43"/>
        <v/>
      </c>
      <c r="AC48" s="23" t="str">
        <f t="shared" si="43"/>
        <v/>
      </c>
      <c r="AD48" s="23" t="str">
        <f t="shared" si="43"/>
        <v/>
      </c>
      <c r="AE48" s="23" t="str">
        <f t="shared" si="44"/>
        <v/>
      </c>
      <c r="AF48" s="23" t="str">
        <f t="shared" si="44"/>
        <v/>
      </c>
      <c r="AG48" s="23" t="str">
        <f t="shared" si="44"/>
        <v/>
      </c>
      <c r="AH48" s="23" t="str">
        <f t="shared" si="44"/>
        <v/>
      </c>
      <c r="AI48" s="23" t="str">
        <f t="shared" si="44"/>
        <v/>
      </c>
      <c r="AJ48" s="23" t="str">
        <f t="shared" si="44"/>
        <v/>
      </c>
      <c r="AK48" s="23" t="str">
        <f t="shared" si="44"/>
        <v/>
      </c>
      <c r="AL48" s="23" t="str">
        <f t="shared" si="44"/>
        <v/>
      </c>
      <c r="AM48" s="23" t="str">
        <f t="shared" si="44"/>
        <v/>
      </c>
      <c r="AN48" s="23" t="str">
        <f t="shared" si="44"/>
        <v/>
      </c>
      <c r="AO48" s="23" t="str">
        <f t="shared" si="45"/>
        <v/>
      </c>
      <c r="AP48" s="23" t="str">
        <f t="shared" si="45"/>
        <v/>
      </c>
      <c r="AQ48" s="23" t="str">
        <f t="shared" si="45"/>
        <v/>
      </c>
      <c r="AR48" s="23" t="str">
        <f t="shared" si="45"/>
        <v/>
      </c>
      <c r="AS48" s="23" t="str">
        <f t="shared" si="45"/>
        <v/>
      </c>
      <c r="AT48" s="23" t="str">
        <f t="shared" si="45"/>
        <v/>
      </c>
      <c r="AU48" s="23" t="str">
        <f t="shared" si="45"/>
        <v/>
      </c>
      <c r="AV48" s="23" t="str">
        <f t="shared" si="45"/>
        <v/>
      </c>
      <c r="AW48" s="23" t="str">
        <f t="shared" si="45"/>
        <v/>
      </c>
      <c r="AX48" s="23" t="str">
        <f t="shared" si="45"/>
        <v/>
      </c>
      <c r="AY48" s="23" t="str">
        <f t="shared" si="46"/>
        <v/>
      </c>
      <c r="AZ48" s="23" t="str">
        <f t="shared" si="46"/>
        <v/>
      </c>
      <c r="BA48" s="23" t="str">
        <f t="shared" si="46"/>
        <v/>
      </c>
      <c r="BB48" s="23" t="str">
        <f t="shared" si="46"/>
        <v/>
      </c>
      <c r="BC48" s="23" t="str">
        <f t="shared" si="46"/>
        <v/>
      </c>
      <c r="BD48" s="23" t="str">
        <f t="shared" si="46"/>
        <v/>
      </c>
      <c r="BE48" s="23" t="str">
        <f t="shared" si="46"/>
        <v/>
      </c>
      <c r="BF48" s="23" t="str">
        <f t="shared" si="46"/>
        <v/>
      </c>
      <c r="BG48" s="23" t="str">
        <f t="shared" si="46"/>
        <v/>
      </c>
      <c r="BH48" s="23" t="str">
        <f t="shared" si="46"/>
        <v/>
      </c>
      <c r="BI48" s="23" t="str">
        <f t="shared" si="47"/>
        <v/>
      </c>
      <c r="BJ48" s="23" t="str">
        <f t="shared" si="47"/>
        <v/>
      </c>
      <c r="BK48" s="23" t="str">
        <f t="shared" si="47"/>
        <v/>
      </c>
      <c r="BL48" s="23" t="str">
        <f t="shared" si="47"/>
        <v/>
      </c>
      <c r="BM48" s="23" t="str">
        <f t="shared" si="47"/>
        <v/>
      </c>
      <c r="BN48" s="23" t="str">
        <f t="shared" si="47"/>
        <v/>
      </c>
      <c r="BO48" s="23" t="str">
        <f t="shared" si="47"/>
        <v/>
      </c>
      <c r="BP48" s="23" t="str">
        <f t="shared" si="47"/>
        <v/>
      </c>
      <c r="BQ48" s="23" t="str">
        <f t="shared" si="47"/>
        <v/>
      </c>
      <c r="BR48" s="23" t="str">
        <f t="shared" si="47"/>
        <v/>
      </c>
      <c r="BS48" s="23" t="str">
        <f t="shared" si="47"/>
        <v/>
      </c>
      <c r="BU48" s="29" t="s">
        <v>230</v>
      </c>
    </row>
    <row r="49" spans="1:73" ht="34" outlineLevel="1" x14ac:dyDescent="0.2">
      <c r="A49" s="6" t="s">
        <v>231</v>
      </c>
      <c r="B49" s="25" t="s">
        <v>232</v>
      </c>
      <c r="C49" s="6" t="s">
        <v>56</v>
      </c>
      <c r="D49" s="24" t="s">
        <v>121</v>
      </c>
      <c r="F49" s="6" t="s">
        <v>228</v>
      </c>
      <c r="G49" s="22">
        <v>3</v>
      </c>
      <c r="H49" s="22">
        <v>1</v>
      </c>
      <c r="I49" s="22">
        <f>MEDIAN($I$46,$J$46,$I$46+ROUND((G49-$G$46)/$H$46*($J$46-$I$46+1),0))</f>
        <v>3</v>
      </c>
      <c r="J49" s="22">
        <f>MEDIAN(I49,$J$46,$I$46+ROUND((G49+H49-$G$46)/$H$46*($J$46-$I$46+1),0)-1)</f>
        <v>3</v>
      </c>
      <c r="K49" s="23" t="str">
        <f t="shared" si="42"/>
        <v/>
      </c>
      <c r="L49" s="23" t="str">
        <f t="shared" si="42"/>
        <v/>
      </c>
      <c r="M49" s="23">
        <f t="shared" si="42"/>
        <v>1</v>
      </c>
      <c r="N49" s="23" t="str">
        <f t="shared" si="42"/>
        <v/>
      </c>
      <c r="O49" s="23" t="str">
        <f t="shared" si="42"/>
        <v/>
      </c>
      <c r="P49" s="23" t="str">
        <f t="shared" si="42"/>
        <v/>
      </c>
      <c r="Q49" s="23" t="str">
        <f t="shared" si="42"/>
        <v/>
      </c>
      <c r="R49" s="23" t="str">
        <f t="shared" si="42"/>
        <v/>
      </c>
      <c r="S49" s="23" t="str">
        <f t="shared" si="42"/>
        <v/>
      </c>
      <c r="T49" s="23" t="str">
        <f t="shared" si="42"/>
        <v/>
      </c>
      <c r="U49" s="23" t="str">
        <f t="shared" si="43"/>
        <v/>
      </c>
      <c r="V49" s="23" t="str">
        <f t="shared" si="43"/>
        <v/>
      </c>
      <c r="W49" s="23" t="str">
        <f t="shared" si="43"/>
        <v/>
      </c>
      <c r="X49" s="23" t="str">
        <f t="shared" si="43"/>
        <v/>
      </c>
      <c r="Y49" s="23" t="str">
        <f t="shared" si="43"/>
        <v/>
      </c>
      <c r="Z49" s="23" t="str">
        <f t="shared" si="43"/>
        <v/>
      </c>
      <c r="AA49" s="23" t="str">
        <f t="shared" si="43"/>
        <v/>
      </c>
      <c r="AB49" s="23" t="str">
        <f t="shared" si="43"/>
        <v/>
      </c>
      <c r="AC49" s="23" t="str">
        <f t="shared" si="43"/>
        <v/>
      </c>
      <c r="AD49" s="23" t="str">
        <f t="shared" si="43"/>
        <v/>
      </c>
      <c r="AE49" s="23" t="str">
        <f t="shared" si="44"/>
        <v/>
      </c>
      <c r="AF49" s="23" t="str">
        <f t="shared" si="44"/>
        <v/>
      </c>
      <c r="AG49" s="23" t="str">
        <f t="shared" si="44"/>
        <v/>
      </c>
      <c r="AH49" s="23" t="str">
        <f t="shared" si="44"/>
        <v/>
      </c>
      <c r="AI49" s="23" t="str">
        <f t="shared" si="44"/>
        <v/>
      </c>
      <c r="AJ49" s="23" t="str">
        <f t="shared" si="44"/>
        <v/>
      </c>
      <c r="AK49" s="23" t="str">
        <f t="shared" si="44"/>
        <v/>
      </c>
      <c r="AL49" s="23" t="str">
        <f t="shared" si="44"/>
        <v/>
      </c>
      <c r="AM49" s="23" t="str">
        <f t="shared" si="44"/>
        <v/>
      </c>
      <c r="AN49" s="23" t="str">
        <f t="shared" si="44"/>
        <v/>
      </c>
      <c r="AO49" s="23" t="str">
        <f t="shared" si="45"/>
        <v/>
      </c>
      <c r="AP49" s="23" t="str">
        <f t="shared" si="45"/>
        <v/>
      </c>
      <c r="AQ49" s="23" t="str">
        <f t="shared" si="45"/>
        <v/>
      </c>
      <c r="AR49" s="23" t="str">
        <f t="shared" si="45"/>
        <v/>
      </c>
      <c r="AS49" s="23" t="str">
        <f t="shared" si="45"/>
        <v/>
      </c>
      <c r="AT49" s="23" t="str">
        <f t="shared" si="45"/>
        <v/>
      </c>
      <c r="AU49" s="23" t="str">
        <f t="shared" si="45"/>
        <v/>
      </c>
      <c r="AV49" s="23" t="str">
        <f t="shared" si="45"/>
        <v/>
      </c>
      <c r="AW49" s="23" t="str">
        <f t="shared" si="45"/>
        <v/>
      </c>
      <c r="AX49" s="23" t="str">
        <f t="shared" si="45"/>
        <v/>
      </c>
      <c r="AY49" s="23" t="str">
        <f t="shared" si="46"/>
        <v/>
      </c>
      <c r="AZ49" s="23" t="str">
        <f t="shared" si="46"/>
        <v/>
      </c>
      <c r="BA49" s="23" t="str">
        <f t="shared" si="46"/>
        <v/>
      </c>
      <c r="BB49" s="23" t="str">
        <f t="shared" si="46"/>
        <v/>
      </c>
      <c r="BC49" s="23" t="str">
        <f t="shared" si="46"/>
        <v/>
      </c>
      <c r="BD49" s="23" t="str">
        <f t="shared" si="46"/>
        <v/>
      </c>
      <c r="BE49" s="23" t="str">
        <f t="shared" si="46"/>
        <v/>
      </c>
      <c r="BF49" s="23" t="str">
        <f t="shared" si="46"/>
        <v/>
      </c>
      <c r="BG49" s="23" t="str">
        <f t="shared" si="46"/>
        <v/>
      </c>
      <c r="BH49" s="23" t="str">
        <f t="shared" si="46"/>
        <v/>
      </c>
      <c r="BI49" s="23" t="str">
        <f t="shared" si="47"/>
        <v/>
      </c>
      <c r="BJ49" s="23" t="str">
        <f t="shared" si="47"/>
        <v/>
      </c>
      <c r="BK49" s="23" t="str">
        <f t="shared" si="47"/>
        <v/>
      </c>
      <c r="BL49" s="23" t="str">
        <f t="shared" si="47"/>
        <v/>
      </c>
      <c r="BM49" s="23" t="str">
        <f t="shared" si="47"/>
        <v/>
      </c>
      <c r="BN49" s="23" t="str">
        <f t="shared" si="47"/>
        <v/>
      </c>
      <c r="BO49" s="23" t="str">
        <f t="shared" si="47"/>
        <v/>
      </c>
      <c r="BP49" s="23" t="str">
        <f t="shared" si="47"/>
        <v/>
      </c>
      <c r="BQ49" s="23" t="str">
        <f t="shared" si="47"/>
        <v/>
      </c>
      <c r="BR49" s="23" t="str">
        <f t="shared" si="47"/>
        <v/>
      </c>
      <c r="BS49" s="23" t="str">
        <f t="shared" si="47"/>
        <v/>
      </c>
      <c r="BU49" s="29" t="s">
        <v>233</v>
      </c>
    </row>
    <row r="50" spans="1:73" ht="34" outlineLevel="1" x14ac:dyDescent="0.2">
      <c r="A50" s="6" t="s">
        <v>234</v>
      </c>
      <c r="B50" s="25" t="s">
        <v>235</v>
      </c>
      <c r="C50" s="6" t="s">
        <v>56</v>
      </c>
      <c r="D50" s="24" t="s">
        <v>128</v>
      </c>
      <c r="F50" s="6" t="s">
        <v>228</v>
      </c>
      <c r="G50" s="22">
        <v>4</v>
      </c>
      <c r="H50" s="22">
        <v>2</v>
      </c>
      <c r="I50" s="22">
        <f>MEDIAN($I$46,$J$46,$I$46+ROUND((G50-$G$46)/$H$46*($J$46-$I$46+1),0))</f>
        <v>4</v>
      </c>
      <c r="J50" s="22">
        <f>MEDIAN(I50,$J$46,$I$46+ROUND((G50+H50-$G$46)/$H$46*($J$46-$I$46+1),0)-1)</f>
        <v>5</v>
      </c>
      <c r="K50" s="23" t="str">
        <f t="shared" si="42"/>
        <v/>
      </c>
      <c r="L50" s="23" t="str">
        <f t="shared" si="42"/>
        <v/>
      </c>
      <c r="M50" s="23" t="str">
        <f t="shared" si="42"/>
        <v/>
      </c>
      <c r="N50" s="23">
        <f t="shared" si="42"/>
        <v>1</v>
      </c>
      <c r="O50" s="23">
        <f t="shared" si="42"/>
        <v>1</v>
      </c>
      <c r="P50" s="23" t="str">
        <f t="shared" si="42"/>
        <v/>
      </c>
      <c r="Q50" s="23" t="str">
        <f t="shared" si="42"/>
        <v/>
      </c>
      <c r="R50" s="23" t="str">
        <f t="shared" si="42"/>
        <v/>
      </c>
      <c r="S50" s="23" t="str">
        <f t="shared" si="42"/>
        <v/>
      </c>
      <c r="T50" s="23" t="str">
        <f t="shared" si="42"/>
        <v/>
      </c>
      <c r="U50" s="23" t="str">
        <f t="shared" si="43"/>
        <v/>
      </c>
      <c r="V50" s="23" t="str">
        <f t="shared" si="43"/>
        <v/>
      </c>
      <c r="W50" s="23" t="str">
        <f t="shared" si="43"/>
        <v/>
      </c>
      <c r="X50" s="23" t="str">
        <f t="shared" si="43"/>
        <v/>
      </c>
      <c r="Y50" s="23" t="str">
        <f t="shared" si="43"/>
        <v/>
      </c>
      <c r="Z50" s="23" t="str">
        <f t="shared" si="43"/>
        <v/>
      </c>
      <c r="AA50" s="23" t="str">
        <f t="shared" si="43"/>
        <v/>
      </c>
      <c r="AB50" s="23" t="str">
        <f t="shared" si="43"/>
        <v/>
      </c>
      <c r="AC50" s="23" t="str">
        <f t="shared" si="43"/>
        <v/>
      </c>
      <c r="AD50" s="23" t="str">
        <f t="shared" si="43"/>
        <v/>
      </c>
      <c r="AE50" s="23" t="str">
        <f t="shared" si="44"/>
        <v/>
      </c>
      <c r="AF50" s="23" t="str">
        <f t="shared" si="44"/>
        <v/>
      </c>
      <c r="AG50" s="23" t="str">
        <f t="shared" si="44"/>
        <v/>
      </c>
      <c r="AH50" s="23" t="str">
        <f t="shared" si="44"/>
        <v/>
      </c>
      <c r="AI50" s="23" t="str">
        <f t="shared" si="44"/>
        <v/>
      </c>
      <c r="AJ50" s="23" t="str">
        <f t="shared" si="44"/>
        <v/>
      </c>
      <c r="AK50" s="23" t="str">
        <f t="shared" si="44"/>
        <v/>
      </c>
      <c r="AL50" s="23" t="str">
        <f t="shared" si="44"/>
        <v/>
      </c>
      <c r="AM50" s="23" t="str">
        <f t="shared" si="44"/>
        <v/>
      </c>
      <c r="AN50" s="23" t="str">
        <f t="shared" si="44"/>
        <v/>
      </c>
      <c r="AO50" s="23" t="str">
        <f t="shared" si="45"/>
        <v/>
      </c>
      <c r="AP50" s="23" t="str">
        <f t="shared" si="45"/>
        <v/>
      </c>
      <c r="AQ50" s="23" t="str">
        <f t="shared" si="45"/>
        <v/>
      </c>
      <c r="AR50" s="23" t="str">
        <f t="shared" si="45"/>
        <v/>
      </c>
      <c r="AS50" s="23" t="str">
        <f t="shared" si="45"/>
        <v/>
      </c>
      <c r="AT50" s="23" t="str">
        <f t="shared" si="45"/>
        <v/>
      </c>
      <c r="AU50" s="23" t="str">
        <f t="shared" si="45"/>
        <v/>
      </c>
      <c r="AV50" s="23" t="str">
        <f t="shared" si="45"/>
        <v/>
      </c>
      <c r="AW50" s="23" t="str">
        <f t="shared" si="45"/>
        <v/>
      </c>
      <c r="AX50" s="23" t="str">
        <f t="shared" si="45"/>
        <v/>
      </c>
      <c r="AY50" s="23" t="str">
        <f t="shared" si="46"/>
        <v/>
      </c>
      <c r="AZ50" s="23" t="str">
        <f t="shared" si="46"/>
        <v/>
      </c>
      <c r="BA50" s="23" t="str">
        <f t="shared" si="46"/>
        <v/>
      </c>
      <c r="BB50" s="23" t="str">
        <f t="shared" si="46"/>
        <v/>
      </c>
      <c r="BC50" s="23" t="str">
        <f t="shared" si="46"/>
        <v/>
      </c>
      <c r="BD50" s="23" t="str">
        <f t="shared" si="46"/>
        <v/>
      </c>
      <c r="BE50" s="23" t="str">
        <f t="shared" si="46"/>
        <v/>
      </c>
      <c r="BF50" s="23" t="str">
        <f t="shared" si="46"/>
        <v/>
      </c>
      <c r="BG50" s="23" t="str">
        <f t="shared" si="46"/>
        <v/>
      </c>
      <c r="BH50" s="23" t="str">
        <f t="shared" si="46"/>
        <v/>
      </c>
      <c r="BI50" s="23" t="str">
        <f t="shared" si="47"/>
        <v/>
      </c>
      <c r="BJ50" s="23" t="str">
        <f t="shared" si="47"/>
        <v/>
      </c>
      <c r="BK50" s="23" t="str">
        <f t="shared" si="47"/>
        <v/>
      </c>
      <c r="BL50" s="23" t="str">
        <f t="shared" si="47"/>
        <v/>
      </c>
      <c r="BM50" s="23" t="str">
        <f t="shared" si="47"/>
        <v/>
      </c>
      <c r="BN50" s="23" t="str">
        <f t="shared" si="47"/>
        <v/>
      </c>
      <c r="BO50" s="23" t="str">
        <f t="shared" si="47"/>
        <v/>
      </c>
      <c r="BP50" s="23" t="str">
        <f t="shared" si="47"/>
        <v/>
      </c>
      <c r="BQ50" s="23" t="str">
        <f t="shared" si="47"/>
        <v/>
      </c>
      <c r="BR50" s="23" t="str">
        <f t="shared" si="47"/>
        <v/>
      </c>
      <c r="BS50" s="23" t="str">
        <f t="shared" si="47"/>
        <v/>
      </c>
      <c r="BU50" s="29" t="s">
        <v>236</v>
      </c>
    </row>
    <row r="51" spans="1:73" x14ac:dyDescent="0.2">
      <c r="BU51" s="30"/>
    </row>
    <row r="52" spans="1:73" ht="17" x14ac:dyDescent="0.2">
      <c r="A52" s="19" t="s">
        <v>237</v>
      </c>
      <c r="B52" s="20" t="s">
        <v>238</v>
      </c>
      <c r="C52" s="19" t="s">
        <v>55</v>
      </c>
      <c r="D52" s="21" t="s">
        <v>117</v>
      </c>
      <c r="E52" s="19" t="s">
        <v>75</v>
      </c>
      <c r="F52" s="19"/>
      <c r="G52" s="22">
        <v>1</v>
      </c>
      <c r="H52" s="22">
        <v>5</v>
      </c>
      <c r="I52" s="22">
        <f>MIN(61,IF(G52&lt;=29,ROUND((G52-1)*(29+SlipWeeks)/29,0)+1,G52+SlipWeeks))</f>
        <v>1</v>
      </c>
      <c r="J52" s="22">
        <f>MIN(61,IF(G52+H52-1&lt;=29,MAX(ROUND((G52+H52-1)*(29+SlipWeeks)/29,0),I52),G52+H52-1+SlipWeeks))</f>
        <v>5</v>
      </c>
      <c r="K52" s="23">
        <f t="shared" ref="K52:T60" si="48">IF(AND(K$4&gt;=$I52,K$4&lt;=$J52),1,"")</f>
        <v>1</v>
      </c>
      <c r="L52" s="23">
        <f t="shared" si="48"/>
        <v>1</v>
      </c>
      <c r="M52" s="23">
        <f t="shared" si="48"/>
        <v>1</v>
      </c>
      <c r="N52" s="23">
        <f t="shared" si="48"/>
        <v>1</v>
      </c>
      <c r="O52" s="23">
        <f t="shared" si="48"/>
        <v>1</v>
      </c>
      <c r="P52" s="23" t="str">
        <f t="shared" si="48"/>
        <v/>
      </c>
      <c r="Q52" s="23" t="str">
        <f t="shared" si="48"/>
        <v/>
      </c>
      <c r="R52" s="23" t="str">
        <f t="shared" si="48"/>
        <v/>
      </c>
      <c r="S52" s="23" t="str">
        <f t="shared" si="48"/>
        <v/>
      </c>
      <c r="T52" s="23" t="str">
        <f t="shared" si="48"/>
        <v/>
      </c>
      <c r="U52" s="23" t="str">
        <f t="shared" ref="U52:AD60" si="49">IF(AND(U$4&gt;=$I52,U$4&lt;=$J52),1,"")</f>
        <v/>
      </c>
      <c r="V52" s="23" t="str">
        <f t="shared" si="49"/>
        <v/>
      </c>
      <c r="W52" s="23" t="str">
        <f t="shared" si="49"/>
        <v/>
      </c>
      <c r="X52" s="23" t="str">
        <f t="shared" si="49"/>
        <v/>
      </c>
      <c r="Y52" s="23" t="str">
        <f t="shared" si="49"/>
        <v/>
      </c>
      <c r="Z52" s="23" t="str">
        <f t="shared" si="49"/>
        <v/>
      </c>
      <c r="AA52" s="23" t="str">
        <f t="shared" si="49"/>
        <v/>
      </c>
      <c r="AB52" s="23" t="str">
        <f t="shared" si="49"/>
        <v/>
      </c>
      <c r="AC52" s="23" t="str">
        <f t="shared" si="49"/>
        <v/>
      </c>
      <c r="AD52" s="23" t="str">
        <f t="shared" si="49"/>
        <v/>
      </c>
      <c r="AE52" s="23" t="str">
        <f t="shared" ref="AE52:AN60" si="50">IF(AND(AE$4&gt;=$I52,AE$4&lt;=$J52),1,"")</f>
        <v/>
      </c>
      <c r="AF52" s="23" t="str">
        <f t="shared" si="50"/>
        <v/>
      </c>
      <c r="AG52" s="23" t="str">
        <f t="shared" si="50"/>
        <v/>
      </c>
      <c r="AH52" s="23" t="str">
        <f t="shared" si="50"/>
        <v/>
      </c>
      <c r="AI52" s="23" t="str">
        <f t="shared" si="50"/>
        <v/>
      </c>
      <c r="AJ52" s="23" t="str">
        <f t="shared" si="50"/>
        <v/>
      </c>
      <c r="AK52" s="23" t="str">
        <f t="shared" si="50"/>
        <v/>
      </c>
      <c r="AL52" s="23" t="str">
        <f t="shared" si="50"/>
        <v/>
      </c>
      <c r="AM52" s="23" t="str">
        <f t="shared" si="50"/>
        <v/>
      </c>
      <c r="AN52" s="23" t="str">
        <f t="shared" si="50"/>
        <v/>
      </c>
      <c r="AO52" s="23" t="str">
        <f t="shared" ref="AO52:AX60" si="51">IF(AND(AO$4&gt;=$I52,AO$4&lt;=$J52),1,"")</f>
        <v/>
      </c>
      <c r="AP52" s="23" t="str">
        <f t="shared" si="51"/>
        <v/>
      </c>
      <c r="AQ52" s="23" t="str">
        <f t="shared" si="51"/>
        <v/>
      </c>
      <c r="AR52" s="23" t="str">
        <f t="shared" si="51"/>
        <v/>
      </c>
      <c r="AS52" s="23" t="str">
        <f t="shared" si="51"/>
        <v/>
      </c>
      <c r="AT52" s="23" t="str">
        <f t="shared" si="51"/>
        <v/>
      </c>
      <c r="AU52" s="23" t="str">
        <f t="shared" si="51"/>
        <v/>
      </c>
      <c r="AV52" s="23" t="str">
        <f t="shared" si="51"/>
        <v/>
      </c>
      <c r="AW52" s="23" t="str">
        <f t="shared" si="51"/>
        <v/>
      </c>
      <c r="AX52" s="23" t="str">
        <f t="shared" si="51"/>
        <v/>
      </c>
      <c r="AY52" s="23" t="str">
        <f t="shared" ref="AY52:BH60" si="52">IF(AND(AY$4&gt;=$I52,AY$4&lt;=$J52),1,"")</f>
        <v/>
      </c>
      <c r="AZ52" s="23" t="str">
        <f t="shared" si="52"/>
        <v/>
      </c>
      <c r="BA52" s="23" t="str">
        <f t="shared" si="52"/>
        <v/>
      </c>
      <c r="BB52" s="23" t="str">
        <f t="shared" si="52"/>
        <v/>
      </c>
      <c r="BC52" s="23" t="str">
        <f t="shared" si="52"/>
        <v/>
      </c>
      <c r="BD52" s="23" t="str">
        <f t="shared" si="52"/>
        <v/>
      </c>
      <c r="BE52" s="23" t="str">
        <f t="shared" si="52"/>
        <v/>
      </c>
      <c r="BF52" s="23" t="str">
        <f t="shared" si="52"/>
        <v/>
      </c>
      <c r="BG52" s="23" t="str">
        <f t="shared" si="52"/>
        <v/>
      </c>
      <c r="BH52" s="23" t="str">
        <f t="shared" si="52"/>
        <v/>
      </c>
      <c r="BI52" s="23" t="str">
        <f t="shared" ref="BI52:BS60" si="53">IF(AND(BI$4&gt;=$I52,BI$4&lt;=$J52),1,"")</f>
        <v/>
      </c>
      <c r="BJ52" s="23" t="str">
        <f t="shared" si="53"/>
        <v/>
      </c>
      <c r="BK52" s="23" t="str">
        <f t="shared" si="53"/>
        <v/>
      </c>
      <c r="BL52" s="23" t="str">
        <f t="shared" si="53"/>
        <v/>
      </c>
      <c r="BM52" s="23" t="str">
        <f t="shared" si="53"/>
        <v/>
      </c>
      <c r="BN52" s="23" t="str">
        <f t="shared" si="53"/>
        <v/>
      </c>
      <c r="BO52" s="23" t="str">
        <f t="shared" si="53"/>
        <v/>
      </c>
      <c r="BP52" s="23" t="str">
        <f t="shared" si="53"/>
        <v/>
      </c>
      <c r="BQ52" s="23" t="str">
        <f t="shared" si="53"/>
        <v/>
      </c>
      <c r="BR52" s="23" t="str">
        <f t="shared" si="53"/>
        <v/>
      </c>
      <c r="BS52" s="23" t="str">
        <f t="shared" si="53"/>
        <v/>
      </c>
      <c r="BT52" s="24" t="str">
        <f>IF(IF(G52+H52-1&lt;=29,MAX(ROUND((G52+H52-1)*(29+SlipWeeks)/29,0),$I52),G52+H52-1+SlipWeeks)&gt;61,"▶ clipped","")</f>
        <v/>
      </c>
      <c r="BU52" s="29" t="s">
        <v>239</v>
      </c>
    </row>
    <row r="53" spans="1:73" ht="17" outlineLevel="1" x14ac:dyDescent="0.2">
      <c r="A53" s="6" t="s">
        <v>240</v>
      </c>
      <c r="B53" s="25" t="s">
        <v>241</v>
      </c>
      <c r="C53" s="6" t="s">
        <v>55</v>
      </c>
      <c r="D53" s="24" t="s">
        <v>121</v>
      </c>
      <c r="F53" s="6"/>
      <c r="G53" s="22">
        <v>1</v>
      </c>
      <c r="H53" s="22">
        <v>3</v>
      </c>
      <c r="I53" s="22">
        <f t="shared" ref="I53:I60" si="54">MEDIAN($I$52,$J$52,$I$52+ROUND((G53-$G$52)/$H$52*($J$52-$I$52+1),0))</f>
        <v>1</v>
      </c>
      <c r="J53" s="22">
        <f t="shared" ref="J53:J60" si="55">MEDIAN(I53,$J$52,$I$52+ROUND((G53+H53-$G$52)/$H$52*($J$52-$I$52+1),0)-1)</f>
        <v>3</v>
      </c>
      <c r="K53" s="23">
        <f t="shared" si="48"/>
        <v>1</v>
      </c>
      <c r="L53" s="23">
        <f t="shared" si="48"/>
        <v>1</v>
      </c>
      <c r="M53" s="23">
        <f t="shared" si="48"/>
        <v>1</v>
      </c>
      <c r="N53" s="23" t="str">
        <f t="shared" si="48"/>
        <v/>
      </c>
      <c r="O53" s="23" t="str">
        <f t="shared" si="48"/>
        <v/>
      </c>
      <c r="P53" s="23" t="str">
        <f t="shared" si="48"/>
        <v/>
      </c>
      <c r="Q53" s="23" t="str">
        <f t="shared" si="48"/>
        <v/>
      </c>
      <c r="R53" s="23" t="str">
        <f t="shared" si="48"/>
        <v/>
      </c>
      <c r="S53" s="23" t="str">
        <f t="shared" si="48"/>
        <v/>
      </c>
      <c r="T53" s="23" t="str">
        <f t="shared" si="48"/>
        <v/>
      </c>
      <c r="U53" s="23" t="str">
        <f t="shared" si="49"/>
        <v/>
      </c>
      <c r="V53" s="23" t="str">
        <f t="shared" si="49"/>
        <v/>
      </c>
      <c r="W53" s="23" t="str">
        <f t="shared" si="49"/>
        <v/>
      </c>
      <c r="X53" s="23" t="str">
        <f t="shared" si="49"/>
        <v/>
      </c>
      <c r="Y53" s="23" t="str">
        <f t="shared" si="49"/>
        <v/>
      </c>
      <c r="Z53" s="23" t="str">
        <f t="shared" si="49"/>
        <v/>
      </c>
      <c r="AA53" s="23" t="str">
        <f t="shared" si="49"/>
        <v/>
      </c>
      <c r="AB53" s="23" t="str">
        <f t="shared" si="49"/>
        <v/>
      </c>
      <c r="AC53" s="23" t="str">
        <f t="shared" si="49"/>
        <v/>
      </c>
      <c r="AD53" s="23" t="str">
        <f t="shared" si="49"/>
        <v/>
      </c>
      <c r="AE53" s="23" t="str">
        <f t="shared" si="50"/>
        <v/>
      </c>
      <c r="AF53" s="23" t="str">
        <f t="shared" si="50"/>
        <v/>
      </c>
      <c r="AG53" s="23" t="str">
        <f t="shared" si="50"/>
        <v/>
      </c>
      <c r="AH53" s="23" t="str">
        <f t="shared" si="50"/>
        <v/>
      </c>
      <c r="AI53" s="23" t="str">
        <f t="shared" si="50"/>
        <v/>
      </c>
      <c r="AJ53" s="23" t="str">
        <f t="shared" si="50"/>
        <v/>
      </c>
      <c r="AK53" s="23" t="str">
        <f t="shared" si="50"/>
        <v/>
      </c>
      <c r="AL53" s="23" t="str">
        <f t="shared" si="50"/>
        <v/>
      </c>
      <c r="AM53" s="23" t="str">
        <f t="shared" si="50"/>
        <v/>
      </c>
      <c r="AN53" s="23" t="str">
        <f t="shared" si="50"/>
        <v/>
      </c>
      <c r="AO53" s="23" t="str">
        <f t="shared" si="51"/>
        <v/>
      </c>
      <c r="AP53" s="23" t="str">
        <f t="shared" si="51"/>
        <v/>
      </c>
      <c r="AQ53" s="23" t="str">
        <f t="shared" si="51"/>
        <v/>
      </c>
      <c r="AR53" s="23" t="str">
        <f t="shared" si="51"/>
        <v/>
      </c>
      <c r="AS53" s="23" t="str">
        <f t="shared" si="51"/>
        <v/>
      </c>
      <c r="AT53" s="23" t="str">
        <f t="shared" si="51"/>
        <v/>
      </c>
      <c r="AU53" s="23" t="str">
        <f t="shared" si="51"/>
        <v/>
      </c>
      <c r="AV53" s="23" t="str">
        <f t="shared" si="51"/>
        <v/>
      </c>
      <c r="AW53" s="23" t="str">
        <f t="shared" si="51"/>
        <v/>
      </c>
      <c r="AX53" s="23" t="str">
        <f t="shared" si="51"/>
        <v/>
      </c>
      <c r="AY53" s="23" t="str">
        <f t="shared" si="52"/>
        <v/>
      </c>
      <c r="AZ53" s="23" t="str">
        <f t="shared" si="52"/>
        <v/>
      </c>
      <c r="BA53" s="23" t="str">
        <f t="shared" si="52"/>
        <v/>
      </c>
      <c r="BB53" s="23" t="str">
        <f t="shared" si="52"/>
        <v/>
      </c>
      <c r="BC53" s="23" t="str">
        <f t="shared" si="52"/>
        <v/>
      </c>
      <c r="BD53" s="23" t="str">
        <f t="shared" si="52"/>
        <v/>
      </c>
      <c r="BE53" s="23" t="str">
        <f t="shared" si="52"/>
        <v/>
      </c>
      <c r="BF53" s="23" t="str">
        <f t="shared" si="52"/>
        <v/>
      </c>
      <c r="BG53" s="23" t="str">
        <f t="shared" si="52"/>
        <v/>
      </c>
      <c r="BH53" s="23" t="str">
        <f t="shared" si="52"/>
        <v/>
      </c>
      <c r="BI53" s="23" t="str">
        <f t="shared" si="53"/>
        <v/>
      </c>
      <c r="BJ53" s="23" t="str">
        <f t="shared" si="53"/>
        <v/>
      </c>
      <c r="BK53" s="23" t="str">
        <f t="shared" si="53"/>
        <v/>
      </c>
      <c r="BL53" s="23" t="str">
        <f t="shared" si="53"/>
        <v/>
      </c>
      <c r="BM53" s="23" t="str">
        <f t="shared" si="53"/>
        <v/>
      </c>
      <c r="BN53" s="23" t="str">
        <f t="shared" si="53"/>
        <v/>
      </c>
      <c r="BO53" s="23" t="str">
        <f t="shared" si="53"/>
        <v/>
      </c>
      <c r="BP53" s="23" t="str">
        <f t="shared" si="53"/>
        <v/>
      </c>
      <c r="BQ53" s="23" t="str">
        <f t="shared" si="53"/>
        <v/>
      </c>
      <c r="BR53" s="23" t="str">
        <f t="shared" si="53"/>
        <v/>
      </c>
      <c r="BS53" s="23" t="str">
        <f t="shared" si="53"/>
        <v/>
      </c>
      <c r="BU53" s="29" t="s">
        <v>242</v>
      </c>
    </row>
    <row r="54" spans="1:73" ht="17" outlineLevel="1" x14ac:dyDescent="0.2">
      <c r="A54" s="6" t="s">
        <v>243</v>
      </c>
      <c r="B54" s="25" t="s">
        <v>244</v>
      </c>
      <c r="C54" s="6" t="s">
        <v>55</v>
      </c>
      <c r="D54" s="24" t="s">
        <v>121</v>
      </c>
      <c r="F54" s="6"/>
      <c r="G54" s="22">
        <v>1</v>
      </c>
      <c r="H54" s="22">
        <v>3</v>
      </c>
      <c r="I54" s="22">
        <f t="shared" si="54"/>
        <v>1</v>
      </c>
      <c r="J54" s="22">
        <f t="shared" si="55"/>
        <v>3</v>
      </c>
      <c r="K54" s="23">
        <f t="shared" si="48"/>
        <v>1</v>
      </c>
      <c r="L54" s="23">
        <f t="shared" si="48"/>
        <v>1</v>
      </c>
      <c r="M54" s="23">
        <f t="shared" si="48"/>
        <v>1</v>
      </c>
      <c r="N54" s="23" t="str">
        <f t="shared" si="48"/>
        <v/>
      </c>
      <c r="O54" s="23" t="str">
        <f t="shared" si="48"/>
        <v/>
      </c>
      <c r="P54" s="23" t="str">
        <f t="shared" si="48"/>
        <v/>
      </c>
      <c r="Q54" s="23" t="str">
        <f t="shared" si="48"/>
        <v/>
      </c>
      <c r="R54" s="23" t="str">
        <f t="shared" si="48"/>
        <v/>
      </c>
      <c r="S54" s="23" t="str">
        <f t="shared" si="48"/>
        <v/>
      </c>
      <c r="T54" s="23" t="str">
        <f t="shared" si="48"/>
        <v/>
      </c>
      <c r="U54" s="23" t="str">
        <f t="shared" si="49"/>
        <v/>
      </c>
      <c r="V54" s="23" t="str">
        <f t="shared" si="49"/>
        <v/>
      </c>
      <c r="W54" s="23" t="str">
        <f t="shared" si="49"/>
        <v/>
      </c>
      <c r="X54" s="23" t="str">
        <f t="shared" si="49"/>
        <v/>
      </c>
      <c r="Y54" s="23" t="str">
        <f t="shared" si="49"/>
        <v/>
      </c>
      <c r="Z54" s="23" t="str">
        <f t="shared" si="49"/>
        <v/>
      </c>
      <c r="AA54" s="23" t="str">
        <f t="shared" si="49"/>
        <v/>
      </c>
      <c r="AB54" s="23" t="str">
        <f t="shared" si="49"/>
        <v/>
      </c>
      <c r="AC54" s="23" t="str">
        <f t="shared" si="49"/>
        <v/>
      </c>
      <c r="AD54" s="23" t="str">
        <f t="shared" si="49"/>
        <v/>
      </c>
      <c r="AE54" s="23" t="str">
        <f t="shared" si="50"/>
        <v/>
      </c>
      <c r="AF54" s="23" t="str">
        <f t="shared" si="50"/>
        <v/>
      </c>
      <c r="AG54" s="23" t="str">
        <f t="shared" si="50"/>
        <v/>
      </c>
      <c r="AH54" s="23" t="str">
        <f t="shared" si="50"/>
        <v/>
      </c>
      <c r="AI54" s="23" t="str">
        <f t="shared" si="50"/>
        <v/>
      </c>
      <c r="AJ54" s="23" t="str">
        <f t="shared" si="50"/>
        <v/>
      </c>
      <c r="AK54" s="23" t="str">
        <f t="shared" si="50"/>
        <v/>
      </c>
      <c r="AL54" s="23" t="str">
        <f t="shared" si="50"/>
        <v/>
      </c>
      <c r="AM54" s="23" t="str">
        <f t="shared" si="50"/>
        <v/>
      </c>
      <c r="AN54" s="23" t="str">
        <f t="shared" si="50"/>
        <v/>
      </c>
      <c r="AO54" s="23" t="str">
        <f t="shared" si="51"/>
        <v/>
      </c>
      <c r="AP54" s="23" t="str">
        <f t="shared" si="51"/>
        <v/>
      </c>
      <c r="AQ54" s="23" t="str">
        <f t="shared" si="51"/>
        <v/>
      </c>
      <c r="AR54" s="23" t="str">
        <f t="shared" si="51"/>
        <v/>
      </c>
      <c r="AS54" s="23" t="str">
        <f t="shared" si="51"/>
        <v/>
      </c>
      <c r="AT54" s="23" t="str">
        <f t="shared" si="51"/>
        <v/>
      </c>
      <c r="AU54" s="23" t="str">
        <f t="shared" si="51"/>
        <v/>
      </c>
      <c r="AV54" s="23" t="str">
        <f t="shared" si="51"/>
        <v/>
      </c>
      <c r="AW54" s="23" t="str">
        <f t="shared" si="51"/>
        <v/>
      </c>
      <c r="AX54" s="23" t="str">
        <f t="shared" si="51"/>
        <v/>
      </c>
      <c r="AY54" s="23" t="str">
        <f t="shared" si="52"/>
        <v/>
      </c>
      <c r="AZ54" s="23" t="str">
        <f t="shared" si="52"/>
        <v/>
      </c>
      <c r="BA54" s="23" t="str">
        <f t="shared" si="52"/>
        <v/>
      </c>
      <c r="BB54" s="23" t="str">
        <f t="shared" si="52"/>
        <v/>
      </c>
      <c r="BC54" s="23" t="str">
        <f t="shared" si="52"/>
        <v/>
      </c>
      <c r="BD54" s="23" t="str">
        <f t="shared" si="52"/>
        <v/>
      </c>
      <c r="BE54" s="23" t="str">
        <f t="shared" si="52"/>
        <v/>
      </c>
      <c r="BF54" s="23" t="str">
        <f t="shared" si="52"/>
        <v/>
      </c>
      <c r="BG54" s="23" t="str">
        <f t="shared" si="52"/>
        <v/>
      </c>
      <c r="BH54" s="23" t="str">
        <f t="shared" si="52"/>
        <v/>
      </c>
      <c r="BI54" s="23" t="str">
        <f t="shared" si="53"/>
        <v/>
      </c>
      <c r="BJ54" s="23" t="str">
        <f t="shared" si="53"/>
        <v/>
      </c>
      <c r="BK54" s="23" t="str">
        <f t="shared" si="53"/>
        <v/>
      </c>
      <c r="BL54" s="23" t="str">
        <f t="shared" si="53"/>
        <v/>
      </c>
      <c r="BM54" s="23" t="str">
        <f t="shared" si="53"/>
        <v/>
      </c>
      <c r="BN54" s="23" t="str">
        <f t="shared" si="53"/>
        <v/>
      </c>
      <c r="BO54" s="23" t="str">
        <f t="shared" si="53"/>
        <v/>
      </c>
      <c r="BP54" s="23" t="str">
        <f t="shared" si="53"/>
        <v/>
      </c>
      <c r="BQ54" s="23" t="str">
        <f t="shared" si="53"/>
        <v/>
      </c>
      <c r="BR54" s="23" t="str">
        <f t="shared" si="53"/>
        <v/>
      </c>
      <c r="BS54" s="23" t="str">
        <f t="shared" si="53"/>
        <v/>
      </c>
      <c r="BU54" s="29" t="s">
        <v>245</v>
      </c>
    </row>
    <row r="55" spans="1:73" ht="17" outlineLevel="1" x14ac:dyDescent="0.2">
      <c r="A55" s="6" t="s">
        <v>246</v>
      </c>
      <c r="B55" s="25" t="s">
        <v>247</v>
      </c>
      <c r="C55" s="6" t="s">
        <v>55</v>
      </c>
      <c r="D55" s="24" t="s">
        <v>121</v>
      </c>
      <c r="F55" s="6"/>
      <c r="G55" s="22">
        <v>1</v>
      </c>
      <c r="H55" s="22">
        <v>3</v>
      </c>
      <c r="I55" s="22">
        <f t="shared" si="54"/>
        <v>1</v>
      </c>
      <c r="J55" s="22">
        <f t="shared" si="55"/>
        <v>3</v>
      </c>
      <c r="K55" s="23">
        <f t="shared" si="48"/>
        <v>1</v>
      </c>
      <c r="L55" s="23">
        <f t="shared" si="48"/>
        <v>1</v>
      </c>
      <c r="M55" s="23">
        <f t="shared" si="48"/>
        <v>1</v>
      </c>
      <c r="N55" s="23" t="str">
        <f t="shared" si="48"/>
        <v/>
      </c>
      <c r="O55" s="23" t="str">
        <f t="shared" si="48"/>
        <v/>
      </c>
      <c r="P55" s="23" t="str">
        <f t="shared" si="48"/>
        <v/>
      </c>
      <c r="Q55" s="23" t="str">
        <f t="shared" si="48"/>
        <v/>
      </c>
      <c r="R55" s="23" t="str">
        <f t="shared" si="48"/>
        <v/>
      </c>
      <c r="S55" s="23" t="str">
        <f t="shared" si="48"/>
        <v/>
      </c>
      <c r="T55" s="23" t="str">
        <f t="shared" si="48"/>
        <v/>
      </c>
      <c r="U55" s="23" t="str">
        <f t="shared" si="49"/>
        <v/>
      </c>
      <c r="V55" s="23" t="str">
        <f t="shared" si="49"/>
        <v/>
      </c>
      <c r="W55" s="23" t="str">
        <f t="shared" si="49"/>
        <v/>
      </c>
      <c r="X55" s="23" t="str">
        <f t="shared" si="49"/>
        <v/>
      </c>
      <c r="Y55" s="23" t="str">
        <f t="shared" si="49"/>
        <v/>
      </c>
      <c r="Z55" s="23" t="str">
        <f t="shared" si="49"/>
        <v/>
      </c>
      <c r="AA55" s="23" t="str">
        <f t="shared" si="49"/>
        <v/>
      </c>
      <c r="AB55" s="23" t="str">
        <f t="shared" si="49"/>
        <v/>
      </c>
      <c r="AC55" s="23" t="str">
        <f t="shared" si="49"/>
        <v/>
      </c>
      <c r="AD55" s="23" t="str">
        <f t="shared" si="49"/>
        <v/>
      </c>
      <c r="AE55" s="23" t="str">
        <f t="shared" si="50"/>
        <v/>
      </c>
      <c r="AF55" s="23" t="str">
        <f t="shared" si="50"/>
        <v/>
      </c>
      <c r="AG55" s="23" t="str">
        <f t="shared" si="50"/>
        <v/>
      </c>
      <c r="AH55" s="23" t="str">
        <f t="shared" si="50"/>
        <v/>
      </c>
      <c r="AI55" s="23" t="str">
        <f t="shared" si="50"/>
        <v/>
      </c>
      <c r="AJ55" s="23" t="str">
        <f t="shared" si="50"/>
        <v/>
      </c>
      <c r="AK55" s="23" t="str">
        <f t="shared" si="50"/>
        <v/>
      </c>
      <c r="AL55" s="23" t="str">
        <f t="shared" si="50"/>
        <v/>
      </c>
      <c r="AM55" s="23" t="str">
        <f t="shared" si="50"/>
        <v/>
      </c>
      <c r="AN55" s="23" t="str">
        <f t="shared" si="50"/>
        <v/>
      </c>
      <c r="AO55" s="23" t="str">
        <f t="shared" si="51"/>
        <v/>
      </c>
      <c r="AP55" s="23" t="str">
        <f t="shared" si="51"/>
        <v/>
      </c>
      <c r="AQ55" s="23" t="str">
        <f t="shared" si="51"/>
        <v/>
      </c>
      <c r="AR55" s="23" t="str">
        <f t="shared" si="51"/>
        <v/>
      </c>
      <c r="AS55" s="23" t="str">
        <f t="shared" si="51"/>
        <v/>
      </c>
      <c r="AT55" s="23" t="str">
        <f t="shared" si="51"/>
        <v/>
      </c>
      <c r="AU55" s="23" t="str">
        <f t="shared" si="51"/>
        <v/>
      </c>
      <c r="AV55" s="23" t="str">
        <f t="shared" si="51"/>
        <v/>
      </c>
      <c r="AW55" s="23" t="str">
        <f t="shared" si="51"/>
        <v/>
      </c>
      <c r="AX55" s="23" t="str">
        <f t="shared" si="51"/>
        <v/>
      </c>
      <c r="AY55" s="23" t="str">
        <f t="shared" si="52"/>
        <v/>
      </c>
      <c r="AZ55" s="23" t="str">
        <f t="shared" si="52"/>
        <v/>
      </c>
      <c r="BA55" s="23" t="str">
        <f t="shared" si="52"/>
        <v/>
      </c>
      <c r="BB55" s="23" t="str">
        <f t="shared" si="52"/>
        <v/>
      </c>
      <c r="BC55" s="23" t="str">
        <f t="shared" si="52"/>
        <v/>
      </c>
      <c r="BD55" s="23" t="str">
        <f t="shared" si="52"/>
        <v/>
      </c>
      <c r="BE55" s="23" t="str">
        <f t="shared" si="52"/>
        <v/>
      </c>
      <c r="BF55" s="23" t="str">
        <f t="shared" si="52"/>
        <v/>
      </c>
      <c r="BG55" s="23" t="str">
        <f t="shared" si="52"/>
        <v/>
      </c>
      <c r="BH55" s="23" t="str">
        <f t="shared" si="52"/>
        <v/>
      </c>
      <c r="BI55" s="23" t="str">
        <f t="shared" si="53"/>
        <v/>
      </c>
      <c r="BJ55" s="23" t="str">
        <f t="shared" si="53"/>
        <v/>
      </c>
      <c r="BK55" s="23" t="str">
        <f t="shared" si="53"/>
        <v/>
      </c>
      <c r="BL55" s="23" t="str">
        <f t="shared" si="53"/>
        <v/>
      </c>
      <c r="BM55" s="23" t="str">
        <f t="shared" si="53"/>
        <v/>
      </c>
      <c r="BN55" s="23" t="str">
        <f t="shared" si="53"/>
        <v/>
      </c>
      <c r="BO55" s="23" t="str">
        <f t="shared" si="53"/>
        <v/>
      </c>
      <c r="BP55" s="23" t="str">
        <f t="shared" si="53"/>
        <v/>
      </c>
      <c r="BQ55" s="23" t="str">
        <f t="shared" si="53"/>
        <v/>
      </c>
      <c r="BR55" s="23" t="str">
        <f t="shared" si="53"/>
        <v/>
      </c>
      <c r="BS55" s="23" t="str">
        <f t="shared" si="53"/>
        <v/>
      </c>
      <c r="BU55" s="29" t="s">
        <v>248</v>
      </c>
    </row>
    <row r="56" spans="1:73" ht="17" outlineLevel="1" x14ac:dyDescent="0.2">
      <c r="A56" s="6" t="s">
        <v>249</v>
      </c>
      <c r="B56" s="25" t="s">
        <v>250</v>
      </c>
      <c r="C56" s="6" t="s">
        <v>55</v>
      </c>
      <c r="D56" s="24" t="s">
        <v>121</v>
      </c>
      <c r="F56" s="6"/>
      <c r="G56" s="22">
        <v>1</v>
      </c>
      <c r="H56" s="22">
        <v>3</v>
      </c>
      <c r="I56" s="22">
        <f t="shared" si="54"/>
        <v>1</v>
      </c>
      <c r="J56" s="22">
        <f t="shared" si="55"/>
        <v>3</v>
      </c>
      <c r="K56" s="23">
        <f t="shared" si="48"/>
        <v>1</v>
      </c>
      <c r="L56" s="23">
        <f t="shared" si="48"/>
        <v>1</v>
      </c>
      <c r="M56" s="23">
        <f t="shared" si="48"/>
        <v>1</v>
      </c>
      <c r="N56" s="23" t="str">
        <f t="shared" si="48"/>
        <v/>
      </c>
      <c r="O56" s="23" t="str">
        <f t="shared" si="48"/>
        <v/>
      </c>
      <c r="P56" s="23" t="str">
        <f t="shared" si="48"/>
        <v/>
      </c>
      <c r="Q56" s="23" t="str">
        <f t="shared" si="48"/>
        <v/>
      </c>
      <c r="R56" s="23" t="str">
        <f t="shared" si="48"/>
        <v/>
      </c>
      <c r="S56" s="23" t="str">
        <f t="shared" si="48"/>
        <v/>
      </c>
      <c r="T56" s="23" t="str">
        <f t="shared" si="48"/>
        <v/>
      </c>
      <c r="U56" s="23" t="str">
        <f t="shared" si="49"/>
        <v/>
      </c>
      <c r="V56" s="23" t="str">
        <f t="shared" si="49"/>
        <v/>
      </c>
      <c r="W56" s="23" t="str">
        <f t="shared" si="49"/>
        <v/>
      </c>
      <c r="X56" s="23" t="str">
        <f t="shared" si="49"/>
        <v/>
      </c>
      <c r="Y56" s="23" t="str">
        <f t="shared" si="49"/>
        <v/>
      </c>
      <c r="Z56" s="23" t="str">
        <f t="shared" si="49"/>
        <v/>
      </c>
      <c r="AA56" s="23" t="str">
        <f t="shared" si="49"/>
        <v/>
      </c>
      <c r="AB56" s="23" t="str">
        <f t="shared" si="49"/>
        <v/>
      </c>
      <c r="AC56" s="23" t="str">
        <f t="shared" si="49"/>
        <v/>
      </c>
      <c r="AD56" s="23" t="str">
        <f t="shared" si="49"/>
        <v/>
      </c>
      <c r="AE56" s="23" t="str">
        <f t="shared" si="50"/>
        <v/>
      </c>
      <c r="AF56" s="23" t="str">
        <f t="shared" si="50"/>
        <v/>
      </c>
      <c r="AG56" s="23" t="str">
        <f t="shared" si="50"/>
        <v/>
      </c>
      <c r="AH56" s="23" t="str">
        <f t="shared" si="50"/>
        <v/>
      </c>
      <c r="AI56" s="23" t="str">
        <f t="shared" si="50"/>
        <v/>
      </c>
      <c r="AJ56" s="23" t="str">
        <f t="shared" si="50"/>
        <v/>
      </c>
      <c r="AK56" s="23" t="str">
        <f t="shared" si="50"/>
        <v/>
      </c>
      <c r="AL56" s="23" t="str">
        <f t="shared" si="50"/>
        <v/>
      </c>
      <c r="AM56" s="23" t="str">
        <f t="shared" si="50"/>
        <v/>
      </c>
      <c r="AN56" s="23" t="str">
        <f t="shared" si="50"/>
        <v/>
      </c>
      <c r="AO56" s="23" t="str">
        <f t="shared" si="51"/>
        <v/>
      </c>
      <c r="AP56" s="23" t="str">
        <f t="shared" si="51"/>
        <v/>
      </c>
      <c r="AQ56" s="23" t="str">
        <f t="shared" si="51"/>
        <v/>
      </c>
      <c r="AR56" s="23" t="str">
        <f t="shared" si="51"/>
        <v/>
      </c>
      <c r="AS56" s="23" t="str">
        <f t="shared" si="51"/>
        <v/>
      </c>
      <c r="AT56" s="23" t="str">
        <f t="shared" si="51"/>
        <v/>
      </c>
      <c r="AU56" s="23" t="str">
        <f t="shared" si="51"/>
        <v/>
      </c>
      <c r="AV56" s="23" t="str">
        <f t="shared" si="51"/>
        <v/>
      </c>
      <c r="AW56" s="23" t="str">
        <f t="shared" si="51"/>
        <v/>
      </c>
      <c r="AX56" s="23" t="str">
        <f t="shared" si="51"/>
        <v/>
      </c>
      <c r="AY56" s="23" t="str">
        <f t="shared" si="52"/>
        <v/>
      </c>
      <c r="AZ56" s="23" t="str">
        <f t="shared" si="52"/>
        <v/>
      </c>
      <c r="BA56" s="23" t="str">
        <f t="shared" si="52"/>
        <v/>
      </c>
      <c r="BB56" s="23" t="str">
        <f t="shared" si="52"/>
        <v/>
      </c>
      <c r="BC56" s="23" t="str">
        <f t="shared" si="52"/>
        <v/>
      </c>
      <c r="BD56" s="23" t="str">
        <f t="shared" si="52"/>
        <v/>
      </c>
      <c r="BE56" s="23" t="str">
        <f t="shared" si="52"/>
        <v/>
      </c>
      <c r="BF56" s="23" t="str">
        <f t="shared" si="52"/>
        <v/>
      </c>
      <c r="BG56" s="23" t="str">
        <f t="shared" si="52"/>
        <v/>
      </c>
      <c r="BH56" s="23" t="str">
        <f t="shared" si="52"/>
        <v/>
      </c>
      <c r="BI56" s="23" t="str">
        <f t="shared" si="53"/>
        <v/>
      </c>
      <c r="BJ56" s="23" t="str">
        <f t="shared" si="53"/>
        <v/>
      </c>
      <c r="BK56" s="23" t="str">
        <f t="shared" si="53"/>
        <v/>
      </c>
      <c r="BL56" s="23" t="str">
        <f t="shared" si="53"/>
        <v/>
      </c>
      <c r="BM56" s="23" t="str">
        <f t="shared" si="53"/>
        <v/>
      </c>
      <c r="BN56" s="23" t="str">
        <f t="shared" si="53"/>
        <v/>
      </c>
      <c r="BO56" s="23" t="str">
        <f t="shared" si="53"/>
        <v/>
      </c>
      <c r="BP56" s="23" t="str">
        <f t="shared" si="53"/>
        <v/>
      </c>
      <c r="BQ56" s="23" t="str">
        <f t="shared" si="53"/>
        <v/>
      </c>
      <c r="BR56" s="23" t="str">
        <f t="shared" si="53"/>
        <v/>
      </c>
      <c r="BS56" s="23" t="str">
        <f t="shared" si="53"/>
        <v/>
      </c>
      <c r="BU56" s="29" t="s">
        <v>251</v>
      </c>
    </row>
    <row r="57" spans="1:73" ht="17" outlineLevel="1" x14ac:dyDescent="0.2">
      <c r="A57" s="6" t="s">
        <v>252</v>
      </c>
      <c r="B57" s="25" t="s">
        <v>253</v>
      </c>
      <c r="C57" s="6" t="s">
        <v>55</v>
      </c>
      <c r="D57" s="24" t="s">
        <v>121</v>
      </c>
      <c r="F57" s="6"/>
      <c r="G57" s="22">
        <v>1</v>
      </c>
      <c r="H57" s="22">
        <v>3</v>
      </c>
      <c r="I57" s="22">
        <f t="shared" si="54"/>
        <v>1</v>
      </c>
      <c r="J57" s="22">
        <f t="shared" si="55"/>
        <v>3</v>
      </c>
      <c r="K57" s="23">
        <f t="shared" si="48"/>
        <v>1</v>
      </c>
      <c r="L57" s="23">
        <f t="shared" si="48"/>
        <v>1</v>
      </c>
      <c r="M57" s="23">
        <f t="shared" si="48"/>
        <v>1</v>
      </c>
      <c r="N57" s="23" t="str">
        <f t="shared" si="48"/>
        <v/>
      </c>
      <c r="O57" s="23" t="str">
        <f t="shared" si="48"/>
        <v/>
      </c>
      <c r="P57" s="23" t="str">
        <f t="shared" si="48"/>
        <v/>
      </c>
      <c r="Q57" s="23" t="str">
        <f t="shared" si="48"/>
        <v/>
      </c>
      <c r="R57" s="23" t="str">
        <f t="shared" si="48"/>
        <v/>
      </c>
      <c r="S57" s="23" t="str">
        <f t="shared" si="48"/>
        <v/>
      </c>
      <c r="T57" s="23" t="str">
        <f t="shared" si="48"/>
        <v/>
      </c>
      <c r="U57" s="23" t="str">
        <f t="shared" si="49"/>
        <v/>
      </c>
      <c r="V57" s="23" t="str">
        <f t="shared" si="49"/>
        <v/>
      </c>
      <c r="W57" s="23" t="str">
        <f t="shared" si="49"/>
        <v/>
      </c>
      <c r="X57" s="23" t="str">
        <f t="shared" si="49"/>
        <v/>
      </c>
      <c r="Y57" s="23" t="str">
        <f t="shared" si="49"/>
        <v/>
      </c>
      <c r="Z57" s="23" t="str">
        <f t="shared" si="49"/>
        <v/>
      </c>
      <c r="AA57" s="23" t="str">
        <f t="shared" si="49"/>
        <v/>
      </c>
      <c r="AB57" s="23" t="str">
        <f t="shared" si="49"/>
        <v/>
      </c>
      <c r="AC57" s="23" t="str">
        <f t="shared" si="49"/>
        <v/>
      </c>
      <c r="AD57" s="23" t="str">
        <f t="shared" si="49"/>
        <v/>
      </c>
      <c r="AE57" s="23" t="str">
        <f t="shared" si="50"/>
        <v/>
      </c>
      <c r="AF57" s="23" t="str">
        <f t="shared" si="50"/>
        <v/>
      </c>
      <c r="AG57" s="23" t="str">
        <f t="shared" si="50"/>
        <v/>
      </c>
      <c r="AH57" s="23" t="str">
        <f t="shared" si="50"/>
        <v/>
      </c>
      <c r="AI57" s="23" t="str">
        <f t="shared" si="50"/>
        <v/>
      </c>
      <c r="AJ57" s="23" t="str">
        <f t="shared" si="50"/>
        <v/>
      </c>
      <c r="AK57" s="23" t="str">
        <f t="shared" si="50"/>
        <v/>
      </c>
      <c r="AL57" s="23" t="str">
        <f t="shared" si="50"/>
        <v/>
      </c>
      <c r="AM57" s="23" t="str">
        <f t="shared" si="50"/>
        <v/>
      </c>
      <c r="AN57" s="23" t="str">
        <f t="shared" si="50"/>
        <v/>
      </c>
      <c r="AO57" s="23" t="str">
        <f t="shared" si="51"/>
        <v/>
      </c>
      <c r="AP57" s="23" t="str">
        <f t="shared" si="51"/>
        <v/>
      </c>
      <c r="AQ57" s="23" t="str">
        <f t="shared" si="51"/>
        <v/>
      </c>
      <c r="AR57" s="23" t="str">
        <f t="shared" si="51"/>
        <v/>
      </c>
      <c r="AS57" s="23" t="str">
        <f t="shared" si="51"/>
        <v/>
      </c>
      <c r="AT57" s="23" t="str">
        <f t="shared" si="51"/>
        <v/>
      </c>
      <c r="AU57" s="23" t="str">
        <f t="shared" si="51"/>
        <v/>
      </c>
      <c r="AV57" s="23" t="str">
        <f t="shared" si="51"/>
        <v/>
      </c>
      <c r="AW57" s="23" t="str">
        <f t="shared" si="51"/>
        <v/>
      </c>
      <c r="AX57" s="23" t="str">
        <f t="shared" si="51"/>
        <v/>
      </c>
      <c r="AY57" s="23" t="str">
        <f t="shared" si="52"/>
        <v/>
      </c>
      <c r="AZ57" s="23" t="str">
        <f t="shared" si="52"/>
        <v/>
      </c>
      <c r="BA57" s="23" t="str">
        <f t="shared" si="52"/>
        <v/>
      </c>
      <c r="BB57" s="23" t="str">
        <f t="shared" si="52"/>
        <v/>
      </c>
      <c r="BC57" s="23" t="str">
        <f t="shared" si="52"/>
        <v/>
      </c>
      <c r="BD57" s="23" t="str">
        <f t="shared" si="52"/>
        <v/>
      </c>
      <c r="BE57" s="23" t="str">
        <f t="shared" si="52"/>
        <v/>
      </c>
      <c r="BF57" s="23" t="str">
        <f t="shared" si="52"/>
        <v/>
      </c>
      <c r="BG57" s="23" t="str">
        <f t="shared" si="52"/>
        <v/>
      </c>
      <c r="BH57" s="23" t="str">
        <f t="shared" si="52"/>
        <v/>
      </c>
      <c r="BI57" s="23" t="str">
        <f t="shared" si="53"/>
        <v/>
      </c>
      <c r="BJ57" s="23" t="str">
        <f t="shared" si="53"/>
        <v/>
      </c>
      <c r="BK57" s="23" t="str">
        <f t="shared" si="53"/>
        <v/>
      </c>
      <c r="BL57" s="23" t="str">
        <f t="shared" si="53"/>
        <v/>
      </c>
      <c r="BM57" s="23" t="str">
        <f t="shared" si="53"/>
        <v/>
      </c>
      <c r="BN57" s="23" t="str">
        <f t="shared" si="53"/>
        <v/>
      </c>
      <c r="BO57" s="23" t="str">
        <f t="shared" si="53"/>
        <v/>
      </c>
      <c r="BP57" s="23" t="str">
        <f t="shared" si="53"/>
        <v/>
      </c>
      <c r="BQ57" s="23" t="str">
        <f t="shared" si="53"/>
        <v/>
      </c>
      <c r="BR57" s="23" t="str">
        <f t="shared" si="53"/>
        <v/>
      </c>
      <c r="BS57" s="23" t="str">
        <f t="shared" si="53"/>
        <v/>
      </c>
      <c r="BU57" s="29" t="s">
        <v>254</v>
      </c>
    </row>
    <row r="58" spans="1:73" ht="17" outlineLevel="1" x14ac:dyDescent="0.2">
      <c r="A58" s="6" t="s">
        <v>255</v>
      </c>
      <c r="B58" s="25" t="s">
        <v>256</v>
      </c>
      <c r="C58" s="6" t="s">
        <v>55</v>
      </c>
      <c r="D58" s="24" t="s">
        <v>121</v>
      </c>
      <c r="F58" s="6" t="s">
        <v>257</v>
      </c>
      <c r="G58" s="22">
        <v>3</v>
      </c>
      <c r="H58" s="22">
        <v>3</v>
      </c>
      <c r="I58" s="22">
        <f t="shared" si="54"/>
        <v>3</v>
      </c>
      <c r="J58" s="22">
        <f t="shared" si="55"/>
        <v>5</v>
      </c>
      <c r="K58" s="23" t="str">
        <f t="shared" si="48"/>
        <v/>
      </c>
      <c r="L58" s="23" t="str">
        <f t="shared" si="48"/>
        <v/>
      </c>
      <c r="M58" s="23">
        <f t="shared" si="48"/>
        <v>1</v>
      </c>
      <c r="N58" s="23">
        <f t="shared" si="48"/>
        <v>1</v>
      </c>
      <c r="O58" s="23">
        <f t="shared" si="48"/>
        <v>1</v>
      </c>
      <c r="P58" s="23" t="str">
        <f t="shared" si="48"/>
        <v/>
      </c>
      <c r="Q58" s="23" t="str">
        <f t="shared" si="48"/>
        <v/>
      </c>
      <c r="R58" s="23" t="str">
        <f t="shared" si="48"/>
        <v/>
      </c>
      <c r="S58" s="23" t="str">
        <f t="shared" si="48"/>
        <v/>
      </c>
      <c r="T58" s="23" t="str">
        <f t="shared" si="48"/>
        <v/>
      </c>
      <c r="U58" s="23" t="str">
        <f t="shared" si="49"/>
        <v/>
      </c>
      <c r="V58" s="23" t="str">
        <f t="shared" si="49"/>
        <v/>
      </c>
      <c r="W58" s="23" t="str">
        <f t="shared" si="49"/>
        <v/>
      </c>
      <c r="X58" s="23" t="str">
        <f t="shared" si="49"/>
        <v/>
      </c>
      <c r="Y58" s="23" t="str">
        <f t="shared" si="49"/>
        <v/>
      </c>
      <c r="Z58" s="23" t="str">
        <f t="shared" si="49"/>
        <v/>
      </c>
      <c r="AA58" s="23" t="str">
        <f t="shared" si="49"/>
        <v/>
      </c>
      <c r="AB58" s="23" t="str">
        <f t="shared" si="49"/>
        <v/>
      </c>
      <c r="AC58" s="23" t="str">
        <f t="shared" si="49"/>
        <v/>
      </c>
      <c r="AD58" s="23" t="str">
        <f t="shared" si="49"/>
        <v/>
      </c>
      <c r="AE58" s="23" t="str">
        <f t="shared" si="50"/>
        <v/>
      </c>
      <c r="AF58" s="23" t="str">
        <f t="shared" si="50"/>
        <v/>
      </c>
      <c r="AG58" s="23" t="str">
        <f t="shared" si="50"/>
        <v/>
      </c>
      <c r="AH58" s="23" t="str">
        <f t="shared" si="50"/>
        <v/>
      </c>
      <c r="AI58" s="23" t="str">
        <f t="shared" si="50"/>
        <v/>
      </c>
      <c r="AJ58" s="23" t="str">
        <f t="shared" si="50"/>
        <v/>
      </c>
      <c r="AK58" s="23" t="str">
        <f t="shared" si="50"/>
        <v/>
      </c>
      <c r="AL58" s="23" t="str">
        <f t="shared" si="50"/>
        <v/>
      </c>
      <c r="AM58" s="23" t="str">
        <f t="shared" si="50"/>
        <v/>
      </c>
      <c r="AN58" s="23" t="str">
        <f t="shared" si="50"/>
        <v/>
      </c>
      <c r="AO58" s="23" t="str">
        <f t="shared" si="51"/>
        <v/>
      </c>
      <c r="AP58" s="23" t="str">
        <f t="shared" si="51"/>
        <v/>
      </c>
      <c r="AQ58" s="23" t="str">
        <f t="shared" si="51"/>
        <v/>
      </c>
      <c r="AR58" s="23" t="str">
        <f t="shared" si="51"/>
        <v/>
      </c>
      <c r="AS58" s="23" t="str">
        <f t="shared" si="51"/>
        <v/>
      </c>
      <c r="AT58" s="23" t="str">
        <f t="shared" si="51"/>
        <v/>
      </c>
      <c r="AU58" s="23" t="str">
        <f t="shared" si="51"/>
        <v/>
      </c>
      <c r="AV58" s="23" t="str">
        <f t="shared" si="51"/>
        <v/>
      </c>
      <c r="AW58" s="23" t="str">
        <f t="shared" si="51"/>
        <v/>
      </c>
      <c r="AX58" s="23" t="str">
        <f t="shared" si="51"/>
        <v/>
      </c>
      <c r="AY58" s="23" t="str">
        <f t="shared" si="52"/>
        <v/>
      </c>
      <c r="AZ58" s="23" t="str">
        <f t="shared" si="52"/>
        <v/>
      </c>
      <c r="BA58" s="23" t="str">
        <f t="shared" si="52"/>
        <v/>
      </c>
      <c r="BB58" s="23" t="str">
        <f t="shared" si="52"/>
        <v/>
      </c>
      <c r="BC58" s="23" t="str">
        <f t="shared" si="52"/>
        <v/>
      </c>
      <c r="BD58" s="23" t="str">
        <f t="shared" si="52"/>
        <v/>
      </c>
      <c r="BE58" s="23" t="str">
        <f t="shared" si="52"/>
        <v/>
      </c>
      <c r="BF58" s="23" t="str">
        <f t="shared" si="52"/>
        <v/>
      </c>
      <c r="BG58" s="23" t="str">
        <f t="shared" si="52"/>
        <v/>
      </c>
      <c r="BH58" s="23" t="str">
        <f t="shared" si="52"/>
        <v/>
      </c>
      <c r="BI58" s="23" t="str">
        <f t="shared" si="53"/>
        <v/>
      </c>
      <c r="BJ58" s="23" t="str">
        <f t="shared" si="53"/>
        <v/>
      </c>
      <c r="BK58" s="23" t="str">
        <f t="shared" si="53"/>
        <v/>
      </c>
      <c r="BL58" s="23" t="str">
        <f t="shared" si="53"/>
        <v/>
      </c>
      <c r="BM58" s="23" t="str">
        <f t="shared" si="53"/>
        <v/>
      </c>
      <c r="BN58" s="23" t="str">
        <f t="shared" si="53"/>
        <v/>
      </c>
      <c r="BO58" s="23" t="str">
        <f t="shared" si="53"/>
        <v/>
      </c>
      <c r="BP58" s="23" t="str">
        <f t="shared" si="53"/>
        <v/>
      </c>
      <c r="BQ58" s="23" t="str">
        <f t="shared" si="53"/>
        <v/>
      </c>
      <c r="BR58" s="23" t="str">
        <f t="shared" si="53"/>
        <v/>
      </c>
      <c r="BS58" s="23" t="str">
        <f t="shared" si="53"/>
        <v/>
      </c>
      <c r="BU58" s="29" t="s">
        <v>258</v>
      </c>
    </row>
    <row r="59" spans="1:73" ht="34" outlineLevel="1" x14ac:dyDescent="0.2">
      <c r="A59" s="6" t="s">
        <v>259</v>
      </c>
      <c r="B59" s="25" t="s">
        <v>260</v>
      </c>
      <c r="C59" s="6" t="s">
        <v>55</v>
      </c>
      <c r="D59" s="24" t="s">
        <v>128</v>
      </c>
      <c r="F59" s="6" t="s">
        <v>255</v>
      </c>
      <c r="G59" s="22">
        <v>3</v>
      </c>
      <c r="H59" s="22">
        <v>3</v>
      </c>
      <c r="I59" s="22">
        <f t="shared" si="54"/>
        <v>3</v>
      </c>
      <c r="J59" s="22">
        <f t="shared" si="55"/>
        <v>5</v>
      </c>
      <c r="K59" s="23" t="str">
        <f t="shared" si="48"/>
        <v/>
      </c>
      <c r="L59" s="23" t="str">
        <f t="shared" si="48"/>
        <v/>
      </c>
      <c r="M59" s="23">
        <f t="shared" si="48"/>
        <v>1</v>
      </c>
      <c r="N59" s="23">
        <f t="shared" si="48"/>
        <v>1</v>
      </c>
      <c r="O59" s="23">
        <f t="shared" si="48"/>
        <v>1</v>
      </c>
      <c r="P59" s="23" t="str">
        <f t="shared" si="48"/>
        <v/>
      </c>
      <c r="Q59" s="23" t="str">
        <f t="shared" si="48"/>
        <v/>
      </c>
      <c r="R59" s="23" t="str">
        <f t="shared" si="48"/>
        <v/>
      </c>
      <c r="S59" s="23" t="str">
        <f t="shared" si="48"/>
        <v/>
      </c>
      <c r="T59" s="23" t="str">
        <f t="shared" si="48"/>
        <v/>
      </c>
      <c r="U59" s="23" t="str">
        <f t="shared" si="49"/>
        <v/>
      </c>
      <c r="V59" s="23" t="str">
        <f t="shared" si="49"/>
        <v/>
      </c>
      <c r="W59" s="23" t="str">
        <f t="shared" si="49"/>
        <v/>
      </c>
      <c r="X59" s="23" t="str">
        <f t="shared" si="49"/>
        <v/>
      </c>
      <c r="Y59" s="23" t="str">
        <f t="shared" si="49"/>
        <v/>
      </c>
      <c r="Z59" s="23" t="str">
        <f t="shared" si="49"/>
        <v/>
      </c>
      <c r="AA59" s="23" t="str">
        <f t="shared" si="49"/>
        <v/>
      </c>
      <c r="AB59" s="23" t="str">
        <f t="shared" si="49"/>
        <v/>
      </c>
      <c r="AC59" s="23" t="str">
        <f t="shared" si="49"/>
        <v/>
      </c>
      <c r="AD59" s="23" t="str">
        <f t="shared" si="49"/>
        <v/>
      </c>
      <c r="AE59" s="23" t="str">
        <f t="shared" si="50"/>
        <v/>
      </c>
      <c r="AF59" s="23" t="str">
        <f t="shared" si="50"/>
        <v/>
      </c>
      <c r="AG59" s="23" t="str">
        <f t="shared" si="50"/>
        <v/>
      </c>
      <c r="AH59" s="23" t="str">
        <f t="shared" si="50"/>
        <v/>
      </c>
      <c r="AI59" s="23" t="str">
        <f t="shared" si="50"/>
        <v/>
      </c>
      <c r="AJ59" s="23" t="str">
        <f t="shared" si="50"/>
        <v/>
      </c>
      <c r="AK59" s="23" t="str">
        <f t="shared" si="50"/>
        <v/>
      </c>
      <c r="AL59" s="23" t="str">
        <f t="shared" si="50"/>
        <v/>
      </c>
      <c r="AM59" s="23" t="str">
        <f t="shared" si="50"/>
        <v/>
      </c>
      <c r="AN59" s="23" t="str">
        <f t="shared" si="50"/>
        <v/>
      </c>
      <c r="AO59" s="23" t="str">
        <f t="shared" si="51"/>
        <v/>
      </c>
      <c r="AP59" s="23" t="str">
        <f t="shared" si="51"/>
        <v/>
      </c>
      <c r="AQ59" s="23" t="str">
        <f t="shared" si="51"/>
        <v/>
      </c>
      <c r="AR59" s="23" t="str">
        <f t="shared" si="51"/>
        <v/>
      </c>
      <c r="AS59" s="23" t="str">
        <f t="shared" si="51"/>
        <v/>
      </c>
      <c r="AT59" s="23" t="str">
        <f t="shared" si="51"/>
        <v/>
      </c>
      <c r="AU59" s="23" t="str">
        <f t="shared" si="51"/>
        <v/>
      </c>
      <c r="AV59" s="23" t="str">
        <f t="shared" si="51"/>
        <v/>
      </c>
      <c r="AW59" s="23" t="str">
        <f t="shared" si="51"/>
        <v/>
      </c>
      <c r="AX59" s="23" t="str">
        <f t="shared" si="51"/>
        <v/>
      </c>
      <c r="AY59" s="23" t="str">
        <f t="shared" si="52"/>
        <v/>
      </c>
      <c r="AZ59" s="23" t="str">
        <f t="shared" si="52"/>
        <v/>
      </c>
      <c r="BA59" s="23" t="str">
        <f t="shared" si="52"/>
        <v/>
      </c>
      <c r="BB59" s="23" t="str">
        <f t="shared" si="52"/>
        <v/>
      </c>
      <c r="BC59" s="23" t="str">
        <f t="shared" si="52"/>
        <v/>
      </c>
      <c r="BD59" s="23" t="str">
        <f t="shared" si="52"/>
        <v/>
      </c>
      <c r="BE59" s="23" t="str">
        <f t="shared" si="52"/>
        <v/>
      </c>
      <c r="BF59" s="23" t="str">
        <f t="shared" si="52"/>
        <v/>
      </c>
      <c r="BG59" s="23" t="str">
        <f t="shared" si="52"/>
        <v/>
      </c>
      <c r="BH59" s="23" t="str">
        <f t="shared" si="52"/>
        <v/>
      </c>
      <c r="BI59" s="23" t="str">
        <f t="shared" si="53"/>
        <v/>
      </c>
      <c r="BJ59" s="23" t="str">
        <f t="shared" si="53"/>
        <v/>
      </c>
      <c r="BK59" s="23" t="str">
        <f t="shared" si="53"/>
        <v/>
      </c>
      <c r="BL59" s="23" t="str">
        <f t="shared" si="53"/>
        <v/>
      </c>
      <c r="BM59" s="23" t="str">
        <f t="shared" si="53"/>
        <v/>
      </c>
      <c r="BN59" s="23" t="str">
        <f t="shared" si="53"/>
        <v/>
      </c>
      <c r="BO59" s="23" t="str">
        <f t="shared" si="53"/>
        <v/>
      </c>
      <c r="BP59" s="23" t="str">
        <f t="shared" si="53"/>
        <v/>
      </c>
      <c r="BQ59" s="23" t="str">
        <f t="shared" si="53"/>
        <v/>
      </c>
      <c r="BR59" s="23" t="str">
        <f t="shared" si="53"/>
        <v/>
      </c>
      <c r="BS59" s="23" t="str">
        <f t="shared" si="53"/>
        <v/>
      </c>
      <c r="BU59" s="29" t="s">
        <v>261</v>
      </c>
    </row>
    <row r="60" spans="1:73" ht="51" outlineLevel="1" x14ac:dyDescent="0.2">
      <c r="A60" s="6" t="s">
        <v>262</v>
      </c>
      <c r="B60" s="25" t="s">
        <v>263</v>
      </c>
      <c r="C60" s="6" t="s">
        <v>55</v>
      </c>
      <c r="D60" s="24" t="s">
        <v>128</v>
      </c>
      <c r="F60" s="6" t="s">
        <v>255</v>
      </c>
      <c r="G60" s="22">
        <v>3</v>
      </c>
      <c r="H60" s="22">
        <v>3</v>
      </c>
      <c r="I60" s="22">
        <f t="shared" si="54"/>
        <v>3</v>
      </c>
      <c r="J60" s="22">
        <f t="shared" si="55"/>
        <v>5</v>
      </c>
      <c r="K60" s="23" t="str">
        <f t="shared" si="48"/>
        <v/>
      </c>
      <c r="L60" s="23" t="str">
        <f t="shared" si="48"/>
        <v/>
      </c>
      <c r="M60" s="23">
        <f t="shared" si="48"/>
        <v>1</v>
      </c>
      <c r="N60" s="23">
        <f t="shared" si="48"/>
        <v>1</v>
      </c>
      <c r="O60" s="23">
        <f t="shared" si="48"/>
        <v>1</v>
      </c>
      <c r="P60" s="23" t="str">
        <f t="shared" si="48"/>
        <v/>
      </c>
      <c r="Q60" s="23" t="str">
        <f t="shared" si="48"/>
        <v/>
      </c>
      <c r="R60" s="23" t="str">
        <f t="shared" si="48"/>
        <v/>
      </c>
      <c r="S60" s="23" t="str">
        <f t="shared" si="48"/>
        <v/>
      </c>
      <c r="T60" s="23" t="str">
        <f t="shared" si="48"/>
        <v/>
      </c>
      <c r="U60" s="23" t="str">
        <f t="shared" si="49"/>
        <v/>
      </c>
      <c r="V60" s="23" t="str">
        <f t="shared" si="49"/>
        <v/>
      </c>
      <c r="W60" s="23" t="str">
        <f t="shared" si="49"/>
        <v/>
      </c>
      <c r="X60" s="23" t="str">
        <f t="shared" si="49"/>
        <v/>
      </c>
      <c r="Y60" s="23" t="str">
        <f t="shared" si="49"/>
        <v/>
      </c>
      <c r="Z60" s="23" t="str">
        <f t="shared" si="49"/>
        <v/>
      </c>
      <c r="AA60" s="23" t="str">
        <f t="shared" si="49"/>
        <v/>
      </c>
      <c r="AB60" s="23" t="str">
        <f t="shared" si="49"/>
        <v/>
      </c>
      <c r="AC60" s="23" t="str">
        <f t="shared" si="49"/>
        <v/>
      </c>
      <c r="AD60" s="23" t="str">
        <f t="shared" si="49"/>
        <v/>
      </c>
      <c r="AE60" s="23" t="str">
        <f t="shared" si="50"/>
        <v/>
      </c>
      <c r="AF60" s="23" t="str">
        <f t="shared" si="50"/>
        <v/>
      </c>
      <c r="AG60" s="23" t="str">
        <f t="shared" si="50"/>
        <v/>
      </c>
      <c r="AH60" s="23" t="str">
        <f t="shared" si="50"/>
        <v/>
      </c>
      <c r="AI60" s="23" t="str">
        <f t="shared" si="50"/>
        <v/>
      </c>
      <c r="AJ60" s="23" t="str">
        <f t="shared" si="50"/>
        <v/>
      </c>
      <c r="AK60" s="23" t="str">
        <f t="shared" si="50"/>
        <v/>
      </c>
      <c r="AL60" s="23" t="str">
        <f t="shared" si="50"/>
        <v/>
      </c>
      <c r="AM60" s="23" t="str">
        <f t="shared" si="50"/>
        <v/>
      </c>
      <c r="AN60" s="23" t="str">
        <f t="shared" si="50"/>
        <v/>
      </c>
      <c r="AO60" s="23" t="str">
        <f t="shared" si="51"/>
        <v/>
      </c>
      <c r="AP60" s="23" t="str">
        <f t="shared" si="51"/>
        <v/>
      </c>
      <c r="AQ60" s="23" t="str">
        <f t="shared" si="51"/>
        <v/>
      </c>
      <c r="AR60" s="23" t="str">
        <f t="shared" si="51"/>
        <v/>
      </c>
      <c r="AS60" s="23" t="str">
        <f t="shared" si="51"/>
        <v/>
      </c>
      <c r="AT60" s="23" t="str">
        <f t="shared" si="51"/>
        <v/>
      </c>
      <c r="AU60" s="23" t="str">
        <f t="shared" si="51"/>
        <v/>
      </c>
      <c r="AV60" s="23" t="str">
        <f t="shared" si="51"/>
        <v/>
      </c>
      <c r="AW60" s="23" t="str">
        <f t="shared" si="51"/>
        <v/>
      </c>
      <c r="AX60" s="23" t="str">
        <f t="shared" si="51"/>
        <v/>
      </c>
      <c r="AY60" s="23" t="str">
        <f t="shared" si="52"/>
        <v/>
      </c>
      <c r="AZ60" s="23" t="str">
        <f t="shared" si="52"/>
        <v/>
      </c>
      <c r="BA60" s="23" t="str">
        <f t="shared" si="52"/>
        <v/>
      </c>
      <c r="BB60" s="23" t="str">
        <f t="shared" si="52"/>
        <v/>
      </c>
      <c r="BC60" s="23" t="str">
        <f t="shared" si="52"/>
        <v/>
      </c>
      <c r="BD60" s="23" t="str">
        <f t="shared" si="52"/>
        <v/>
      </c>
      <c r="BE60" s="23" t="str">
        <f t="shared" si="52"/>
        <v/>
      </c>
      <c r="BF60" s="23" t="str">
        <f t="shared" si="52"/>
        <v/>
      </c>
      <c r="BG60" s="23" t="str">
        <f t="shared" si="52"/>
        <v/>
      </c>
      <c r="BH60" s="23" t="str">
        <f t="shared" si="52"/>
        <v/>
      </c>
      <c r="BI60" s="23" t="str">
        <f t="shared" si="53"/>
        <v/>
      </c>
      <c r="BJ60" s="23" t="str">
        <f t="shared" si="53"/>
        <v/>
      </c>
      <c r="BK60" s="23" t="str">
        <f t="shared" si="53"/>
        <v/>
      </c>
      <c r="BL60" s="23" t="str">
        <f t="shared" si="53"/>
        <v/>
      </c>
      <c r="BM60" s="23" t="str">
        <f t="shared" si="53"/>
        <v/>
      </c>
      <c r="BN60" s="23" t="str">
        <f t="shared" si="53"/>
        <v/>
      </c>
      <c r="BO60" s="23" t="str">
        <f t="shared" si="53"/>
        <v/>
      </c>
      <c r="BP60" s="23" t="str">
        <f t="shared" si="53"/>
        <v/>
      </c>
      <c r="BQ60" s="23" t="str">
        <f t="shared" si="53"/>
        <v/>
      </c>
      <c r="BR60" s="23" t="str">
        <f t="shared" si="53"/>
        <v/>
      </c>
      <c r="BS60" s="23" t="str">
        <f t="shared" si="53"/>
        <v/>
      </c>
      <c r="BU60" s="29" t="s">
        <v>264</v>
      </c>
    </row>
    <row r="61" spans="1:73" x14ac:dyDescent="0.2">
      <c r="BU61" s="30"/>
    </row>
    <row r="62" spans="1:73" ht="17" x14ac:dyDescent="0.2">
      <c r="A62" s="19" t="s">
        <v>265</v>
      </c>
      <c r="B62" s="20" t="s">
        <v>266</v>
      </c>
      <c r="C62" s="19" t="s">
        <v>55</v>
      </c>
      <c r="D62" s="21" t="s">
        <v>117</v>
      </c>
      <c r="E62" s="19"/>
      <c r="F62" s="19"/>
      <c r="G62" s="22">
        <v>6</v>
      </c>
      <c r="H62" s="22">
        <v>5</v>
      </c>
      <c r="I62" s="22">
        <f>MIN(61,IF(G62&lt;=29,ROUND((G62-1)*(29+SlipWeeks)/29,0)+1,G62+SlipWeeks))</f>
        <v>6</v>
      </c>
      <c r="J62" s="22">
        <f>MIN(61,IF(G62+H62-1&lt;=29,MAX(ROUND((G62+H62-1)*(29+SlipWeeks)/29,0),I62),G62+H62-1+SlipWeeks))</f>
        <v>10</v>
      </c>
      <c r="K62" s="23" t="str">
        <f t="shared" ref="K62:T66" si="56">IF(AND(K$4&gt;=$I62,K$4&lt;=$J62),1,"")</f>
        <v/>
      </c>
      <c r="L62" s="23" t="str">
        <f t="shared" si="56"/>
        <v/>
      </c>
      <c r="M62" s="23" t="str">
        <f t="shared" si="56"/>
        <v/>
      </c>
      <c r="N62" s="23" t="str">
        <f t="shared" si="56"/>
        <v/>
      </c>
      <c r="O62" s="23" t="str">
        <f t="shared" si="56"/>
        <v/>
      </c>
      <c r="P62" s="23">
        <f t="shared" si="56"/>
        <v>1</v>
      </c>
      <c r="Q62" s="23">
        <f t="shared" si="56"/>
        <v>1</v>
      </c>
      <c r="R62" s="23">
        <f t="shared" si="56"/>
        <v>1</v>
      </c>
      <c r="S62" s="23">
        <f t="shared" si="56"/>
        <v>1</v>
      </c>
      <c r="T62" s="23">
        <f t="shared" si="56"/>
        <v>1</v>
      </c>
      <c r="U62" s="23" t="str">
        <f t="shared" ref="U62:AD66" si="57">IF(AND(U$4&gt;=$I62,U$4&lt;=$J62),1,"")</f>
        <v/>
      </c>
      <c r="V62" s="23" t="str">
        <f t="shared" si="57"/>
        <v/>
      </c>
      <c r="W62" s="23" t="str">
        <f t="shared" si="57"/>
        <v/>
      </c>
      <c r="X62" s="23" t="str">
        <f t="shared" si="57"/>
        <v/>
      </c>
      <c r="Y62" s="23" t="str">
        <f t="shared" si="57"/>
        <v/>
      </c>
      <c r="Z62" s="23" t="str">
        <f t="shared" si="57"/>
        <v/>
      </c>
      <c r="AA62" s="23" t="str">
        <f t="shared" si="57"/>
        <v/>
      </c>
      <c r="AB62" s="23" t="str">
        <f t="shared" si="57"/>
        <v/>
      </c>
      <c r="AC62" s="23" t="str">
        <f t="shared" si="57"/>
        <v/>
      </c>
      <c r="AD62" s="23" t="str">
        <f t="shared" si="57"/>
        <v/>
      </c>
      <c r="AE62" s="23" t="str">
        <f t="shared" ref="AE62:AN66" si="58">IF(AND(AE$4&gt;=$I62,AE$4&lt;=$J62),1,"")</f>
        <v/>
      </c>
      <c r="AF62" s="23" t="str">
        <f t="shared" si="58"/>
        <v/>
      </c>
      <c r="AG62" s="23" t="str">
        <f t="shared" si="58"/>
        <v/>
      </c>
      <c r="AH62" s="23" t="str">
        <f t="shared" si="58"/>
        <v/>
      </c>
      <c r="AI62" s="23" t="str">
        <f t="shared" si="58"/>
        <v/>
      </c>
      <c r="AJ62" s="23" t="str">
        <f t="shared" si="58"/>
        <v/>
      </c>
      <c r="AK62" s="23" t="str">
        <f t="shared" si="58"/>
        <v/>
      </c>
      <c r="AL62" s="23" t="str">
        <f t="shared" si="58"/>
        <v/>
      </c>
      <c r="AM62" s="23" t="str">
        <f t="shared" si="58"/>
        <v/>
      </c>
      <c r="AN62" s="23" t="str">
        <f t="shared" si="58"/>
        <v/>
      </c>
      <c r="AO62" s="23" t="str">
        <f t="shared" ref="AO62:AX66" si="59">IF(AND(AO$4&gt;=$I62,AO$4&lt;=$J62),1,"")</f>
        <v/>
      </c>
      <c r="AP62" s="23" t="str">
        <f t="shared" si="59"/>
        <v/>
      </c>
      <c r="AQ62" s="23" t="str">
        <f t="shared" si="59"/>
        <v/>
      </c>
      <c r="AR62" s="23" t="str">
        <f t="shared" si="59"/>
        <v/>
      </c>
      <c r="AS62" s="23" t="str">
        <f t="shared" si="59"/>
        <v/>
      </c>
      <c r="AT62" s="23" t="str">
        <f t="shared" si="59"/>
        <v/>
      </c>
      <c r="AU62" s="23" t="str">
        <f t="shared" si="59"/>
        <v/>
      </c>
      <c r="AV62" s="23" t="str">
        <f t="shared" si="59"/>
        <v/>
      </c>
      <c r="AW62" s="23" t="str">
        <f t="shared" si="59"/>
        <v/>
      </c>
      <c r="AX62" s="23" t="str">
        <f t="shared" si="59"/>
        <v/>
      </c>
      <c r="AY62" s="23" t="str">
        <f t="shared" ref="AY62:BH66" si="60">IF(AND(AY$4&gt;=$I62,AY$4&lt;=$J62),1,"")</f>
        <v/>
      </c>
      <c r="AZ62" s="23" t="str">
        <f t="shared" si="60"/>
        <v/>
      </c>
      <c r="BA62" s="23" t="str">
        <f t="shared" si="60"/>
        <v/>
      </c>
      <c r="BB62" s="23" t="str">
        <f t="shared" si="60"/>
        <v/>
      </c>
      <c r="BC62" s="23" t="str">
        <f t="shared" si="60"/>
        <v/>
      </c>
      <c r="BD62" s="23" t="str">
        <f t="shared" si="60"/>
        <v/>
      </c>
      <c r="BE62" s="23" t="str">
        <f t="shared" si="60"/>
        <v/>
      </c>
      <c r="BF62" s="23" t="str">
        <f t="shared" si="60"/>
        <v/>
      </c>
      <c r="BG62" s="23" t="str">
        <f t="shared" si="60"/>
        <v/>
      </c>
      <c r="BH62" s="23" t="str">
        <f t="shared" si="60"/>
        <v/>
      </c>
      <c r="BI62" s="23" t="str">
        <f t="shared" ref="BI62:BS66" si="61">IF(AND(BI$4&gt;=$I62,BI$4&lt;=$J62),1,"")</f>
        <v/>
      </c>
      <c r="BJ62" s="23" t="str">
        <f t="shared" si="61"/>
        <v/>
      </c>
      <c r="BK62" s="23" t="str">
        <f t="shared" si="61"/>
        <v/>
      </c>
      <c r="BL62" s="23" t="str">
        <f t="shared" si="61"/>
        <v/>
      </c>
      <c r="BM62" s="23" t="str">
        <f t="shared" si="61"/>
        <v/>
      </c>
      <c r="BN62" s="23" t="str">
        <f t="shared" si="61"/>
        <v/>
      </c>
      <c r="BO62" s="23" t="str">
        <f t="shared" si="61"/>
        <v/>
      </c>
      <c r="BP62" s="23" t="str">
        <f t="shared" si="61"/>
        <v/>
      </c>
      <c r="BQ62" s="23" t="str">
        <f t="shared" si="61"/>
        <v/>
      </c>
      <c r="BR62" s="23" t="str">
        <f t="shared" si="61"/>
        <v/>
      </c>
      <c r="BS62" s="23" t="str">
        <f t="shared" si="61"/>
        <v/>
      </c>
      <c r="BT62" s="24" t="str">
        <f>IF(IF(G62+H62-1&lt;=29,MAX(ROUND((G62+H62-1)*(29+SlipWeeks)/29,0),$I62),G62+H62-1+SlipWeeks)&gt;61,"▶ clipped","")</f>
        <v/>
      </c>
      <c r="BU62" s="29" t="s">
        <v>267</v>
      </c>
    </row>
    <row r="63" spans="1:73" ht="34" outlineLevel="1" x14ac:dyDescent="0.2">
      <c r="A63" s="6" t="s">
        <v>268</v>
      </c>
      <c r="B63" s="25" t="s">
        <v>269</v>
      </c>
      <c r="C63" s="6" t="s">
        <v>55</v>
      </c>
      <c r="D63" s="24" t="s">
        <v>121</v>
      </c>
      <c r="F63" s="6"/>
      <c r="G63" s="22">
        <v>6</v>
      </c>
      <c r="H63" s="22">
        <v>1</v>
      </c>
      <c r="I63" s="22">
        <f>MEDIAN($I$62,$J$62,$I$62+ROUND((G63-$G$62)/$H$62*($J$62-$I$62+1),0))</f>
        <v>6</v>
      </c>
      <c r="J63" s="22">
        <f>MEDIAN(I63,$J$62,$I$62+ROUND((G63+H63-$G$62)/$H$62*($J$62-$I$62+1),0)-1)</f>
        <v>6</v>
      </c>
      <c r="K63" s="23" t="str">
        <f t="shared" si="56"/>
        <v/>
      </c>
      <c r="L63" s="23" t="str">
        <f t="shared" si="56"/>
        <v/>
      </c>
      <c r="M63" s="23" t="str">
        <f t="shared" si="56"/>
        <v/>
      </c>
      <c r="N63" s="23" t="str">
        <f t="shared" si="56"/>
        <v/>
      </c>
      <c r="O63" s="23" t="str">
        <f t="shared" si="56"/>
        <v/>
      </c>
      <c r="P63" s="23">
        <f t="shared" si="56"/>
        <v>1</v>
      </c>
      <c r="Q63" s="23" t="str">
        <f t="shared" si="56"/>
        <v/>
      </c>
      <c r="R63" s="23" t="str">
        <f t="shared" si="56"/>
        <v/>
      </c>
      <c r="S63" s="23" t="str">
        <f t="shared" si="56"/>
        <v/>
      </c>
      <c r="T63" s="23" t="str">
        <f t="shared" si="56"/>
        <v/>
      </c>
      <c r="U63" s="23" t="str">
        <f t="shared" si="57"/>
        <v/>
      </c>
      <c r="V63" s="23" t="str">
        <f t="shared" si="57"/>
        <v/>
      </c>
      <c r="W63" s="23" t="str">
        <f t="shared" si="57"/>
        <v/>
      </c>
      <c r="X63" s="23" t="str">
        <f t="shared" si="57"/>
        <v/>
      </c>
      <c r="Y63" s="23" t="str">
        <f t="shared" si="57"/>
        <v/>
      </c>
      <c r="Z63" s="23" t="str">
        <f t="shared" si="57"/>
        <v/>
      </c>
      <c r="AA63" s="23" t="str">
        <f t="shared" si="57"/>
        <v/>
      </c>
      <c r="AB63" s="23" t="str">
        <f t="shared" si="57"/>
        <v/>
      </c>
      <c r="AC63" s="23" t="str">
        <f t="shared" si="57"/>
        <v/>
      </c>
      <c r="AD63" s="23" t="str">
        <f t="shared" si="57"/>
        <v/>
      </c>
      <c r="AE63" s="23" t="str">
        <f t="shared" si="58"/>
        <v/>
      </c>
      <c r="AF63" s="23" t="str">
        <f t="shared" si="58"/>
        <v/>
      </c>
      <c r="AG63" s="23" t="str">
        <f t="shared" si="58"/>
        <v/>
      </c>
      <c r="AH63" s="23" t="str">
        <f t="shared" si="58"/>
        <v/>
      </c>
      <c r="AI63" s="23" t="str">
        <f t="shared" si="58"/>
        <v/>
      </c>
      <c r="AJ63" s="23" t="str">
        <f t="shared" si="58"/>
        <v/>
      </c>
      <c r="AK63" s="23" t="str">
        <f t="shared" si="58"/>
        <v/>
      </c>
      <c r="AL63" s="23" t="str">
        <f t="shared" si="58"/>
        <v/>
      </c>
      <c r="AM63" s="23" t="str">
        <f t="shared" si="58"/>
        <v/>
      </c>
      <c r="AN63" s="23" t="str">
        <f t="shared" si="58"/>
        <v/>
      </c>
      <c r="AO63" s="23" t="str">
        <f t="shared" si="59"/>
        <v/>
      </c>
      <c r="AP63" s="23" t="str">
        <f t="shared" si="59"/>
        <v/>
      </c>
      <c r="AQ63" s="23" t="str">
        <f t="shared" si="59"/>
        <v/>
      </c>
      <c r="AR63" s="23" t="str">
        <f t="shared" si="59"/>
        <v/>
      </c>
      <c r="AS63" s="23" t="str">
        <f t="shared" si="59"/>
        <v/>
      </c>
      <c r="AT63" s="23" t="str">
        <f t="shared" si="59"/>
        <v/>
      </c>
      <c r="AU63" s="23" t="str">
        <f t="shared" si="59"/>
        <v/>
      </c>
      <c r="AV63" s="23" t="str">
        <f t="shared" si="59"/>
        <v/>
      </c>
      <c r="AW63" s="23" t="str">
        <f t="shared" si="59"/>
        <v/>
      </c>
      <c r="AX63" s="23" t="str">
        <f t="shared" si="59"/>
        <v/>
      </c>
      <c r="AY63" s="23" t="str">
        <f t="shared" si="60"/>
        <v/>
      </c>
      <c r="AZ63" s="23" t="str">
        <f t="shared" si="60"/>
        <v/>
      </c>
      <c r="BA63" s="23" t="str">
        <f t="shared" si="60"/>
        <v/>
      </c>
      <c r="BB63" s="23" t="str">
        <f t="shared" si="60"/>
        <v/>
      </c>
      <c r="BC63" s="23" t="str">
        <f t="shared" si="60"/>
        <v/>
      </c>
      <c r="BD63" s="23" t="str">
        <f t="shared" si="60"/>
        <v/>
      </c>
      <c r="BE63" s="23" t="str">
        <f t="shared" si="60"/>
        <v/>
      </c>
      <c r="BF63" s="23" t="str">
        <f t="shared" si="60"/>
        <v/>
      </c>
      <c r="BG63" s="23" t="str">
        <f t="shared" si="60"/>
        <v/>
      </c>
      <c r="BH63" s="23" t="str">
        <f t="shared" si="60"/>
        <v/>
      </c>
      <c r="BI63" s="23" t="str">
        <f t="shared" si="61"/>
        <v/>
      </c>
      <c r="BJ63" s="23" t="str">
        <f t="shared" si="61"/>
        <v/>
      </c>
      <c r="BK63" s="23" t="str">
        <f t="shared" si="61"/>
        <v/>
      </c>
      <c r="BL63" s="23" t="str">
        <f t="shared" si="61"/>
        <v/>
      </c>
      <c r="BM63" s="23" t="str">
        <f t="shared" si="61"/>
        <v/>
      </c>
      <c r="BN63" s="23" t="str">
        <f t="shared" si="61"/>
        <v/>
      </c>
      <c r="BO63" s="23" t="str">
        <f t="shared" si="61"/>
        <v/>
      </c>
      <c r="BP63" s="23" t="str">
        <f t="shared" si="61"/>
        <v/>
      </c>
      <c r="BQ63" s="23" t="str">
        <f t="shared" si="61"/>
        <v/>
      </c>
      <c r="BR63" s="23" t="str">
        <f t="shared" si="61"/>
        <v/>
      </c>
      <c r="BS63" s="23" t="str">
        <f t="shared" si="61"/>
        <v/>
      </c>
      <c r="BU63" s="29" t="s">
        <v>270</v>
      </c>
    </row>
    <row r="64" spans="1:73" ht="34" outlineLevel="1" x14ac:dyDescent="0.2">
      <c r="A64" s="6" t="s">
        <v>271</v>
      </c>
      <c r="B64" s="25" t="s">
        <v>272</v>
      </c>
      <c r="C64" s="6" t="s">
        <v>55</v>
      </c>
      <c r="D64" s="24" t="s">
        <v>121</v>
      </c>
      <c r="F64" s="6" t="s">
        <v>268</v>
      </c>
      <c r="G64" s="22">
        <v>7</v>
      </c>
      <c r="H64" s="22">
        <v>2</v>
      </c>
      <c r="I64" s="22">
        <f>MEDIAN($I$62,$J$62,$I$62+ROUND((G64-$G$62)/$H$62*($J$62-$I$62+1),0))</f>
        <v>7</v>
      </c>
      <c r="J64" s="22">
        <f>MEDIAN(I64,$J$62,$I$62+ROUND((G64+H64-$G$62)/$H$62*($J$62-$I$62+1),0)-1)</f>
        <v>8</v>
      </c>
      <c r="K64" s="23" t="str">
        <f t="shared" si="56"/>
        <v/>
      </c>
      <c r="L64" s="23" t="str">
        <f t="shared" si="56"/>
        <v/>
      </c>
      <c r="M64" s="23" t="str">
        <f t="shared" si="56"/>
        <v/>
      </c>
      <c r="N64" s="23" t="str">
        <f t="shared" si="56"/>
        <v/>
      </c>
      <c r="O64" s="23" t="str">
        <f t="shared" si="56"/>
        <v/>
      </c>
      <c r="P64" s="23" t="str">
        <f t="shared" si="56"/>
        <v/>
      </c>
      <c r="Q64" s="23">
        <f t="shared" si="56"/>
        <v>1</v>
      </c>
      <c r="R64" s="23">
        <f t="shared" si="56"/>
        <v>1</v>
      </c>
      <c r="S64" s="23" t="str">
        <f t="shared" si="56"/>
        <v/>
      </c>
      <c r="T64" s="23" t="str">
        <f t="shared" si="56"/>
        <v/>
      </c>
      <c r="U64" s="23" t="str">
        <f t="shared" si="57"/>
        <v/>
      </c>
      <c r="V64" s="23" t="str">
        <f t="shared" si="57"/>
        <v/>
      </c>
      <c r="W64" s="23" t="str">
        <f t="shared" si="57"/>
        <v/>
      </c>
      <c r="X64" s="23" t="str">
        <f t="shared" si="57"/>
        <v/>
      </c>
      <c r="Y64" s="23" t="str">
        <f t="shared" si="57"/>
        <v/>
      </c>
      <c r="Z64" s="23" t="str">
        <f t="shared" si="57"/>
        <v/>
      </c>
      <c r="AA64" s="23" t="str">
        <f t="shared" si="57"/>
        <v/>
      </c>
      <c r="AB64" s="23" t="str">
        <f t="shared" si="57"/>
        <v/>
      </c>
      <c r="AC64" s="23" t="str">
        <f t="shared" si="57"/>
        <v/>
      </c>
      <c r="AD64" s="23" t="str">
        <f t="shared" si="57"/>
        <v/>
      </c>
      <c r="AE64" s="23" t="str">
        <f t="shared" si="58"/>
        <v/>
      </c>
      <c r="AF64" s="23" t="str">
        <f t="shared" si="58"/>
        <v/>
      </c>
      <c r="AG64" s="23" t="str">
        <f t="shared" si="58"/>
        <v/>
      </c>
      <c r="AH64" s="23" t="str">
        <f t="shared" si="58"/>
        <v/>
      </c>
      <c r="AI64" s="23" t="str">
        <f t="shared" si="58"/>
        <v/>
      </c>
      <c r="AJ64" s="23" t="str">
        <f t="shared" si="58"/>
        <v/>
      </c>
      <c r="AK64" s="23" t="str">
        <f t="shared" si="58"/>
        <v/>
      </c>
      <c r="AL64" s="23" t="str">
        <f t="shared" si="58"/>
        <v/>
      </c>
      <c r="AM64" s="23" t="str">
        <f t="shared" si="58"/>
        <v/>
      </c>
      <c r="AN64" s="23" t="str">
        <f t="shared" si="58"/>
        <v/>
      </c>
      <c r="AO64" s="23" t="str">
        <f t="shared" si="59"/>
        <v/>
      </c>
      <c r="AP64" s="23" t="str">
        <f t="shared" si="59"/>
        <v/>
      </c>
      <c r="AQ64" s="23" t="str">
        <f t="shared" si="59"/>
        <v/>
      </c>
      <c r="AR64" s="23" t="str">
        <f t="shared" si="59"/>
        <v/>
      </c>
      <c r="AS64" s="23" t="str">
        <f t="shared" si="59"/>
        <v/>
      </c>
      <c r="AT64" s="23" t="str">
        <f t="shared" si="59"/>
        <v/>
      </c>
      <c r="AU64" s="23" t="str">
        <f t="shared" si="59"/>
        <v/>
      </c>
      <c r="AV64" s="23" t="str">
        <f t="shared" si="59"/>
        <v/>
      </c>
      <c r="AW64" s="23" t="str">
        <f t="shared" si="59"/>
        <v/>
      </c>
      <c r="AX64" s="23" t="str">
        <f t="shared" si="59"/>
        <v/>
      </c>
      <c r="AY64" s="23" t="str">
        <f t="shared" si="60"/>
        <v/>
      </c>
      <c r="AZ64" s="23" t="str">
        <f t="shared" si="60"/>
        <v/>
      </c>
      <c r="BA64" s="23" t="str">
        <f t="shared" si="60"/>
        <v/>
      </c>
      <c r="BB64" s="23" t="str">
        <f t="shared" si="60"/>
        <v/>
      </c>
      <c r="BC64" s="23" t="str">
        <f t="shared" si="60"/>
        <v/>
      </c>
      <c r="BD64" s="23" t="str">
        <f t="shared" si="60"/>
        <v/>
      </c>
      <c r="BE64" s="23" t="str">
        <f t="shared" si="60"/>
        <v/>
      </c>
      <c r="BF64" s="23" t="str">
        <f t="shared" si="60"/>
        <v/>
      </c>
      <c r="BG64" s="23" t="str">
        <f t="shared" si="60"/>
        <v/>
      </c>
      <c r="BH64" s="23" t="str">
        <f t="shared" si="60"/>
        <v/>
      </c>
      <c r="BI64" s="23" t="str">
        <f t="shared" si="61"/>
        <v/>
      </c>
      <c r="BJ64" s="23" t="str">
        <f t="shared" si="61"/>
        <v/>
      </c>
      <c r="BK64" s="23" t="str">
        <f t="shared" si="61"/>
        <v/>
      </c>
      <c r="BL64" s="23" t="str">
        <f t="shared" si="61"/>
        <v/>
      </c>
      <c r="BM64" s="23" t="str">
        <f t="shared" si="61"/>
        <v/>
      </c>
      <c r="BN64" s="23" t="str">
        <f t="shared" si="61"/>
        <v/>
      </c>
      <c r="BO64" s="23" t="str">
        <f t="shared" si="61"/>
        <v/>
      </c>
      <c r="BP64" s="23" t="str">
        <f t="shared" si="61"/>
        <v/>
      </c>
      <c r="BQ64" s="23" t="str">
        <f t="shared" si="61"/>
        <v/>
      </c>
      <c r="BR64" s="23" t="str">
        <f t="shared" si="61"/>
        <v/>
      </c>
      <c r="BS64" s="23" t="str">
        <f t="shared" si="61"/>
        <v/>
      </c>
      <c r="BU64" s="29" t="s">
        <v>273</v>
      </c>
    </row>
    <row r="65" spans="1:73" ht="17" outlineLevel="1" x14ac:dyDescent="0.2">
      <c r="A65" s="6" t="s">
        <v>274</v>
      </c>
      <c r="B65" s="25" t="s">
        <v>275</v>
      </c>
      <c r="C65" s="6" t="s">
        <v>55</v>
      </c>
      <c r="D65" s="24" t="s">
        <v>121</v>
      </c>
      <c r="F65" s="6" t="s">
        <v>271</v>
      </c>
      <c r="G65" s="22">
        <v>9</v>
      </c>
      <c r="H65" s="22">
        <v>1</v>
      </c>
      <c r="I65" s="22">
        <f>MEDIAN($I$62,$J$62,$I$62+ROUND((G65-$G$62)/$H$62*($J$62-$I$62+1),0))</f>
        <v>9</v>
      </c>
      <c r="J65" s="22">
        <f>MEDIAN(I65,$J$62,$I$62+ROUND((G65+H65-$G$62)/$H$62*($J$62-$I$62+1),0)-1)</f>
        <v>9</v>
      </c>
      <c r="K65" s="23" t="str">
        <f t="shared" si="56"/>
        <v/>
      </c>
      <c r="L65" s="23" t="str">
        <f t="shared" si="56"/>
        <v/>
      </c>
      <c r="M65" s="23" t="str">
        <f t="shared" si="56"/>
        <v/>
      </c>
      <c r="N65" s="23" t="str">
        <f t="shared" si="56"/>
        <v/>
      </c>
      <c r="O65" s="23" t="str">
        <f t="shared" si="56"/>
        <v/>
      </c>
      <c r="P65" s="23" t="str">
        <f t="shared" si="56"/>
        <v/>
      </c>
      <c r="Q65" s="23" t="str">
        <f t="shared" si="56"/>
        <v/>
      </c>
      <c r="R65" s="23" t="str">
        <f t="shared" si="56"/>
        <v/>
      </c>
      <c r="S65" s="23">
        <f t="shared" si="56"/>
        <v>1</v>
      </c>
      <c r="T65" s="23" t="str">
        <f t="shared" si="56"/>
        <v/>
      </c>
      <c r="U65" s="23" t="str">
        <f t="shared" si="57"/>
        <v/>
      </c>
      <c r="V65" s="23" t="str">
        <f t="shared" si="57"/>
        <v/>
      </c>
      <c r="W65" s="23" t="str">
        <f t="shared" si="57"/>
        <v/>
      </c>
      <c r="X65" s="23" t="str">
        <f t="shared" si="57"/>
        <v/>
      </c>
      <c r="Y65" s="23" t="str">
        <f t="shared" si="57"/>
        <v/>
      </c>
      <c r="Z65" s="23" t="str">
        <f t="shared" si="57"/>
        <v/>
      </c>
      <c r="AA65" s="23" t="str">
        <f t="shared" si="57"/>
        <v/>
      </c>
      <c r="AB65" s="23" t="str">
        <f t="shared" si="57"/>
        <v/>
      </c>
      <c r="AC65" s="23" t="str">
        <f t="shared" si="57"/>
        <v/>
      </c>
      <c r="AD65" s="23" t="str">
        <f t="shared" si="57"/>
        <v/>
      </c>
      <c r="AE65" s="23" t="str">
        <f t="shared" si="58"/>
        <v/>
      </c>
      <c r="AF65" s="23" t="str">
        <f t="shared" si="58"/>
        <v/>
      </c>
      <c r="AG65" s="23" t="str">
        <f t="shared" si="58"/>
        <v/>
      </c>
      <c r="AH65" s="23" t="str">
        <f t="shared" si="58"/>
        <v/>
      </c>
      <c r="AI65" s="23" t="str">
        <f t="shared" si="58"/>
        <v/>
      </c>
      <c r="AJ65" s="23" t="str">
        <f t="shared" si="58"/>
        <v/>
      </c>
      <c r="AK65" s="23" t="str">
        <f t="shared" si="58"/>
        <v/>
      </c>
      <c r="AL65" s="23" t="str">
        <f t="shared" si="58"/>
        <v/>
      </c>
      <c r="AM65" s="23" t="str">
        <f t="shared" si="58"/>
        <v/>
      </c>
      <c r="AN65" s="23" t="str">
        <f t="shared" si="58"/>
        <v/>
      </c>
      <c r="AO65" s="23" t="str">
        <f t="shared" si="59"/>
        <v/>
      </c>
      <c r="AP65" s="23" t="str">
        <f t="shared" si="59"/>
        <v/>
      </c>
      <c r="AQ65" s="23" t="str">
        <f t="shared" si="59"/>
        <v/>
      </c>
      <c r="AR65" s="23" t="str">
        <f t="shared" si="59"/>
        <v/>
      </c>
      <c r="AS65" s="23" t="str">
        <f t="shared" si="59"/>
        <v/>
      </c>
      <c r="AT65" s="23" t="str">
        <f t="shared" si="59"/>
        <v/>
      </c>
      <c r="AU65" s="23" t="str">
        <f t="shared" si="59"/>
        <v/>
      </c>
      <c r="AV65" s="23" t="str">
        <f t="shared" si="59"/>
        <v/>
      </c>
      <c r="AW65" s="23" t="str">
        <f t="shared" si="59"/>
        <v/>
      </c>
      <c r="AX65" s="23" t="str">
        <f t="shared" si="59"/>
        <v/>
      </c>
      <c r="AY65" s="23" t="str">
        <f t="shared" si="60"/>
        <v/>
      </c>
      <c r="AZ65" s="23" t="str">
        <f t="shared" si="60"/>
        <v/>
      </c>
      <c r="BA65" s="23" t="str">
        <f t="shared" si="60"/>
        <v/>
      </c>
      <c r="BB65" s="23" t="str">
        <f t="shared" si="60"/>
        <v/>
      </c>
      <c r="BC65" s="23" t="str">
        <f t="shared" si="60"/>
        <v/>
      </c>
      <c r="BD65" s="23" t="str">
        <f t="shared" si="60"/>
        <v/>
      </c>
      <c r="BE65" s="23" t="str">
        <f t="shared" si="60"/>
        <v/>
      </c>
      <c r="BF65" s="23" t="str">
        <f t="shared" si="60"/>
        <v/>
      </c>
      <c r="BG65" s="23" t="str">
        <f t="shared" si="60"/>
        <v/>
      </c>
      <c r="BH65" s="23" t="str">
        <f t="shared" si="60"/>
        <v/>
      </c>
      <c r="BI65" s="23" t="str">
        <f t="shared" si="61"/>
        <v/>
      </c>
      <c r="BJ65" s="23" t="str">
        <f t="shared" si="61"/>
        <v/>
      </c>
      <c r="BK65" s="23" t="str">
        <f t="shared" si="61"/>
        <v/>
      </c>
      <c r="BL65" s="23" t="str">
        <f t="shared" si="61"/>
        <v/>
      </c>
      <c r="BM65" s="23" t="str">
        <f t="shared" si="61"/>
        <v/>
      </c>
      <c r="BN65" s="23" t="str">
        <f t="shared" si="61"/>
        <v/>
      </c>
      <c r="BO65" s="23" t="str">
        <f t="shared" si="61"/>
        <v/>
      </c>
      <c r="BP65" s="23" t="str">
        <f t="shared" si="61"/>
        <v/>
      </c>
      <c r="BQ65" s="23" t="str">
        <f t="shared" si="61"/>
        <v/>
      </c>
      <c r="BR65" s="23" t="str">
        <f t="shared" si="61"/>
        <v/>
      </c>
      <c r="BS65" s="23" t="str">
        <f t="shared" si="61"/>
        <v/>
      </c>
      <c r="BU65" s="29" t="s">
        <v>276</v>
      </c>
    </row>
    <row r="66" spans="1:73" ht="34" outlineLevel="1" x14ac:dyDescent="0.2">
      <c r="A66" s="6" t="s">
        <v>277</v>
      </c>
      <c r="B66" s="25" t="s">
        <v>278</v>
      </c>
      <c r="C66" s="6" t="s">
        <v>55</v>
      </c>
      <c r="D66" s="24" t="s">
        <v>121</v>
      </c>
      <c r="F66" s="6" t="s">
        <v>274</v>
      </c>
      <c r="G66" s="22">
        <v>10</v>
      </c>
      <c r="H66" s="22">
        <v>1</v>
      </c>
      <c r="I66" s="22">
        <f>MEDIAN($I$62,$J$62,$I$62+ROUND((G66-$G$62)/$H$62*($J$62-$I$62+1),0))</f>
        <v>10</v>
      </c>
      <c r="J66" s="22">
        <f>MEDIAN(I66,$J$62,$I$62+ROUND((G66+H66-$G$62)/$H$62*($J$62-$I$62+1),0)-1)</f>
        <v>10</v>
      </c>
      <c r="K66" s="23" t="str">
        <f t="shared" si="56"/>
        <v/>
      </c>
      <c r="L66" s="23" t="str">
        <f t="shared" si="56"/>
        <v/>
      </c>
      <c r="M66" s="23" t="str">
        <f t="shared" si="56"/>
        <v/>
      </c>
      <c r="N66" s="23" t="str">
        <f t="shared" si="56"/>
        <v/>
      </c>
      <c r="O66" s="23" t="str">
        <f t="shared" si="56"/>
        <v/>
      </c>
      <c r="P66" s="23" t="str">
        <f t="shared" si="56"/>
        <v/>
      </c>
      <c r="Q66" s="23" t="str">
        <f t="shared" si="56"/>
        <v/>
      </c>
      <c r="R66" s="23" t="str">
        <f t="shared" si="56"/>
        <v/>
      </c>
      <c r="S66" s="23" t="str">
        <f t="shared" si="56"/>
        <v/>
      </c>
      <c r="T66" s="23">
        <f t="shared" si="56"/>
        <v>1</v>
      </c>
      <c r="U66" s="23" t="str">
        <f t="shared" si="57"/>
        <v/>
      </c>
      <c r="V66" s="23" t="str">
        <f t="shared" si="57"/>
        <v/>
      </c>
      <c r="W66" s="23" t="str">
        <f t="shared" si="57"/>
        <v/>
      </c>
      <c r="X66" s="23" t="str">
        <f t="shared" si="57"/>
        <v/>
      </c>
      <c r="Y66" s="23" t="str">
        <f t="shared" si="57"/>
        <v/>
      </c>
      <c r="Z66" s="23" t="str">
        <f t="shared" si="57"/>
        <v/>
      </c>
      <c r="AA66" s="23" t="str">
        <f t="shared" si="57"/>
        <v/>
      </c>
      <c r="AB66" s="23" t="str">
        <f t="shared" si="57"/>
        <v/>
      </c>
      <c r="AC66" s="23" t="str">
        <f t="shared" si="57"/>
        <v/>
      </c>
      <c r="AD66" s="23" t="str">
        <f t="shared" si="57"/>
        <v/>
      </c>
      <c r="AE66" s="23" t="str">
        <f t="shared" si="58"/>
        <v/>
      </c>
      <c r="AF66" s="23" t="str">
        <f t="shared" si="58"/>
        <v/>
      </c>
      <c r="AG66" s="23" t="str">
        <f t="shared" si="58"/>
        <v/>
      </c>
      <c r="AH66" s="23" t="str">
        <f t="shared" si="58"/>
        <v/>
      </c>
      <c r="AI66" s="23" t="str">
        <f t="shared" si="58"/>
        <v/>
      </c>
      <c r="AJ66" s="23" t="str">
        <f t="shared" si="58"/>
        <v/>
      </c>
      <c r="AK66" s="23" t="str">
        <f t="shared" si="58"/>
        <v/>
      </c>
      <c r="AL66" s="23" t="str">
        <f t="shared" si="58"/>
        <v/>
      </c>
      <c r="AM66" s="23" t="str">
        <f t="shared" si="58"/>
        <v/>
      </c>
      <c r="AN66" s="23" t="str">
        <f t="shared" si="58"/>
        <v/>
      </c>
      <c r="AO66" s="23" t="str">
        <f t="shared" si="59"/>
        <v/>
      </c>
      <c r="AP66" s="23" t="str">
        <f t="shared" si="59"/>
        <v/>
      </c>
      <c r="AQ66" s="23" t="str">
        <f t="shared" si="59"/>
        <v/>
      </c>
      <c r="AR66" s="23" t="str">
        <f t="shared" si="59"/>
        <v/>
      </c>
      <c r="AS66" s="23" t="str">
        <f t="shared" si="59"/>
        <v/>
      </c>
      <c r="AT66" s="23" t="str">
        <f t="shared" si="59"/>
        <v/>
      </c>
      <c r="AU66" s="23" t="str">
        <f t="shared" si="59"/>
        <v/>
      </c>
      <c r="AV66" s="23" t="str">
        <f t="shared" si="59"/>
        <v/>
      </c>
      <c r="AW66" s="23" t="str">
        <f t="shared" si="59"/>
        <v/>
      </c>
      <c r="AX66" s="23" t="str">
        <f t="shared" si="59"/>
        <v/>
      </c>
      <c r="AY66" s="23" t="str">
        <f t="shared" si="60"/>
        <v/>
      </c>
      <c r="AZ66" s="23" t="str">
        <f t="shared" si="60"/>
        <v/>
      </c>
      <c r="BA66" s="23" t="str">
        <f t="shared" si="60"/>
        <v/>
      </c>
      <c r="BB66" s="23" t="str">
        <f t="shared" si="60"/>
        <v/>
      </c>
      <c r="BC66" s="23" t="str">
        <f t="shared" si="60"/>
        <v/>
      </c>
      <c r="BD66" s="23" t="str">
        <f t="shared" si="60"/>
        <v/>
      </c>
      <c r="BE66" s="23" t="str">
        <f t="shared" si="60"/>
        <v/>
      </c>
      <c r="BF66" s="23" t="str">
        <f t="shared" si="60"/>
        <v/>
      </c>
      <c r="BG66" s="23" t="str">
        <f t="shared" si="60"/>
        <v/>
      </c>
      <c r="BH66" s="23" t="str">
        <f t="shared" si="60"/>
        <v/>
      </c>
      <c r="BI66" s="23" t="str">
        <f t="shared" si="61"/>
        <v/>
      </c>
      <c r="BJ66" s="23" t="str">
        <f t="shared" si="61"/>
        <v/>
      </c>
      <c r="BK66" s="23" t="str">
        <f t="shared" si="61"/>
        <v/>
      </c>
      <c r="BL66" s="23" t="str">
        <f t="shared" si="61"/>
        <v/>
      </c>
      <c r="BM66" s="23" t="str">
        <f t="shared" si="61"/>
        <v/>
      </c>
      <c r="BN66" s="23" t="str">
        <f t="shared" si="61"/>
        <v/>
      </c>
      <c r="BO66" s="23" t="str">
        <f t="shared" si="61"/>
        <v/>
      </c>
      <c r="BP66" s="23" t="str">
        <f t="shared" si="61"/>
        <v/>
      </c>
      <c r="BQ66" s="23" t="str">
        <f t="shared" si="61"/>
        <v/>
      </c>
      <c r="BR66" s="23" t="str">
        <f t="shared" si="61"/>
        <v/>
      </c>
      <c r="BS66" s="23" t="str">
        <f t="shared" si="61"/>
        <v/>
      </c>
      <c r="BU66" s="29" t="s">
        <v>279</v>
      </c>
    </row>
    <row r="67" spans="1:73" x14ac:dyDescent="0.2">
      <c r="BU67" s="30"/>
    </row>
    <row r="68" spans="1:73" ht="17" x14ac:dyDescent="0.2">
      <c r="A68" s="19" t="s">
        <v>280</v>
      </c>
      <c r="B68" s="20" t="s">
        <v>281</v>
      </c>
      <c r="C68" s="19" t="s">
        <v>55</v>
      </c>
      <c r="D68" s="21" t="s">
        <v>117</v>
      </c>
      <c r="E68" s="19"/>
      <c r="F68" s="19" t="s">
        <v>265</v>
      </c>
      <c r="G68" s="22">
        <v>8</v>
      </c>
      <c r="H68" s="22">
        <v>5</v>
      </c>
      <c r="I68" s="22">
        <f>MIN(61,IF(G68&lt;=29,ROUND((G68-1)*(29+SlipWeeks)/29,0)+1,G68+SlipWeeks))</f>
        <v>8</v>
      </c>
      <c r="J68" s="22">
        <f>MIN(61,IF(G68+H68-1&lt;=29,MAX(ROUND((G68+H68-1)*(29+SlipWeeks)/29,0),I68),G68+H68-1+SlipWeeks))</f>
        <v>12</v>
      </c>
      <c r="K68" s="23" t="str">
        <f t="shared" ref="K68:T72" si="62">IF(AND(K$4&gt;=$I68,K$4&lt;=$J68),1,"")</f>
        <v/>
      </c>
      <c r="L68" s="23" t="str">
        <f t="shared" si="62"/>
        <v/>
      </c>
      <c r="M68" s="23" t="str">
        <f t="shared" si="62"/>
        <v/>
      </c>
      <c r="N68" s="23" t="str">
        <f t="shared" si="62"/>
        <v/>
      </c>
      <c r="O68" s="23" t="str">
        <f t="shared" si="62"/>
        <v/>
      </c>
      <c r="P68" s="23" t="str">
        <f t="shared" si="62"/>
        <v/>
      </c>
      <c r="Q68" s="23" t="str">
        <f t="shared" si="62"/>
        <v/>
      </c>
      <c r="R68" s="23">
        <f t="shared" si="62"/>
        <v>1</v>
      </c>
      <c r="S68" s="23">
        <f t="shared" si="62"/>
        <v>1</v>
      </c>
      <c r="T68" s="23">
        <f t="shared" si="62"/>
        <v>1</v>
      </c>
      <c r="U68" s="23">
        <f t="shared" ref="U68:AD72" si="63">IF(AND(U$4&gt;=$I68,U$4&lt;=$J68),1,"")</f>
        <v>1</v>
      </c>
      <c r="V68" s="23">
        <f t="shared" si="63"/>
        <v>1</v>
      </c>
      <c r="W68" s="23" t="str">
        <f t="shared" si="63"/>
        <v/>
      </c>
      <c r="X68" s="23" t="str">
        <f t="shared" si="63"/>
        <v/>
      </c>
      <c r="Y68" s="23" t="str">
        <f t="shared" si="63"/>
        <v/>
      </c>
      <c r="Z68" s="23" t="str">
        <f t="shared" si="63"/>
        <v/>
      </c>
      <c r="AA68" s="23" t="str">
        <f t="shared" si="63"/>
        <v/>
      </c>
      <c r="AB68" s="23" t="str">
        <f t="shared" si="63"/>
        <v/>
      </c>
      <c r="AC68" s="23" t="str">
        <f t="shared" si="63"/>
        <v/>
      </c>
      <c r="AD68" s="23" t="str">
        <f t="shared" si="63"/>
        <v/>
      </c>
      <c r="AE68" s="23" t="str">
        <f t="shared" ref="AE68:AN72" si="64">IF(AND(AE$4&gt;=$I68,AE$4&lt;=$J68),1,"")</f>
        <v/>
      </c>
      <c r="AF68" s="23" t="str">
        <f t="shared" si="64"/>
        <v/>
      </c>
      <c r="AG68" s="23" t="str">
        <f t="shared" si="64"/>
        <v/>
      </c>
      <c r="AH68" s="23" t="str">
        <f t="shared" si="64"/>
        <v/>
      </c>
      <c r="AI68" s="23" t="str">
        <f t="shared" si="64"/>
        <v/>
      </c>
      <c r="AJ68" s="23" t="str">
        <f t="shared" si="64"/>
        <v/>
      </c>
      <c r="AK68" s="23" t="str">
        <f t="shared" si="64"/>
        <v/>
      </c>
      <c r="AL68" s="23" t="str">
        <f t="shared" si="64"/>
        <v/>
      </c>
      <c r="AM68" s="23" t="str">
        <f t="shared" si="64"/>
        <v/>
      </c>
      <c r="AN68" s="23" t="str">
        <f t="shared" si="64"/>
        <v/>
      </c>
      <c r="AO68" s="23" t="str">
        <f t="shared" ref="AO68:AX72" si="65">IF(AND(AO$4&gt;=$I68,AO$4&lt;=$J68),1,"")</f>
        <v/>
      </c>
      <c r="AP68" s="23" t="str">
        <f t="shared" si="65"/>
        <v/>
      </c>
      <c r="AQ68" s="23" t="str">
        <f t="shared" si="65"/>
        <v/>
      </c>
      <c r="AR68" s="23" t="str">
        <f t="shared" si="65"/>
        <v/>
      </c>
      <c r="AS68" s="23" t="str">
        <f t="shared" si="65"/>
        <v/>
      </c>
      <c r="AT68" s="23" t="str">
        <f t="shared" si="65"/>
        <v/>
      </c>
      <c r="AU68" s="23" t="str">
        <f t="shared" si="65"/>
        <v/>
      </c>
      <c r="AV68" s="23" t="str">
        <f t="shared" si="65"/>
        <v/>
      </c>
      <c r="AW68" s="23" t="str">
        <f t="shared" si="65"/>
        <v/>
      </c>
      <c r="AX68" s="23" t="str">
        <f t="shared" si="65"/>
        <v/>
      </c>
      <c r="AY68" s="23" t="str">
        <f t="shared" ref="AY68:BH72" si="66">IF(AND(AY$4&gt;=$I68,AY$4&lt;=$J68),1,"")</f>
        <v/>
      </c>
      <c r="AZ68" s="23" t="str">
        <f t="shared" si="66"/>
        <v/>
      </c>
      <c r="BA68" s="23" t="str">
        <f t="shared" si="66"/>
        <v/>
      </c>
      <c r="BB68" s="23" t="str">
        <f t="shared" si="66"/>
        <v/>
      </c>
      <c r="BC68" s="23" t="str">
        <f t="shared" si="66"/>
        <v/>
      </c>
      <c r="BD68" s="23" t="str">
        <f t="shared" si="66"/>
        <v/>
      </c>
      <c r="BE68" s="23" t="str">
        <f t="shared" si="66"/>
        <v/>
      </c>
      <c r="BF68" s="23" t="str">
        <f t="shared" si="66"/>
        <v/>
      </c>
      <c r="BG68" s="23" t="str">
        <f t="shared" si="66"/>
        <v/>
      </c>
      <c r="BH68" s="23" t="str">
        <f t="shared" si="66"/>
        <v/>
      </c>
      <c r="BI68" s="23" t="str">
        <f t="shared" ref="BI68:BS72" si="67">IF(AND(BI$4&gt;=$I68,BI$4&lt;=$J68),1,"")</f>
        <v/>
      </c>
      <c r="BJ68" s="23" t="str">
        <f t="shared" si="67"/>
        <v/>
      </c>
      <c r="BK68" s="23" t="str">
        <f t="shared" si="67"/>
        <v/>
      </c>
      <c r="BL68" s="23" t="str">
        <f t="shared" si="67"/>
        <v/>
      </c>
      <c r="BM68" s="23" t="str">
        <f t="shared" si="67"/>
        <v/>
      </c>
      <c r="BN68" s="23" t="str">
        <f t="shared" si="67"/>
        <v/>
      </c>
      <c r="BO68" s="23" t="str">
        <f t="shared" si="67"/>
        <v/>
      </c>
      <c r="BP68" s="23" t="str">
        <f t="shared" si="67"/>
        <v/>
      </c>
      <c r="BQ68" s="23" t="str">
        <f t="shared" si="67"/>
        <v/>
      </c>
      <c r="BR68" s="23" t="str">
        <f t="shared" si="67"/>
        <v/>
      </c>
      <c r="BS68" s="23" t="str">
        <f t="shared" si="67"/>
        <v/>
      </c>
      <c r="BT68" s="24" t="str">
        <f>IF(IF(G68+H68-1&lt;=29,MAX(ROUND((G68+H68-1)*(29+SlipWeeks)/29,0),$I68),G68+H68-1+SlipWeeks)&gt;61,"▶ clipped","")</f>
        <v/>
      </c>
      <c r="BU68" s="29" t="s">
        <v>282</v>
      </c>
    </row>
    <row r="69" spans="1:73" ht="34" outlineLevel="1" x14ac:dyDescent="0.2">
      <c r="A69" s="6" t="s">
        <v>283</v>
      </c>
      <c r="B69" s="25" t="s">
        <v>284</v>
      </c>
      <c r="C69" s="6" t="s">
        <v>55</v>
      </c>
      <c r="D69" s="24" t="s">
        <v>121</v>
      </c>
      <c r="F69" s="6"/>
      <c r="G69" s="22">
        <v>8</v>
      </c>
      <c r="H69" s="22">
        <v>1</v>
      </c>
      <c r="I69" s="22">
        <f>MEDIAN($I$68,$J$68,$I$68+ROUND((G69-$G$68)/$H$68*($J$68-$I$68+1),0))</f>
        <v>8</v>
      </c>
      <c r="J69" s="22">
        <f>MEDIAN(I69,$J$68,$I$68+ROUND((G69+H69-$G$68)/$H$68*($J$68-$I$68+1),0)-1)</f>
        <v>8</v>
      </c>
      <c r="K69" s="23" t="str">
        <f t="shared" si="62"/>
        <v/>
      </c>
      <c r="L69" s="23" t="str">
        <f t="shared" si="62"/>
        <v/>
      </c>
      <c r="M69" s="23" t="str">
        <f t="shared" si="62"/>
        <v/>
      </c>
      <c r="N69" s="23" t="str">
        <f t="shared" si="62"/>
        <v/>
      </c>
      <c r="O69" s="23" t="str">
        <f t="shared" si="62"/>
        <v/>
      </c>
      <c r="P69" s="23" t="str">
        <f t="shared" si="62"/>
        <v/>
      </c>
      <c r="Q69" s="23" t="str">
        <f t="shared" si="62"/>
        <v/>
      </c>
      <c r="R69" s="23">
        <f t="shared" si="62"/>
        <v>1</v>
      </c>
      <c r="S69" s="23" t="str">
        <f t="shared" si="62"/>
        <v/>
      </c>
      <c r="T69" s="23" t="str">
        <f t="shared" si="62"/>
        <v/>
      </c>
      <c r="U69" s="23" t="str">
        <f t="shared" si="63"/>
        <v/>
      </c>
      <c r="V69" s="23" t="str">
        <f t="shared" si="63"/>
        <v/>
      </c>
      <c r="W69" s="23" t="str">
        <f t="shared" si="63"/>
        <v/>
      </c>
      <c r="X69" s="23" t="str">
        <f t="shared" si="63"/>
        <v/>
      </c>
      <c r="Y69" s="23" t="str">
        <f t="shared" si="63"/>
        <v/>
      </c>
      <c r="Z69" s="23" t="str">
        <f t="shared" si="63"/>
        <v/>
      </c>
      <c r="AA69" s="23" t="str">
        <f t="shared" si="63"/>
        <v/>
      </c>
      <c r="AB69" s="23" t="str">
        <f t="shared" si="63"/>
        <v/>
      </c>
      <c r="AC69" s="23" t="str">
        <f t="shared" si="63"/>
        <v/>
      </c>
      <c r="AD69" s="23" t="str">
        <f t="shared" si="63"/>
        <v/>
      </c>
      <c r="AE69" s="23" t="str">
        <f t="shared" si="64"/>
        <v/>
      </c>
      <c r="AF69" s="23" t="str">
        <f t="shared" si="64"/>
        <v/>
      </c>
      <c r="AG69" s="23" t="str">
        <f t="shared" si="64"/>
        <v/>
      </c>
      <c r="AH69" s="23" t="str">
        <f t="shared" si="64"/>
        <v/>
      </c>
      <c r="AI69" s="23" t="str">
        <f t="shared" si="64"/>
        <v/>
      </c>
      <c r="AJ69" s="23" t="str">
        <f t="shared" si="64"/>
        <v/>
      </c>
      <c r="AK69" s="23" t="str">
        <f t="shared" si="64"/>
        <v/>
      </c>
      <c r="AL69" s="23" t="str">
        <f t="shared" si="64"/>
        <v/>
      </c>
      <c r="AM69" s="23" t="str">
        <f t="shared" si="64"/>
        <v/>
      </c>
      <c r="AN69" s="23" t="str">
        <f t="shared" si="64"/>
        <v/>
      </c>
      <c r="AO69" s="23" t="str">
        <f t="shared" si="65"/>
        <v/>
      </c>
      <c r="AP69" s="23" t="str">
        <f t="shared" si="65"/>
        <v/>
      </c>
      <c r="AQ69" s="23" t="str">
        <f t="shared" si="65"/>
        <v/>
      </c>
      <c r="AR69" s="23" t="str">
        <f t="shared" si="65"/>
        <v/>
      </c>
      <c r="AS69" s="23" t="str">
        <f t="shared" si="65"/>
        <v/>
      </c>
      <c r="AT69" s="23" t="str">
        <f t="shared" si="65"/>
        <v/>
      </c>
      <c r="AU69" s="23" t="str">
        <f t="shared" si="65"/>
        <v/>
      </c>
      <c r="AV69" s="23" t="str">
        <f t="shared" si="65"/>
        <v/>
      </c>
      <c r="AW69" s="23" t="str">
        <f t="shared" si="65"/>
        <v/>
      </c>
      <c r="AX69" s="23" t="str">
        <f t="shared" si="65"/>
        <v/>
      </c>
      <c r="AY69" s="23" t="str">
        <f t="shared" si="66"/>
        <v/>
      </c>
      <c r="AZ69" s="23" t="str">
        <f t="shared" si="66"/>
        <v/>
      </c>
      <c r="BA69" s="23" t="str">
        <f t="shared" si="66"/>
        <v/>
      </c>
      <c r="BB69" s="23" t="str">
        <f t="shared" si="66"/>
        <v/>
      </c>
      <c r="BC69" s="23" t="str">
        <f t="shared" si="66"/>
        <v/>
      </c>
      <c r="BD69" s="23" t="str">
        <f t="shared" si="66"/>
        <v/>
      </c>
      <c r="BE69" s="23" t="str">
        <f t="shared" si="66"/>
        <v/>
      </c>
      <c r="BF69" s="23" t="str">
        <f t="shared" si="66"/>
        <v/>
      </c>
      <c r="BG69" s="23" t="str">
        <f t="shared" si="66"/>
        <v/>
      </c>
      <c r="BH69" s="23" t="str">
        <f t="shared" si="66"/>
        <v/>
      </c>
      <c r="BI69" s="23" t="str">
        <f t="shared" si="67"/>
        <v/>
      </c>
      <c r="BJ69" s="23" t="str">
        <f t="shared" si="67"/>
        <v/>
      </c>
      <c r="BK69" s="23" t="str">
        <f t="shared" si="67"/>
        <v/>
      </c>
      <c r="BL69" s="23" t="str">
        <f t="shared" si="67"/>
        <v/>
      </c>
      <c r="BM69" s="23" t="str">
        <f t="shared" si="67"/>
        <v/>
      </c>
      <c r="BN69" s="23" t="str">
        <f t="shared" si="67"/>
        <v/>
      </c>
      <c r="BO69" s="23" t="str">
        <f t="shared" si="67"/>
        <v/>
      </c>
      <c r="BP69" s="23" t="str">
        <f t="shared" si="67"/>
        <v/>
      </c>
      <c r="BQ69" s="23" t="str">
        <f t="shared" si="67"/>
        <v/>
      </c>
      <c r="BR69" s="23" t="str">
        <f t="shared" si="67"/>
        <v/>
      </c>
      <c r="BS69" s="23" t="str">
        <f t="shared" si="67"/>
        <v/>
      </c>
      <c r="BU69" s="29" t="s">
        <v>285</v>
      </c>
    </row>
    <row r="70" spans="1:73" ht="17" outlineLevel="1" x14ac:dyDescent="0.2">
      <c r="A70" s="6" t="s">
        <v>286</v>
      </c>
      <c r="B70" s="25" t="s">
        <v>287</v>
      </c>
      <c r="C70" s="6" t="s">
        <v>55</v>
      </c>
      <c r="D70" s="24" t="s">
        <v>121</v>
      </c>
      <c r="F70" s="6" t="s">
        <v>283</v>
      </c>
      <c r="G70" s="22">
        <v>9</v>
      </c>
      <c r="H70" s="22">
        <v>1</v>
      </c>
      <c r="I70" s="22">
        <f>MEDIAN($I$68,$J$68,$I$68+ROUND((G70-$G$68)/$H$68*($J$68-$I$68+1),0))</f>
        <v>9</v>
      </c>
      <c r="J70" s="22">
        <f>MEDIAN(I70,$J$68,$I$68+ROUND((G70+H70-$G$68)/$H$68*($J$68-$I$68+1),0)-1)</f>
        <v>9</v>
      </c>
      <c r="K70" s="23" t="str">
        <f t="shared" si="62"/>
        <v/>
      </c>
      <c r="L70" s="23" t="str">
        <f t="shared" si="62"/>
        <v/>
      </c>
      <c r="M70" s="23" t="str">
        <f t="shared" si="62"/>
        <v/>
      </c>
      <c r="N70" s="23" t="str">
        <f t="shared" si="62"/>
        <v/>
      </c>
      <c r="O70" s="23" t="str">
        <f t="shared" si="62"/>
        <v/>
      </c>
      <c r="P70" s="23" t="str">
        <f t="shared" si="62"/>
        <v/>
      </c>
      <c r="Q70" s="23" t="str">
        <f t="shared" si="62"/>
        <v/>
      </c>
      <c r="R70" s="23" t="str">
        <f t="shared" si="62"/>
        <v/>
      </c>
      <c r="S70" s="23">
        <f t="shared" si="62"/>
        <v>1</v>
      </c>
      <c r="T70" s="23" t="str">
        <f t="shared" si="62"/>
        <v/>
      </c>
      <c r="U70" s="23" t="str">
        <f t="shared" si="63"/>
        <v/>
      </c>
      <c r="V70" s="23" t="str">
        <f t="shared" si="63"/>
        <v/>
      </c>
      <c r="W70" s="23" t="str">
        <f t="shared" si="63"/>
        <v/>
      </c>
      <c r="X70" s="23" t="str">
        <f t="shared" si="63"/>
        <v/>
      </c>
      <c r="Y70" s="23" t="str">
        <f t="shared" si="63"/>
        <v/>
      </c>
      <c r="Z70" s="23" t="str">
        <f t="shared" si="63"/>
        <v/>
      </c>
      <c r="AA70" s="23" t="str">
        <f t="shared" si="63"/>
        <v/>
      </c>
      <c r="AB70" s="23" t="str">
        <f t="shared" si="63"/>
        <v/>
      </c>
      <c r="AC70" s="23" t="str">
        <f t="shared" si="63"/>
        <v/>
      </c>
      <c r="AD70" s="23" t="str">
        <f t="shared" si="63"/>
        <v/>
      </c>
      <c r="AE70" s="23" t="str">
        <f t="shared" si="64"/>
        <v/>
      </c>
      <c r="AF70" s="23" t="str">
        <f t="shared" si="64"/>
        <v/>
      </c>
      <c r="AG70" s="23" t="str">
        <f t="shared" si="64"/>
        <v/>
      </c>
      <c r="AH70" s="23" t="str">
        <f t="shared" si="64"/>
        <v/>
      </c>
      <c r="AI70" s="23" t="str">
        <f t="shared" si="64"/>
        <v/>
      </c>
      <c r="AJ70" s="23" t="str">
        <f t="shared" si="64"/>
        <v/>
      </c>
      <c r="AK70" s="23" t="str">
        <f t="shared" si="64"/>
        <v/>
      </c>
      <c r="AL70" s="23" t="str">
        <f t="shared" si="64"/>
        <v/>
      </c>
      <c r="AM70" s="23" t="str">
        <f t="shared" si="64"/>
        <v/>
      </c>
      <c r="AN70" s="23" t="str">
        <f t="shared" si="64"/>
        <v/>
      </c>
      <c r="AO70" s="23" t="str">
        <f t="shared" si="65"/>
        <v/>
      </c>
      <c r="AP70" s="23" t="str">
        <f t="shared" si="65"/>
        <v/>
      </c>
      <c r="AQ70" s="23" t="str">
        <f t="shared" si="65"/>
        <v/>
      </c>
      <c r="AR70" s="23" t="str">
        <f t="shared" si="65"/>
        <v/>
      </c>
      <c r="AS70" s="23" t="str">
        <f t="shared" si="65"/>
        <v/>
      </c>
      <c r="AT70" s="23" t="str">
        <f t="shared" si="65"/>
        <v/>
      </c>
      <c r="AU70" s="23" t="str">
        <f t="shared" si="65"/>
        <v/>
      </c>
      <c r="AV70" s="23" t="str">
        <f t="shared" si="65"/>
        <v/>
      </c>
      <c r="AW70" s="23" t="str">
        <f t="shared" si="65"/>
        <v/>
      </c>
      <c r="AX70" s="23" t="str">
        <f t="shared" si="65"/>
        <v/>
      </c>
      <c r="AY70" s="23" t="str">
        <f t="shared" si="66"/>
        <v/>
      </c>
      <c r="AZ70" s="23" t="str">
        <f t="shared" si="66"/>
        <v/>
      </c>
      <c r="BA70" s="23" t="str">
        <f t="shared" si="66"/>
        <v/>
      </c>
      <c r="BB70" s="23" t="str">
        <f t="shared" si="66"/>
        <v/>
      </c>
      <c r="BC70" s="23" t="str">
        <f t="shared" si="66"/>
        <v/>
      </c>
      <c r="BD70" s="23" t="str">
        <f t="shared" si="66"/>
        <v/>
      </c>
      <c r="BE70" s="23" t="str">
        <f t="shared" si="66"/>
        <v/>
      </c>
      <c r="BF70" s="23" t="str">
        <f t="shared" si="66"/>
        <v/>
      </c>
      <c r="BG70" s="23" t="str">
        <f t="shared" si="66"/>
        <v/>
      </c>
      <c r="BH70" s="23" t="str">
        <f t="shared" si="66"/>
        <v/>
      </c>
      <c r="BI70" s="23" t="str">
        <f t="shared" si="67"/>
        <v/>
      </c>
      <c r="BJ70" s="23" t="str">
        <f t="shared" si="67"/>
        <v/>
      </c>
      <c r="BK70" s="23" t="str">
        <f t="shared" si="67"/>
        <v/>
      </c>
      <c r="BL70" s="23" t="str">
        <f t="shared" si="67"/>
        <v/>
      </c>
      <c r="BM70" s="23" t="str">
        <f t="shared" si="67"/>
        <v/>
      </c>
      <c r="BN70" s="23" t="str">
        <f t="shared" si="67"/>
        <v/>
      </c>
      <c r="BO70" s="23" t="str">
        <f t="shared" si="67"/>
        <v/>
      </c>
      <c r="BP70" s="23" t="str">
        <f t="shared" si="67"/>
        <v/>
      </c>
      <c r="BQ70" s="23" t="str">
        <f t="shared" si="67"/>
        <v/>
      </c>
      <c r="BR70" s="23" t="str">
        <f t="shared" si="67"/>
        <v/>
      </c>
      <c r="BS70" s="23" t="str">
        <f t="shared" si="67"/>
        <v/>
      </c>
      <c r="BU70" s="29" t="s">
        <v>288</v>
      </c>
    </row>
    <row r="71" spans="1:73" ht="34" outlineLevel="1" x14ac:dyDescent="0.2">
      <c r="A71" s="6" t="s">
        <v>289</v>
      </c>
      <c r="B71" s="25" t="s">
        <v>290</v>
      </c>
      <c r="C71" s="6" t="s">
        <v>55</v>
      </c>
      <c r="D71" s="24" t="s">
        <v>121</v>
      </c>
      <c r="F71" s="6" t="s">
        <v>286</v>
      </c>
      <c r="G71" s="22">
        <v>10</v>
      </c>
      <c r="H71" s="22">
        <v>2</v>
      </c>
      <c r="I71" s="22">
        <f>MEDIAN($I$68,$J$68,$I$68+ROUND((G71-$G$68)/$H$68*($J$68-$I$68+1),0))</f>
        <v>10</v>
      </c>
      <c r="J71" s="22">
        <f>MEDIAN(I71,$J$68,$I$68+ROUND((G71+H71-$G$68)/$H$68*($J$68-$I$68+1),0)-1)</f>
        <v>11</v>
      </c>
      <c r="K71" s="23" t="str">
        <f t="shared" si="62"/>
        <v/>
      </c>
      <c r="L71" s="23" t="str">
        <f t="shared" si="62"/>
        <v/>
      </c>
      <c r="M71" s="23" t="str">
        <f t="shared" si="62"/>
        <v/>
      </c>
      <c r="N71" s="23" t="str">
        <f t="shared" si="62"/>
        <v/>
      </c>
      <c r="O71" s="23" t="str">
        <f t="shared" si="62"/>
        <v/>
      </c>
      <c r="P71" s="23" t="str">
        <f t="shared" si="62"/>
        <v/>
      </c>
      <c r="Q71" s="23" t="str">
        <f t="shared" si="62"/>
        <v/>
      </c>
      <c r="R71" s="23" t="str">
        <f t="shared" si="62"/>
        <v/>
      </c>
      <c r="S71" s="23" t="str">
        <f t="shared" si="62"/>
        <v/>
      </c>
      <c r="T71" s="23">
        <f t="shared" si="62"/>
        <v>1</v>
      </c>
      <c r="U71" s="23">
        <f t="shared" si="63"/>
        <v>1</v>
      </c>
      <c r="V71" s="23" t="str">
        <f t="shared" si="63"/>
        <v/>
      </c>
      <c r="W71" s="23" t="str">
        <f t="shared" si="63"/>
        <v/>
      </c>
      <c r="X71" s="23" t="str">
        <f t="shared" si="63"/>
        <v/>
      </c>
      <c r="Y71" s="23" t="str">
        <f t="shared" si="63"/>
        <v/>
      </c>
      <c r="Z71" s="23" t="str">
        <f t="shared" si="63"/>
        <v/>
      </c>
      <c r="AA71" s="23" t="str">
        <f t="shared" si="63"/>
        <v/>
      </c>
      <c r="AB71" s="23" t="str">
        <f t="shared" si="63"/>
        <v/>
      </c>
      <c r="AC71" s="23" t="str">
        <f t="shared" si="63"/>
        <v/>
      </c>
      <c r="AD71" s="23" t="str">
        <f t="shared" si="63"/>
        <v/>
      </c>
      <c r="AE71" s="23" t="str">
        <f t="shared" si="64"/>
        <v/>
      </c>
      <c r="AF71" s="23" t="str">
        <f t="shared" si="64"/>
        <v/>
      </c>
      <c r="AG71" s="23" t="str">
        <f t="shared" si="64"/>
        <v/>
      </c>
      <c r="AH71" s="23" t="str">
        <f t="shared" si="64"/>
        <v/>
      </c>
      <c r="AI71" s="23" t="str">
        <f t="shared" si="64"/>
        <v/>
      </c>
      <c r="AJ71" s="23" t="str">
        <f t="shared" si="64"/>
        <v/>
      </c>
      <c r="AK71" s="23" t="str">
        <f t="shared" si="64"/>
        <v/>
      </c>
      <c r="AL71" s="23" t="str">
        <f t="shared" si="64"/>
        <v/>
      </c>
      <c r="AM71" s="23" t="str">
        <f t="shared" si="64"/>
        <v/>
      </c>
      <c r="AN71" s="23" t="str">
        <f t="shared" si="64"/>
        <v/>
      </c>
      <c r="AO71" s="23" t="str">
        <f t="shared" si="65"/>
        <v/>
      </c>
      <c r="AP71" s="23" t="str">
        <f t="shared" si="65"/>
        <v/>
      </c>
      <c r="AQ71" s="23" t="str">
        <f t="shared" si="65"/>
        <v/>
      </c>
      <c r="AR71" s="23" t="str">
        <f t="shared" si="65"/>
        <v/>
      </c>
      <c r="AS71" s="23" t="str">
        <f t="shared" si="65"/>
        <v/>
      </c>
      <c r="AT71" s="23" t="str">
        <f t="shared" si="65"/>
        <v/>
      </c>
      <c r="AU71" s="23" t="str">
        <f t="shared" si="65"/>
        <v/>
      </c>
      <c r="AV71" s="23" t="str">
        <f t="shared" si="65"/>
        <v/>
      </c>
      <c r="AW71" s="23" t="str">
        <f t="shared" si="65"/>
        <v/>
      </c>
      <c r="AX71" s="23" t="str">
        <f t="shared" si="65"/>
        <v/>
      </c>
      <c r="AY71" s="23" t="str">
        <f t="shared" si="66"/>
        <v/>
      </c>
      <c r="AZ71" s="23" t="str">
        <f t="shared" si="66"/>
        <v/>
      </c>
      <c r="BA71" s="23" t="str">
        <f t="shared" si="66"/>
        <v/>
      </c>
      <c r="BB71" s="23" t="str">
        <f t="shared" si="66"/>
        <v/>
      </c>
      <c r="BC71" s="23" t="str">
        <f t="shared" si="66"/>
        <v/>
      </c>
      <c r="BD71" s="23" t="str">
        <f t="shared" si="66"/>
        <v/>
      </c>
      <c r="BE71" s="23" t="str">
        <f t="shared" si="66"/>
        <v/>
      </c>
      <c r="BF71" s="23" t="str">
        <f t="shared" si="66"/>
        <v/>
      </c>
      <c r="BG71" s="23" t="str">
        <f t="shared" si="66"/>
        <v/>
      </c>
      <c r="BH71" s="23" t="str">
        <f t="shared" si="66"/>
        <v/>
      </c>
      <c r="BI71" s="23" t="str">
        <f t="shared" si="67"/>
        <v/>
      </c>
      <c r="BJ71" s="23" t="str">
        <f t="shared" si="67"/>
        <v/>
      </c>
      <c r="BK71" s="23" t="str">
        <f t="shared" si="67"/>
        <v/>
      </c>
      <c r="BL71" s="23" t="str">
        <f t="shared" si="67"/>
        <v/>
      </c>
      <c r="BM71" s="23" t="str">
        <f t="shared" si="67"/>
        <v/>
      </c>
      <c r="BN71" s="23" t="str">
        <f t="shared" si="67"/>
        <v/>
      </c>
      <c r="BO71" s="23" t="str">
        <f t="shared" si="67"/>
        <v/>
      </c>
      <c r="BP71" s="23" t="str">
        <f t="shared" si="67"/>
        <v/>
      </c>
      <c r="BQ71" s="23" t="str">
        <f t="shared" si="67"/>
        <v/>
      </c>
      <c r="BR71" s="23" t="str">
        <f t="shared" si="67"/>
        <v/>
      </c>
      <c r="BS71" s="23" t="str">
        <f t="shared" si="67"/>
        <v/>
      </c>
      <c r="BU71" s="29" t="s">
        <v>291</v>
      </c>
    </row>
    <row r="72" spans="1:73" ht="17" outlineLevel="1" x14ac:dyDescent="0.2">
      <c r="A72" s="6" t="s">
        <v>292</v>
      </c>
      <c r="B72" s="25" t="s">
        <v>293</v>
      </c>
      <c r="C72" s="6" t="s">
        <v>55</v>
      </c>
      <c r="D72" s="24" t="s">
        <v>121</v>
      </c>
      <c r="F72" s="6" t="s">
        <v>289</v>
      </c>
      <c r="G72" s="22">
        <v>12</v>
      </c>
      <c r="H72" s="22">
        <v>1</v>
      </c>
      <c r="I72" s="22">
        <f>MEDIAN($I$68,$J$68,$I$68+ROUND((G72-$G$68)/$H$68*($J$68-$I$68+1),0))</f>
        <v>12</v>
      </c>
      <c r="J72" s="22">
        <f>MEDIAN(I72,$J$68,$I$68+ROUND((G72+H72-$G$68)/$H$68*($J$68-$I$68+1),0)-1)</f>
        <v>12</v>
      </c>
      <c r="K72" s="23" t="str">
        <f t="shared" si="62"/>
        <v/>
      </c>
      <c r="L72" s="23" t="str">
        <f t="shared" si="62"/>
        <v/>
      </c>
      <c r="M72" s="23" t="str">
        <f t="shared" si="62"/>
        <v/>
      </c>
      <c r="N72" s="23" t="str">
        <f t="shared" si="62"/>
        <v/>
      </c>
      <c r="O72" s="23" t="str">
        <f t="shared" si="62"/>
        <v/>
      </c>
      <c r="P72" s="23" t="str">
        <f t="shared" si="62"/>
        <v/>
      </c>
      <c r="Q72" s="23" t="str">
        <f t="shared" si="62"/>
        <v/>
      </c>
      <c r="R72" s="23" t="str">
        <f t="shared" si="62"/>
        <v/>
      </c>
      <c r="S72" s="23" t="str">
        <f t="shared" si="62"/>
        <v/>
      </c>
      <c r="T72" s="23" t="str">
        <f t="shared" si="62"/>
        <v/>
      </c>
      <c r="U72" s="23" t="str">
        <f t="shared" si="63"/>
        <v/>
      </c>
      <c r="V72" s="23">
        <f t="shared" si="63"/>
        <v>1</v>
      </c>
      <c r="W72" s="23" t="str">
        <f t="shared" si="63"/>
        <v/>
      </c>
      <c r="X72" s="23" t="str">
        <f t="shared" si="63"/>
        <v/>
      </c>
      <c r="Y72" s="23" t="str">
        <f t="shared" si="63"/>
        <v/>
      </c>
      <c r="Z72" s="23" t="str">
        <f t="shared" si="63"/>
        <v/>
      </c>
      <c r="AA72" s="23" t="str">
        <f t="shared" si="63"/>
        <v/>
      </c>
      <c r="AB72" s="23" t="str">
        <f t="shared" si="63"/>
        <v/>
      </c>
      <c r="AC72" s="23" t="str">
        <f t="shared" si="63"/>
        <v/>
      </c>
      <c r="AD72" s="23" t="str">
        <f t="shared" si="63"/>
        <v/>
      </c>
      <c r="AE72" s="23" t="str">
        <f t="shared" si="64"/>
        <v/>
      </c>
      <c r="AF72" s="23" t="str">
        <f t="shared" si="64"/>
        <v/>
      </c>
      <c r="AG72" s="23" t="str">
        <f t="shared" si="64"/>
        <v/>
      </c>
      <c r="AH72" s="23" t="str">
        <f t="shared" si="64"/>
        <v/>
      </c>
      <c r="AI72" s="23" t="str">
        <f t="shared" si="64"/>
        <v/>
      </c>
      <c r="AJ72" s="23" t="str">
        <f t="shared" si="64"/>
        <v/>
      </c>
      <c r="AK72" s="23" t="str">
        <f t="shared" si="64"/>
        <v/>
      </c>
      <c r="AL72" s="23" t="str">
        <f t="shared" si="64"/>
        <v/>
      </c>
      <c r="AM72" s="23" t="str">
        <f t="shared" si="64"/>
        <v/>
      </c>
      <c r="AN72" s="23" t="str">
        <f t="shared" si="64"/>
        <v/>
      </c>
      <c r="AO72" s="23" t="str">
        <f t="shared" si="65"/>
        <v/>
      </c>
      <c r="AP72" s="23" t="str">
        <f t="shared" si="65"/>
        <v/>
      </c>
      <c r="AQ72" s="23" t="str">
        <f t="shared" si="65"/>
        <v/>
      </c>
      <c r="AR72" s="23" t="str">
        <f t="shared" si="65"/>
        <v/>
      </c>
      <c r="AS72" s="23" t="str">
        <f t="shared" si="65"/>
        <v/>
      </c>
      <c r="AT72" s="23" t="str">
        <f t="shared" si="65"/>
        <v/>
      </c>
      <c r="AU72" s="23" t="str">
        <f t="shared" si="65"/>
        <v/>
      </c>
      <c r="AV72" s="23" t="str">
        <f t="shared" si="65"/>
        <v/>
      </c>
      <c r="AW72" s="23" t="str">
        <f t="shared" si="65"/>
        <v/>
      </c>
      <c r="AX72" s="23" t="str">
        <f t="shared" si="65"/>
        <v/>
      </c>
      <c r="AY72" s="23" t="str">
        <f t="shared" si="66"/>
        <v/>
      </c>
      <c r="AZ72" s="23" t="str">
        <f t="shared" si="66"/>
        <v/>
      </c>
      <c r="BA72" s="23" t="str">
        <f t="shared" si="66"/>
        <v/>
      </c>
      <c r="BB72" s="23" t="str">
        <f t="shared" si="66"/>
        <v/>
      </c>
      <c r="BC72" s="23" t="str">
        <f t="shared" si="66"/>
        <v/>
      </c>
      <c r="BD72" s="23" t="str">
        <f t="shared" si="66"/>
        <v/>
      </c>
      <c r="BE72" s="23" t="str">
        <f t="shared" si="66"/>
        <v/>
      </c>
      <c r="BF72" s="23" t="str">
        <f t="shared" si="66"/>
        <v/>
      </c>
      <c r="BG72" s="23" t="str">
        <f t="shared" si="66"/>
        <v/>
      </c>
      <c r="BH72" s="23" t="str">
        <f t="shared" si="66"/>
        <v/>
      </c>
      <c r="BI72" s="23" t="str">
        <f t="shared" si="67"/>
        <v/>
      </c>
      <c r="BJ72" s="23" t="str">
        <f t="shared" si="67"/>
        <v/>
      </c>
      <c r="BK72" s="23" t="str">
        <f t="shared" si="67"/>
        <v/>
      </c>
      <c r="BL72" s="23" t="str">
        <f t="shared" si="67"/>
        <v/>
      </c>
      <c r="BM72" s="23" t="str">
        <f t="shared" si="67"/>
        <v/>
      </c>
      <c r="BN72" s="23" t="str">
        <f t="shared" si="67"/>
        <v/>
      </c>
      <c r="BO72" s="23" t="str">
        <f t="shared" si="67"/>
        <v/>
      </c>
      <c r="BP72" s="23" t="str">
        <f t="shared" si="67"/>
        <v/>
      </c>
      <c r="BQ72" s="23" t="str">
        <f t="shared" si="67"/>
        <v/>
      </c>
      <c r="BR72" s="23" t="str">
        <f t="shared" si="67"/>
        <v/>
      </c>
      <c r="BS72" s="23" t="str">
        <f t="shared" si="67"/>
        <v/>
      </c>
      <c r="BU72" s="29" t="s">
        <v>294</v>
      </c>
    </row>
    <row r="73" spans="1:73" x14ac:dyDescent="0.2">
      <c r="BU73" s="30"/>
    </row>
    <row r="74" spans="1:73" ht="17" x14ac:dyDescent="0.2">
      <c r="A74" s="19" t="s">
        <v>295</v>
      </c>
      <c r="B74" s="20" t="s">
        <v>296</v>
      </c>
      <c r="C74" s="19" t="s">
        <v>55</v>
      </c>
      <c r="D74" s="21" t="s">
        <v>117</v>
      </c>
      <c r="E74" s="19"/>
      <c r="F74" s="19" t="s">
        <v>280</v>
      </c>
      <c r="G74" s="22">
        <v>10</v>
      </c>
      <c r="H74" s="22">
        <v>6</v>
      </c>
      <c r="I74" s="22">
        <f>MIN(61,IF(G74&lt;=29,ROUND((G74-1)*(29+SlipWeeks)/29,0)+1,G74+SlipWeeks))</f>
        <v>10</v>
      </c>
      <c r="J74" s="22">
        <f>MIN(61,IF(G74+H74-1&lt;=29,MAX(ROUND((G74+H74-1)*(29+SlipWeeks)/29,0),I74),G74+H74-1+SlipWeeks))</f>
        <v>15</v>
      </c>
      <c r="K74" s="23" t="str">
        <f t="shared" ref="K74:T79" si="68">IF(AND(K$4&gt;=$I74,K$4&lt;=$J74),1,"")</f>
        <v/>
      </c>
      <c r="L74" s="23" t="str">
        <f t="shared" si="68"/>
        <v/>
      </c>
      <c r="M74" s="23" t="str">
        <f t="shared" si="68"/>
        <v/>
      </c>
      <c r="N74" s="23" t="str">
        <f t="shared" si="68"/>
        <v/>
      </c>
      <c r="O74" s="23" t="str">
        <f t="shared" si="68"/>
        <v/>
      </c>
      <c r="P74" s="23" t="str">
        <f t="shared" si="68"/>
        <v/>
      </c>
      <c r="Q74" s="23" t="str">
        <f t="shared" si="68"/>
        <v/>
      </c>
      <c r="R74" s="23" t="str">
        <f t="shared" si="68"/>
        <v/>
      </c>
      <c r="S74" s="23" t="str">
        <f t="shared" si="68"/>
        <v/>
      </c>
      <c r="T74" s="23">
        <f t="shared" si="68"/>
        <v>1</v>
      </c>
      <c r="U74" s="23">
        <f t="shared" ref="U74:AD79" si="69">IF(AND(U$4&gt;=$I74,U$4&lt;=$J74),1,"")</f>
        <v>1</v>
      </c>
      <c r="V74" s="23">
        <f t="shared" si="69"/>
        <v>1</v>
      </c>
      <c r="W74" s="23">
        <f t="shared" si="69"/>
        <v>1</v>
      </c>
      <c r="X74" s="23">
        <f t="shared" si="69"/>
        <v>1</v>
      </c>
      <c r="Y74" s="23">
        <f t="shared" si="69"/>
        <v>1</v>
      </c>
      <c r="Z74" s="23" t="str">
        <f t="shared" si="69"/>
        <v/>
      </c>
      <c r="AA74" s="23" t="str">
        <f t="shared" si="69"/>
        <v/>
      </c>
      <c r="AB74" s="23" t="str">
        <f t="shared" si="69"/>
        <v/>
      </c>
      <c r="AC74" s="23" t="str">
        <f t="shared" si="69"/>
        <v/>
      </c>
      <c r="AD74" s="23" t="str">
        <f t="shared" si="69"/>
        <v/>
      </c>
      <c r="AE74" s="23" t="str">
        <f t="shared" ref="AE74:AN79" si="70">IF(AND(AE$4&gt;=$I74,AE$4&lt;=$J74),1,"")</f>
        <v/>
      </c>
      <c r="AF74" s="23" t="str">
        <f t="shared" si="70"/>
        <v/>
      </c>
      <c r="AG74" s="23" t="str">
        <f t="shared" si="70"/>
        <v/>
      </c>
      <c r="AH74" s="23" t="str">
        <f t="shared" si="70"/>
        <v/>
      </c>
      <c r="AI74" s="23" t="str">
        <f t="shared" si="70"/>
        <v/>
      </c>
      <c r="AJ74" s="23" t="str">
        <f t="shared" si="70"/>
        <v/>
      </c>
      <c r="AK74" s="23" t="str">
        <f t="shared" si="70"/>
        <v/>
      </c>
      <c r="AL74" s="23" t="str">
        <f t="shared" si="70"/>
        <v/>
      </c>
      <c r="AM74" s="23" t="str">
        <f t="shared" si="70"/>
        <v/>
      </c>
      <c r="AN74" s="23" t="str">
        <f t="shared" si="70"/>
        <v/>
      </c>
      <c r="AO74" s="23" t="str">
        <f t="shared" ref="AO74:AX79" si="71">IF(AND(AO$4&gt;=$I74,AO$4&lt;=$J74),1,"")</f>
        <v/>
      </c>
      <c r="AP74" s="23" t="str">
        <f t="shared" si="71"/>
        <v/>
      </c>
      <c r="AQ74" s="23" t="str">
        <f t="shared" si="71"/>
        <v/>
      </c>
      <c r="AR74" s="23" t="str">
        <f t="shared" si="71"/>
        <v/>
      </c>
      <c r="AS74" s="23" t="str">
        <f t="shared" si="71"/>
        <v/>
      </c>
      <c r="AT74" s="23" t="str">
        <f t="shared" si="71"/>
        <v/>
      </c>
      <c r="AU74" s="23" t="str">
        <f t="shared" si="71"/>
        <v/>
      </c>
      <c r="AV74" s="23" t="str">
        <f t="shared" si="71"/>
        <v/>
      </c>
      <c r="AW74" s="23" t="str">
        <f t="shared" si="71"/>
        <v/>
      </c>
      <c r="AX74" s="23" t="str">
        <f t="shared" si="71"/>
        <v/>
      </c>
      <c r="AY74" s="23" t="str">
        <f t="shared" ref="AY74:BH79" si="72">IF(AND(AY$4&gt;=$I74,AY$4&lt;=$J74),1,"")</f>
        <v/>
      </c>
      <c r="AZ74" s="23" t="str">
        <f t="shared" si="72"/>
        <v/>
      </c>
      <c r="BA74" s="23" t="str">
        <f t="shared" si="72"/>
        <v/>
      </c>
      <c r="BB74" s="23" t="str">
        <f t="shared" si="72"/>
        <v/>
      </c>
      <c r="BC74" s="23" t="str">
        <f t="shared" si="72"/>
        <v/>
      </c>
      <c r="BD74" s="23" t="str">
        <f t="shared" si="72"/>
        <v/>
      </c>
      <c r="BE74" s="23" t="str">
        <f t="shared" si="72"/>
        <v/>
      </c>
      <c r="BF74" s="23" t="str">
        <f t="shared" si="72"/>
        <v/>
      </c>
      <c r="BG74" s="23" t="str">
        <f t="shared" si="72"/>
        <v/>
      </c>
      <c r="BH74" s="23" t="str">
        <f t="shared" si="72"/>
        <v/>
      </c>
      <c r="BI74" s="23" t="str">
        <f t="shared" ref="BI74:BS79" si="73">IF(AND(BI$4&gt;=$I74,BI$4&lt;=$J74),1,"")</f>
        <v/>
      </c>
      <c r="BJ74" s="23" t="str">
        <f t="shared" si="73"/>
        <v/>
      </c>
      <c r="BK74" s="23" t="str">
        <f t="shared" si="73"/>
        <v/>
      </c>
      <c r="BL74" s="23" t="str">
        <f t="shared" si="73"/>
        <v/>
      </c>
      <c r="BM74" s="23" t="str">
        <f t="shared" si="73"/>
        <v/>
      </c>
      <c r="BN74" s="23" t="str">
        <f t="shared" si="73"/>
        <v/>
      </c>
      <c r="BO74" s="23" t="str">
        <f t="shared" si="73"/>
        <v/>
      </c>
      <c r="BP74" s="23" t="str">
        <f t="shared" si="73"/>
        <v/>
      </c>
      <c r="BQ74" s="23" t="str">
        <f t="shared" si="73"/>
        <v/>
      </c>
      <c r="BR74" s="23" t="str">
        <f t="shared" si="73"/>
        <v/>
      </c>
      <c r="BS74" s="23" t="str">
        <f t="shared" si="73"/>
        <v/>
      </c>
      <c r="BT74" s="24" t="str">
        <f>IF(IF(G74+H74-1&lt;=29,MAX(ROUND((G74+H74-1)*(29+SlipWeeks)/29,0),$I74),G74+H74-1+SlipWeeks)&gt;61,"▶ clipped","")</f>
        <v/>
      </c>
      <c r="BU74" s="29" t="s">
        <v>297</v>
      </c>
    </row>
    <row r="75" spans="1:73" ht="34" outlineLevel="1" x14ac:dyDescent="0.2">
      <c r="A75" s="6" t="s">
        <v>298</v>
      </c>
      <c r="B75" s="25" t="s">
        <v>299</v>
      </c>
      <c r="C75" s="6" t="s">
        <v>55</v>
      </c>
      <c r="D75" s="24" t="s">
        <v>121</v>
      </c>
      <c r="F75" s="6"/>
      <c r="G75" s="22">
        <v>10</v>
      </c>
      <c r="H75" s="22">
        <v>2</v>
      </c>
      <c r="I75" s="22">
        <f>MEDIAN($I$74,$J$74,$I$74+ROUND((G75-$G$74)/$H$74*($J$74-$I$74+1),0))</f>
        <v>10</v>
      </c>
      <c r="J75" s="22">
        <f>MEDIAN(I75,$J$74,$I$74+ROUND((G75+H75-$G$74)/$H$74*($J$74-$I$74+1),0)-1)</f>
        <v>11</v>
      </c>
      <c r="K75" s="23" t="str">
        <f t="shared" si="68"/>
        <v/>
      </c>
      <c r="L75" s="23" t="str">
        <f t="shared" si="68"/>
        <v/>
      </c>
      <c r="M75" s="23" t="str">
        <f t="shared" si="68"/>
        <v/>
      </c>
      <c r="N75" s="23" t="str">
        <f t="shared" si="68"/>
        <v/>
      </c>
      <c r="O75" s="23" t="str">
        <f t="shared" si="68"/>
        <v/>
      </c>
      <c r="P75" s="23" t="str">
        <f t="shared" si="68"/>
        <v/>
      </c>
      <c r="Q75" s="23" t="str">
        <f t="shared" si="68"/>
        <v/>
      </c>
      <c r="R75" s="23" t="str">
        <f t="shared" si="68"/>
        <v/>
      </c>
      <c r="S75" s="23" t="str">
        <f t="shared" si="68"/>
        <v/>
      </c>
      <c r="T75" s="23">
        <f t="shared" si="68"/>
        <v>1</v>
      </c>
      <c r="U75" s="23">
        <f t="shared" si="69"/>
        <v>1</v>
      </c>
      <c r="V75" s="23" t="str">
        <f t="shared" si="69"/>
        <v/>
      </c>
      <c r="W75" s="23" t="str">
        <f t="shared" si="69"/>
        <v/>
      </c>
      <c r="X75" s="23" t="str">
        <f t="shared" si="69"/>
        <v/>
      </c>
      <c r="Y75" s="23" t="str">
        <f t="shared" si="69"/>
        <v/>
      </c>
      <c r="Z75" s="23" t="str">
        <f t="shared" si="69"/>
        <v/>
      </c>
      <c r="AA75" s="23" t="str">
        <f t="shared" si="69"/>
        <v/>
      </c>
      <c r="AB75" s="23" t="str">
        <f t="shared" si="69"/>
        <v/>
      </c>
      <c r="AC75" s="23" t="str">
        <f t="shared" si="69"/>
        <v/>
      </c>
      <c r="AD75" s="23" t="str">
        <f t="shared" si="69"/>
        <v/>
      </c>
      <c r="AE75" s="23" t="str">
        <f t="shared" si="70"/>
        <v/>
      </c>
      <c r="AF75" s="23" t="str">
        <f t="shared" si="70"/>
        <v/>
      </c>
      <c r="AG75" s="23" t="str">
        <f t="shared" si="70"/>
        <v/>
      </c>
      <c r="AH75" s="23" t="str">
        <f t="shared" si="70"/>
        <v/>
      </c>
      <c r="AI75" s="23" t="str">
        <f t="shared" si="70"/>
        <v/>
      </c>
      <c r="AJ75" s="23" t="str">
        <f t="shared" si="70"/>
        <v/>
      </c>
      <c r="AK75" s="23" t="str">
        <f t="shared" si="70"/>
        <v/>
      </c>
      <c r="AL75" s="23" t="str">
        <f t="shared" si="70"/>
        <v/>
      </c>
      <c r="AM75" s="23" t="str">
        <f t="shared" si="70"/>
        <v/>
      </c>
      <c r="AN75" s="23" t="str">
        <f t="shared" si="70"/>
        <v/>
      </c>
      <c r="AO75" s="23" t="str">
        <f t="shared" si="71"/>
        <v/>
      </c>
      <c r="AP75" s="23" t="str">
        <f t="shared" si="71"/>
        <v/>
      </c>
      <c r="AQ75" s="23" t="str">
        <f t="shared" si="71"/>
        <v/>
      </c>
      <c r="AR75" s="23" t="str">
        <f t="shared" si="71"/>
        <v/>
      </c>
      <c r="AS75" s="23" t="str">
        <f t="shared" si="71"/>
        <v/>
      </c>
      <c r="AT75" s="23" t="str">
        <f t="shared" si="71"/>
        <v/>
      </c>
      <c r="AU75" s="23" t="str">
        <f t="shared" si="71"/>
        <v/>
      </c>
      <c r="AV75" s="23" t="str">
        <f t="shared" si="71"/>
        <v/>
      </c>
      <c r="AW75" s="23" t="str">
        <f t="shared" si="71"/>
        <v/>
      </c>
      <c r="AX75" s="23" t="str">
        <f t="shared" si="71"/>
        <v/>
      </c>
      <c r="AY75" s="23" t="str">
        <f t="shared" si="72"/>
        <v/>
      </c>
      <c r="AZ75" s="23" t="str">
        <f t="shared" si="72"/>
        <v/>
      </c>
      <c r="BA75" s="23" t="str">
        <f t="shared" si="72"/>
        <v/>
      </c>
      <c r="BB75" s="23" t="str">
        <f t="shared" si="72"/>
        <v/>
      </c>
      <c r="BC75" s="23" t="str">
        <f t="shared" si="72"/>
        <v/>
      </c>
      <c r="BD75" s="23" t="str">
        <f t="shared" si="72"/>
        <v/>
      </c>
      <c r="BE75" s="23" t="str">
        <f t="shared" si="72"/>
        <v/>
      </c>
      <c r="BF75" s="23" t="str">
        <f t="shared" si="72"/>
        <v/>
      </c>
      <c r="BG75" s="23" t="str">
        <f t="shared" si="72"/>
        <v/>
      </c>
      <c r="BH75" s="23" t="str">
        <f t="shared" si="72"/>
        <v/>
      </c>
      <c r="BI75" s="23" t="str">
        <f t="shared" si="73"/>
        <v/>
      </c>
      <c r="BJ75" s="23" t="str">
        <f t="shared" si="73"/>
        <v/>
      </c>
      <c r="BK75" s="23" t="str">
        <f t="shared" si="73"/>
        <v/>
      </c>
      <c r="BL75" s="23" t="str">
        <f t="shared" si="73"/>
        <v/>
      </c>
      <c r="BM75" s="23" t="str">
        <f t="shared" si="73"/>
        <v/>
      </c>
      <c r="BN75" s="23" t="str">
        <f t="shared" si="73"/>
        <v/>
      </c>
      <c r="BO75" s="23" t="str">
        <f t="shared" si="73"/>
        <v/>
      </c>
      <c r="BP75" s="23" t="str">
        <f t="shared" si="73"/>
        <v/>
      </c>
      <c r="BQ75" s="23" t="str">
        <f t="shared" si="73"/>
        <v/>
      </c>
      <c r="BR75" s="23" t="str">
        <f t="shared" si="73"/>
        <v/>
      </c>
      <c r="BS75" s="23" t="str">
        <f t="shared" si="73"/>
        <v/>
      </c>
      <c r="BU75" s="29" t="s">
        <v>300</v>
      </c>
    </row>
    <row r="76" spans="1:73" ht="17" outlineLevel="1" x14ac:dyDescent="0.2">
      <c r="A76" s="6" t="s">
        <v>301</v>
      </c>
      <c r="B76" s="25" t="s">
        <v>302</v>
      </c>
      <c r="C76" s="6" t="s">
        <v>55</v>
      </c>
      <c r="D76" s="24" t="s">
        <v>121</v>
      </c>
      <c r="F76" s="6" t="s">
        <v>298</v>
      </c>
      <c r="G76" s="22">
        <v>12</v>
      </c>
      <c r="H76" s="22">
        <v>1</v>
      </c>
      <c r="I76" s="22">
        <f>MEDIAN($I$74,$J$74,$I$74+ROUND((G76-$G$74)/$H$74*($J$74-$I$74+1),0))</f>
        <v>12</v>
      </c>
      <c r="J76" s="22">
        <f>MEDIAN(I76,$J$74,$I$74+ROUND((G76+H76-$G$74)/$H$74*($J$74-$I$74+1),0)-1)</f>
        <v>12</v>
      </c>
      <c r="K76" s="23" t="str">
        <f t="shared" si="68"/>
        <v/>
      </c>
      <c r="L76" s="23" t="str">
        <f t="shared" si="68"/>
        <v/>
      </c>
      <c r="M76" s="23" t="str">
        <f t="shared" si="68"/>
        <v/>
      </c>
      <c r="N76" s="23" t="str">
        <f t="shared" si="68"/>
        <v/>
      </c>
      <c r="O76" s="23" t="str">
        <f t="shared" si="68"/>
        <v/>
      </c>
      <c r="P76" s="23" t="str">
        <f t="shared" si="68"/>
        <v/>
      </c>
      <c r="Q76" s="23" t="str">
        <f t="shared" si="68"/>
        <v/>
      </c>
      <c r="R76" s="23" t="str">
        <f t="shared" si="68"/>
        <v/>
      </c>
      <c r="S76" s="23" t="str">
        <f t="shared" si="68"/>
        <v/>
      </c>
      <c r="T76" s="23" t="str">
        <f t="shared" si="68"/>
        <v/>
      </c>
      <c r="U76" s="23" t="str">
        <f t="shared" si="69"/>
        <v/>
      </c>
      <c r="V76" s="23">
        <f t="shared" si="69"/>
        <v>1</v>
      </c>
      <c r="W76" s="23" t="str">
        <f t="shared" si="69"/>
        <v/>
      </c>
      <c r="X76" s="23" t="str">
        <f t="shared" si="69"/>
        <v/>
      </c>
      <c r="Y76" s="23" t="str">
        <f t="shared" si="69"/>
        <v/>
      </c>
      <c r="Z76" s="23" t="str">
        <f t="shared" si="69"/>
        <v/>
      </c>
      <c r="AA76" s="23" t="str">
        <f t="shared" si="69"/>
        <v/>
      </c>
      <c r="AB76" s="23" t="str">
        <f t="shared" si="69"/>
        <v/>
      </c>
      <c r="AC76" s="23" t="str">
        <f t="shared" si="69"/>
        <v/>
      </c>
      <c r="AD76" s="23" t="str">
        <f t="shared" si="69"/>
        <v/>
      </c>
      <c r="AE76" s="23" t="str">
        <f t="shared" si="70"/>
        <v/>
      </c>
      <c r="AF76" s="23" t="str">
        <f t="shared" si="70"/>
        <v/>
      </c>
      <c r="AG76" s="23" t="str">
        <f t="shared" si="70"/>
        <v/>
      </c>
      <c r="AH76" s="23" t="str">
        <f t="shared" si="70"/>
        <v/>
      </c>
      <c r="AI76" s="23" t="str">
        <f t="shared" si="70"/>
        <v/>
      </c>
      <c r="AJ76" s="23" t="str">
        <f t="shared" si="70"/>
        <v/>
      </c>
      <c r="AK76" s="23" t="str">
        <f t="shared" si="70"/>
        <v/>
      </c>
      <c r="AL76" s="23" t="str">
        <f t="shared" si="70"/>
        <v/>
      </c>
      <c r="AM76" s="23" t="str">
        <f t="shared" si="70"/>
        <v/>
      </c>
      <c r="AN76" s="23" t="str">
        <f t="shared" si="70"/>
        <v/>
      </c>
      <c r="AO76" s="23" t="str">
        <f t="shared" si="71"/>
        <v/>
      </c>
      <c r="AP76" s="23" t="str">
        <f t="shared" si="71"/>
        <v/>
      </c>
      <c r="AQ76" s="23" t="str">
        <f t="shared" si="71"/>
        <v/>
      </c>
      <c r="AR76" s="23" t="str">
        <f t="shared" si="71"/>
        <v/>
      </c>
      <c r="AS76" s="23" t="str">
        <f t="shared" si="71"/>
        <v/>
      </c>
      <c r="AT76" s="23" t="str">
        <f t="shared" si="71"/>
        <v/>
      </c>
      <c r="AU76" s="23" t="str">
        <f t="shared" si="71"/>
        <v/>
      </c>
      <c r="AV76" s="23" t="str">
        <f t="shared" si="71"/>
        <v/>
      </c>
      <c r="AW76" s="23" t="str">
        <f t="shared" si="71"/>
        <v/>
      </c>
      <c r="AX76" s="23" t="str">
        <f t="shared" si="71"/>
        <v/>
      </c>
      <c r="AY76" s="23" t="str">
        <f t="shared" si="72"/>
        <v/>
      </c>
      <c r="AZ76" s="23" t="str">
        <f t="shared" si="72"/>
        <v/>
      </c>
      <c r="BA76" s="23" t="str">
        <f t="shared" si="72"/>
        <v/>
      </c>
      <c r="BB76" s="23" t="str">
        <f t="shared" si="72"/>
        <v/>
      </c>
      <c r="BC76" s="23" t="str">
        <f t="shared" si="72"/>
        <v/>
      </c>
      <c r="BD76" s="23" t="str">
        <f t="shared" si="72"/>
        <v/>
      </c>
      <c r="BE76" s="23" t="str">
        <f t="shared" si="72"/>
        <v/>
      </c>
      <c r="BF76" s="23" t="str">
        <f t="shared" si="72"/>
        <v/>
      </c>
      <c r="BG76" s="23" t="str">
        <f t="shared" si="72"/>
        <v/>
      </c>
      <c r="BH76" s="23" t="str">
        <f t="shared" si="72"/>
        <v/>
      </c>
      <c r="BI76" s="23" t="str">
        <f t="shared" si="73"/>
        <v/>
      </c>
      <c r="BJ76" s="23" t="str">
        <f t="shared" si="73"/>
        <v/>
      </c>
      <c r="BK76" s="23" t="str">
        <f t="shared" si="73"/>
        <v/>
      </c>
      <c r="BL76" s="23" t="str">
        <f t="shared" si="73"/>
        <v/>
      </c>
      <c r="BM76" s="23" t="str">
        <f t="shared" si="73"/>
        <v/>
      </c>
      <c r="BN76" s="23" t="str">
        <f t="shared" si="73"/>
        <v/>
      </c>
      <c r="BO76" s="23" t="str">
        <f t="shared" si="73"/>
        <v/>
      </c>
      <c r="BP76" s="23" t="str">
        <f t="shared" si="73"/>
        <v/>
      </c>
      <c r="BQ76" s="23" t="str">
        <f t="shared" si="73"/>
        <v/>
      </c>
      <c r="BR76" s="23" t="str">
        <f t="shared" si="73"/>
        <v/>
      </c>
      <c r="BS76" s="23" t="str">
        <f t="shared" si="73"/>
        <v/>
      </c>
      <c r="BU76" s="29" t="s">
        <v>303</v>
      </c>
    </row>
    <row r="77" spans="1:73" ht="17" outlineLevel="1" x14ac:dyDescent="0.2">
      <c r="A77" s="6" t="s">
        <v>304</v>
      </c>
      <c r="B77" s="25" t="s">
        <v>305</v>
      </c>
      <c r="C77" s="6" t="s">
        <v>55</v>
      </c>
      <c r="D77" s="24" t="s">
        <v>121</v>
      </c>
      <c r="F77" s="6" t="s">
        <v>301</v>
      </c>
      <c r="G77" s="22">
        <v>13</v>
      </c>
      <c r="H77" s="22">
        <v>1</v>
      </c>
      <c r="I77" s="22">
        <f>MEDIAN($I$74,$J$74,$I$74+ROUND((G77-$G$74)/$H$74*($J$74-$I$74+1),0))</f>
        <v>13</v>
      </c>
      <c r="J77" s="22">
        <f>MEDIAN(I77,$J$74,$I$74+ROUND((G77+H77-$G$74)/$H$74*($J$74-$I$74+1),0)-1)</f>
        <v>13</v>
      </c>
      <c r="K77" s="23" t="str">
        <f t="shared" si="68"/>
        <v/>
      </c>
      <c r="L77" s="23" t="str">
        <f t="shared" si="68"/>
        <v/>
      </c>
      <c r="M77" s="23" t="str">
        <f t="shared" si="68"/>
        <v/>
      </c>
      <c r="N77" s="23" t="str">
        <f t="shared" si="68"/>
        <v/>
      </c>
      <c r="O77" s="23" t="str">
        <f t="shared" si="68"/>
        <v/>
      </c>
      <c r="P77" s="23" t="str">
        <f t="shared" si="68"/>
        <v/>
      </c>
      <c r="Q77" s="23" t="str">
        <f t="shared" si="68"/>
        <v/>
      </c>
      <c r="R77" s="23" t="str">
        <f t="shared" si="68"/>
        <v/>
      </c>
      <c r="S77" s="23" t="str">
        <f t="shared" si="68"/>
        <v/>
      </c>
      <c r="T77" s="23" t="str">
        <f t="shared" si="68"/>
        <v/>
      </c>
      <c r="U77" s="23" t="str">
        <f t="shared" si="69"/>
        <v/>
      </c>
      <c r="V77" s="23" t="str">
        <f t="shared" si="69"/>
        <v/>
      </c>
      <c r="W77" s="23">
        <f t="shared" si="69"/>
        <v>1</v>
      </c>
      <c r="X77" s="23" t="str">
        <f t="shared" si="69"/>
        <v/>
      </c>
      <c r="Y77" s="23" t="str">
        <f t="shared" si="69"/>
        <v/>
      </c>
      <c r="Z77" s="23" t="str">
        <f t="shared" si="69"/>
        <v/>
      </c>
      <c r="AA77" s="23" t="str">
        <f t="shared" si="69"/>
        <v/>
      </c>
      <c r="AB77" s="23" t="str">
        <f t="shared" si="69"/>
        <v/>
      </c>
      <c r="AC77" s="23" t="str">
        <f t="shared" si="69"/>
        <v/>
      </c>
      <c r="AD77" s="23" t="str">
        <f t="shared" si="69"/>
        <v/>
      </c>
      <c r="AE77" s="23" t="str">
        <f t="shared" si="70"/>
        <v/>
      </c>
      <c r="AF77" s="23" t="str">
        <f t="shared" si="70"/>
        <v/>
      </c>
      <c r="AG77" s="23" t="str">
        <f t="shared" si="70"/>
        <v/>
      </c>
      <c r="AH77" s="23" t="str">
        <f t="shared" si="70"/>
        <v/>
      </c>
      <c r="AI77" s="23" t="str">
        <f t="shared" si="70"/>
        <v/>
      </c>
      <c r="AJ77" s="23" t="str">
        <f t="shared" si="70"/>
        <v/>
      </c>
      <c r="AK77" s="23" t="str">
        <f t="shared" si="70"/>
        <v/>
      </c>
      <c r="AL77" s="23" t="str">
        <f t="shared" si="70"/>
        <v/>
      </c>
      <c r="AM77" s="23" t="str">
        <f t="shared" si="70"/>
        <v/>
      </c>
      <c r="AN77" s="23" t="str">
        <f t="shared" si="70"/>
        <v/>
      </c>
      <c r="AO77" s="23" t="str">
        <f t="shared" si="71"/>
        <v/>
      </c>
      <c r="AP77" s="23" t="str">
        <f t="shared" si="71"/>
        <v/>
      </c>
      <c r="AQ77" s="23" t="str">
        <f t="shared" si="71"/>
        <v/>
      </c>
      <c r="AR77" s="23" t="str">
        <f t="shared" si="71"/>
        <v/>
      </c>
      <c r="AS77" s="23" t="str">
        <f t="shared" si="71"/>
        <v/>
      </c>
      <c r="AT77" s="23" t="str">
        <f t="shared" si="71"/>
        <v/>
      </c>
      <c r="AU77" s="23" t="str">
        <f t="shared" si="71"/>
        <v/>
      </c>
      <c r="AV77" s="23" t="str">
        <f t="shared" si="71"/>
        <v/>
      </c>
      <c r="AW77" s="23" t="str">
        <f t="shared" si="71"/>
        <v/>
      </c>
      <c r="AX77" s="23" t="str">
        <f t="shared" si="71"/>
        <v/>
      </c>
      <c r="AY77" s="23" t="str">
        <f t="shared" si="72"/>
        <v/>
      </c>
      <c r="AZ77" s="23" t="str">
        <f t="shared" si="72"/>
        <v/>
      </c>
      <c r="BA77" s="23" t="str">
        <f t="shared" si="72"/>
        <v/>
      </c>
      <c r="BB77" s="23" t="str">
        <f t="shared" si="72"/>
        <v/>
      </c>
      <c r="BC77" s="23" t="str">
        <f t="shared" si="72"/>
        <v/>
      </c>
      <c r="BD77" s="23" t="str">
        <f t="shared" si="72"/>
        <v/>
      </c>
      <c r="BE77" s="23" t="str">
        <f t="shared" si="72"/>
        <v/>
      </c>
      <c r="BF77" s="23" t="str">
        <f t="shared" si="72"/>
        <v/>
      </c>
      <c r="BG77" s="23" t="str">
        <f t="shared" si="72"/>
        <v/>
      </c>
      <c r="BH77" s="23" t="str">
        <f t="shared" si="72"/>
        <v/>
      </c>
      <c r="BI77" s="23" t="str">
        <f t="shared" si="73"/>
        <v/>
      </c>
      <c r="BJ77" s="23" t="str">
        <f t="shared" si="73"/>
        <v/>
      </c>
      <c r="BK77" s="23" t="str">
        <f t="shared" si="73"/>
        <v/>
      </c>
      <c r="BL77" s="23" t="str">
        <f t="shared" si="73"/>
        <v/>
      </c>
      <c r="BM77" s="23" t="str">
        <f t="shared" si="73"/>
        <v/>
      </c>
      <c r="BN77" s="23" t="str">
        <f t="shared" si="73"/>
        <v/>
      </c>
      <c r="BO77" s="23" t="str">
        <f t="shared" si="73"/>
        <v/>
      </c>
      <c r="BP77" s="23" t="str">
        <f t="shared" si="73"/>
        <v/>
      </c>
      <c r="BQ77" s="23" t="str">
        <f t="shared" si="73"/>
        <v/>
      </c>
      <c r="BR77" s="23" t="str">
        <f t="shared" si="73"/>
        <v/>
      </c>
      <c r="BS77" s="23" t="str">
        <f t="shared" si="73"/>
        <v/>
      </c>
      <c r="BU77" s="29" t="s">
        <v>306</v>
      </c>
    </row>
    <row r="78" spans="1:73" ht="17" outlineLevel="1" x14ac:dyDescent="0.2">
      <c r="A78" s="6" t="s">
        <v>307</v>
      </c>
      <c r="B78" s="25" t="s">
        <v>308</v>
      </c>
      <c r="C78" s="6" t="s">
        <v>55</v>
      </c>
      <c r="D78" s="24" t="s">
        <v>121</v>
      </c>
      <c r="F78" s="6" t="s">
        <v>304</v>
      </c>
      <c r="G78" s="22">
        <v>14</v>
      </c>
      <c r="H78" s="22">
        <v>1</v>
      </c>
      <c r="I78" s="22">
        <f>MEDIAN($I$74,$J$74,$I$74+ROUND((G78-$G$74)/$H$74*($J$74-$I$74+1),0))</f>
        <v>14</v>
      </c>
      <c r="J78" s="22">
        <f>MEDIAN(I78,$J$74,$I$74+ROUND((G78+H78-$G$74)/$H$74*($J$74-$I$74+1),0)-1)</f>
        <v>14</v>
      </c>
      <c r="K78" s="23" t="str">
        <f t="shared" si="68"/>
        <v/>
      </c>
      <c r="L78" s="23" t="str">
        <f t="shared" si="68"/>
        <v/>
      </c>
      <c r="M78" s="23" t="str">
        <f t="shared" si="68"/>
        <v/>
      </c>
      <c r="N78" s="23" t="str">
        <f t="shared" si="68"/>
        <v/>
      </c>
      <c r="O78" s="23" t="str">
        <f t="shared" si="68"/>
        <v/>
      </c>
      <c r="P78" s="23" t="str">
        <f t="shared" si="68"/>
        <v/>
      </c>
      <c r="Q78" s="23" t="str">
        <f t="shared" si="68"/>
        <v/>
      </c>
      <c r="R78" s="23" t="str">
        <f t="shared" si="68"/>
        <v/>
      </c>
      <c r="S78" s="23" t="str">
        <f t="shared" si="68"/>
        <v/>
      </c>
      <c r="T78" s="23" t="str">
        <f t="shared" si="68"/>
        <v/>
      </c>
      <c r="U78" s="23" t="str">
        <f t="shared" si="69"/>
        <v/>
      </c>
      <c r="V78" s="23" t="str">
        <f t="shared" si="69"/>
        <v/>
      </c>
      <c r="W78" s="23" t="str">
        <f t="shared" si="69"/>
        <v/>
      </c>
      <c r="X78" s="23">
        <f t="shared" si="69"/>
        <v>1</v>
      </c>
      <c r="Y78" s="23" t="str">
        <f t="shared" si="69"/>
        <v/>
      </c>
      <c r="Z78" s="23" t="str">
        <f t="shared" si="69"/>
        <v/>
      </c>
      <c r="AA78" s="23" t="str">
        <f t="shared" si="69"/>
        <v/>
      </c>
      <c r="AB78" s="23" t="str">
        <f t="shared" si="69"/>
        <v/>
      </c>
      <c r="AC78" s="23" t="str">
        <f t="shared" si="69"/>
        <v/>
      </c>
      <c r="AD78" s="23" t="str">
        <f t="shared" si="69"/>
        <v/>
      </c>
      <c r="AE78" s="23" t="str">
        <f t="shared" si="70"/>
        <v/>
      </c>
      <c r="AF78" s="23" t="str">
        <f t="shared" si="70"/>
        <v/>
      </c>
      <c r="AG78" s="23" t="str">
        <f t="shared" si="70"/>
        <v/>
      </c>
      <c r="AH78" s="23" t="str">
        <f t="shared" si="70"/>
        <v/>
      </c>
      <c r="AI78" s="23" t="str">
        <f t="shared" si="70"/>
        <v/>
      </c>
      <c r="AJ78" s="23" t="str">
        <f t="shared" si="70"/>
        <v/>
      </c>
      <c r="AK78" s="23" t="str">
        <f t="shared" si="70"/>
        <v/>
      </c>
      <c r="AL78" s="23" t="str">
        <f t="shared" si="70"/>
        <v/>
      </c>
      <c r="AM78" s="23" t="str">
        <f t="shared" si="70"/>
        <v/>
      </c>
      <c r="AN78" s="23" t="str">
        <f t="shared" si="70"/>
        <v/>
      </c>
      <c r="AO78" s="23" t="str">
        <f t="shared" si="71"/>
        <v/>
      </c>
      <c r="AP78" s="23" t="str">
        <f t="shared" si="71"/>
        <v/>
      </c>
      <c r="AQ78" s="23" t="str">
        <f t="shared" si="71"/>
        <v/>
      </c>
      <c r="AR78" s="23" t="str">
        <f t="shared" si="71"/>
        <v/>
      </c>
      <c r="AS78" s="23" t="str">
        <f t="shared" si="71"/>
        <v/>
      </c>
      <c r="AT78" s="23" t="str">
        <f t="shared" si="71"/>
        <v/>
      </c>
      <c r="AU78" s="23" t="str">
        <f t="shared" si="71"/>
        <v/>
      </c>
      <c r="AV78" s="23" t="str">
        <f t="shared" si="71"/>
        <v/>
      </c>
      <c r="AW78" s="23" t="str">
        <f t="shared" si="71"/>
        <v/>
      </c>
      <c r="AX78" s="23" t="str">
        <f t="shared" si="71"/>
        <v/>
      </c>
      <c r="AY78" s="23" t="str">
        <f t="shared" si="72"/>
        <v/>
      </c>
      <c r="AZ78" s="23" t="str">
        <f t="shared" si="72"/>
        <v/>
      </c>
      <c r="BA78" s="23" t="str">
        <f t="shared" si="72"/>
        <v/>
      </c>
      <c r="BB78" s="23" t="str">
        <f t="shared" si="72"/>
        <v/>
      </c>
      <c r="BC78" s="23" t="str">
        <f t="shared" si="72"/>
        <v/>
      </c>
      <c r="BD78" s="23" t="str">
        <f t="shared" si="72"/>
        <v/>
      </c>
      <c r="BE78" s="23" t="str">
        <f t="shared" si="72"/>
        <v/>
      </c>
      <c r="BF78" s="23" t="str">
        <f t="shared" si="72"/>
        <v/>
      </c>
      <c r="BG78" s="23" t="str">
        <f t="shared" si="72"/>
        <v/>
      </c>
      <c r="BH78" s="23" t="str">
        <f t="shared" si="72"/>
        <v/>
      </c>
      <c r="BI78" s="23" t="str">
        <f t="shared" si="73"/>
        <v/>
      </c>
      <c r="BJ78" s="23" t="str">
        <f t="shared" si="73"/>
        <v/>
      </c>
      <c r="BK78" s="23" t="str">
        <f t="shared" si="73"/>
        <v/>
      </c>
      <c r="BL78" s="23" t="str">
        <f t="shared" si="73"/>
        <v/>
      </c>
      <c r="BM78" s="23" t="str">
        <f t="shared" si="73"/>
        <v/>
      </c>
      <c r="BN78" s="23" t="str">
        <f t="shared" si="73"/>
        <v/>
      </c>
      <c r="BO78" s="23" t="str">
        <f t="shared" si="73"/>
        <v/>
      </c>
      <c r="BP78" s="23" t="str">
        <f t="shared" si="73"/>
        <v/>
      </c>
      <c r="BQ78" s="23" t="str">
        <f t="shared" si="73"/>
        <v/>
      </c>
      <c r="BR78" s="23" t="str">
        <f t="shared" si="73"/>
        <v/>
      </c>
      <c r="BS78" s="23" t="str">
        <f t="shared" si="73"/>
        <v/>
      </c>
      <c r="BU78" s="29" t="s">
        <v>309</v>
      </c>
    </row>
    <row r="79" spans="1:73" ht="34" outlineLevel="1" x14ac:dyDescent="0.2">
      <c r="A79" s="6" t="s">
        <v>310</v>
      </c>
      <c r="B79" s="25" t="s">
        <v>311</v>
      </c>
      <c r="C79" s="6" t="s">
        <v>55</v>
      </c>
      <c r="D79" s="24" t="s">
        <v>121</v>
      </c>
      <c r="F79" s="6" t="s">
        <v>307</v>
      </c>
      <c r="G79" s="22">
        <v>15</v>
      </c>
      <c r="H79" s="22">
        <v>1</v>
      </c>
      <c r="I79" s="22">
        <f>MEDIAN($I$74,$J$74,$I$74+ROUND((G79-$G$74)/$H$74*($J$74-$I$74+1),0))</f>
        <v>15</v>
      </c>
      <c r="J79" s="22">
        <f>MEDIAN(I79,$J$74,$I$74+ROUND((G79+H79-$G$74)/$H$74*($J$74-$I$74+1),0)-1)</f>
        <v>15</v>
      </c>
      <c r="K79" s="23" t="str">
        <f t="shared" si="68"/>
        <v/>
      </c>
      <c r="L79" s="23" t="str">
        <f t="shared" si="68"/>
        <v/>
      </c>
      <c r="M79" s="23" t="str">
        <f t="shared" si="68"/>
        <v/>
      </c>
      <c r="N79" s="23" t="str">
        <f t="shared" si="68"/>
        <v/>
      </c>
      <c r="O79" s="23" t="str">
        <f t="shared" si="68"/>
        <v/>
      </c>
      <c r="P79" s="23" t="str">
        <f t="shared" si="68"/>
        <v/>
      </c>
      <c r="Q79" s="23" t="str">
        <f t="shared" si="68"/>
        <v/>
      </c>
      <c r="R79" s="23" t="str">
        <f t="shared" si="68"/>
        <v/>
      </c>
      <c r="S79" s="23" t="str">
        <f t="shared" si="68"/>
        <v/>
      </c>
      <c r="T79" s="23" t="str">
        <f t="shared" si="68"/>
        <v/>
      </c>
      <c r="U79" s="23" t="str">
        <f t="shared" si="69"/>
        <v/>
      </c>
      <c r="V79" s="23" t="str">
        <f t="shared" si="69"/>
        <v/>
      </c>
      <c r="W79" s="23" t="str">
        <f t="shared" si="69"/>
        <v/>
      </c>
      <c r="X79" s="23" t="str">
        <f t="shared" si="69"/>
        <v/>
      </c>
      <c r="Y79" s="23">
        <f t="shared" si="69"/>
        <v>1</v>
      </c>
      <c r="Z79" s="23" t="str">
        <f t="shared" si="69"/>
        <v/>
      </c>
      <c r="AA79" s="23" t="str">
        <f t="shared" si="69"/>
        <v/>
      </c>
      <c r="AB79" s="23" t="str">
        <f t="shared" si="69"/>
        <v/>
      </c>
      <c r="AC79" s="23" t="str">
        <f t="shared" si="69"/>
        <v/>
      </c>
      <c r="AD79" s="23" t="str">
        <f t="shared" si="69"/>
        <v/>
      </c>
      <c r="AE79" s="23" t="str">
        <f t="shared" si="70"/>
        <v/>
      </c>
      <c r="AF79" s="23" t="str">
        <f t="shared" si="70"/>
        <v/>
      </c>
      <c r="AG79" s="23" t="str">
        <f t="shared" si="70"/>
        <v/>
      </c>
      <c r="AH79" s="23" t="str">
        <f t="shared" si="70"/>
        <v/>
      </c>
      <c r="AI79" s="23" t="str">
        <f t="shared" si="70"/>
        <v/>
      </c>
      <c r="AJ79" s="23" t="str">
        <f t="shared" si="70"/>
        <v/>
      </c>
      <c r="AK79" s="23" t="str">
        <f t="shared" si="70"/>
        <v/>
      </c>
      <c r="AL79" s="23" t="str">
        <f t="shared" si="70"/>
        <v/>
      </c>
      <c r="AM79" s="23" t="str">
        <f t="shared" si="70"/>
        <v/>
      </c>
      <c r="AN79" s="23" t="str">
        <f t="shared" si="70"/>
        <v/>
      </c>
      <c r="AO79" s="23" t="str">
        <f t="shared" si="71"/>
        <v/>
      </c>
      <c r="AP79" s="23" t="str">
        <f t="shared" si="71"/>
        <v/>
      </c>
      <c r="AQ79" s="23" t="str">
        <f t="shared" si="71"/>
        <v/>
      </c>
      <c r="AR79" s="23" t="str">
        <f t="shared" si="71"/>
        <v/>
      </c>
      <c r="AS79" s="23" t="str">
        <f t="shared" si="71"/>
        <v/>
      </c>
      <c r="AT79" s="23" t="str">
        <f t="shared" si="71"/>
        <v/>
      </c>
      <c r="AU79" s="23" t="str">
        <f t="shared" si="71"/>
        <v/>
      </c>
      <c r="AV79" s="23" t="str">
        <f t="shared" si="71"/>
        <v/>
      </c>
      <c r="AW79" s="23" t="str">
        <f t="shared" si="71"/>
        <v/>
      </c>
      <c r="AX79" s="23" t="str">
        <f t="shared" si="71"/>
        <v/>
      </c>
      <c r="AY79" s="23" t="str">
        <f t="shared" si="72"/>
        <v/>
      </c>
      <c r="AZ79" s="23" t="str">
        <f t="shared" si="72"/>
        <v/>
      </c>
      <c r="BA79" s="23" t="str">
        <f t="shared" si="72"/>
        <v/>
      </c>
      <c r="BB79" s="23" t="str">
        <f t="shared" si="72"/>
        <v/>
      </c>
      <c r="BC79" s="23" t="str">
        <f t="shared" si="72"/>
        <v/>
      </c>
      <c r="BD79" s="23" t="str">
        <f t="shared" si="72"/>
        <v/>
      </c>
      <c r="BE79" s="23" t="str">
        <f t="shared" si="72"/>
        <v/>
      </c>
      <c r="BF79" s="23" t="str">
        <f t="shared" si="72"/>
        <v/>
      </c>
      <c r="BG79" s="23" t="str">
        <f t="shared" si="72"/>
        <v/>
      </c>
      <c r="BH79" s="23" t="str">
        <f t="shared" si="72"/>
        <v/>
      </c>
      <c r="BI79" s="23" t="str">
        <f t="shared" si="73"/>
        <v/>
      </c>
      <c r="BJ79" s="23" t="str">
        <f t="shared" si="73"/>
        <v/>
      </c>
      <c r="BK79" s="23" t="str">
        <f t="shared" si="73"/>
        <v/>
      </c>
      <c r="BL79" s="23" t="str">
        <f t="shared" si="73"/>
        <v/>
      </c>
      <c r="BM79" s="23" t="str">
        <f t="shared" si="73"/>
        <v/>
      </c>
      <c r="BN79" s="23" t="str">
        <f t="shared" si="73"/>
        <v/>
      </c>
      <c r="BO79" s="23" t="str">
        <f t="shared" si="73"/>
        <v/>
      </c>
      <c r="BP79" s="23" t="str">
        <f t="shared" si="73"/>
        <v/>
      </c>
      <c r="BQ79" s="23" t="str">
        <f t="shared" si="73"/>
        <v/>
      </c>
      <c r="BR79" s="23" t="str">
        <f t="shared" si="73"/>
        <v/>
      </c>
      <c r="BS79" s="23" t="str">
        <f t="shared" si="73"/>
        <v/>
      </c>
      <c r="BU79" s="29" t="s">
        <v>312</v>
      </c>
    </row>
    <row r="80" spans="1:73" x14ac:dyDescent="0.2">
      <c r="BU80" s="30"/>
    </row>
    <row r="81" spans="1:73" ht="17" x14ac:dyDescent="0.2">
      <c r="A81" s="19" t="s">
        <v>313</v>
      </c>
      <c r="B81" s="20" t="s">
        <v>314</v>
      </c>
      <c r="C81" s="19" t="s">
        <v>55</v>
      </c>
      <c r="D81" s="21" t="s">
        <v>117</v>
      </c>
      <c r="E81" s="19" t="s">
        <v>80</v>
      </c>
      <c r="F81" s="19"/>
      <c r="G81" s="22">
        <v>6</v>
      </c>
      <c r="H81" s="22">
        <v>10</v>
      </c>
      <c r="I81" s="22">
        <f>MIN(61,IF(G81&lt;=29,ROUND((G81-1)*(29+SlipWeeks)/29,0)+1,G81+SlipWeeks))</f>
        <v>6</v>
      </c>
      <c r="J81" s="22">
        <f>MIN(61,IF(G81+H81-1&lt;=29,MAX(ROUND((G81+H81-1)*(29+SlipWeeks)/29,0),I81),G81+H81-1+SlipWeeks))</f>
        <v>15</v>
      </c>
      <c r="K81" s="23" t="str">
        <f t="shared" ref="K81:T86" si="74">IF(AND(K$4&gt;=$I81,K$4&lt;=$J81),1,"")</f>
        <v/>
      </c>
      <c r="L81" s="23" t="str">
        <f t="shared" si="74"/>
        <v/>
      </c>
      <c r="M81" s="23" t="str">
        <f t="shared" si="74"/>
        <v/>
      </c>
      <c r="N81" s="23" t="str">
        <f t="shared" si="74"/>
        <v/>
      </c>
      <c r="O81" s="23" t="str">
        <f t="shared" si="74"/>
        <v/>
      </c>
      <c r="P81" s="23">
        <f t="shared" si="74"/>
        <v>1</v>
      </c>
      <c r="Q81" s="23">
        <f t="shared" si="74"/>
        <v>1</v>
      </c>
      <c r="R81" s="23">
        <f t="shared" si="74"/>
        <v>1</v>
      </c>
      <c r="S81" s="23">
        <f t="shared" si="74"/>
        <v>1</v>
      </c>
      <c r="T81" s="23">
        <f t="shared" si="74"/>
        <v>1</v>
      </c>
      <c r="U81" s="23">
        <f t="shared" ref="U81:AD86" si="75">IF(AND(U$4&gt;=$I81,U$4&lt;=$J81),1,"")</f>
        <v>1</v>
      </c>
      <c r="V81" s="23">
        <f t="shared" si="75"/>
        <v>1</v>
      </c>
      <c r="W81" s="23">
        <f t="shared" si="75"/>
        <v>1</v>
      </c>
      <c r="X81" s="23">
        <f t="shared" si="75"/>
        <v>1</v>
      </c>
      <c r="Y81" s="23">
        <f t="shared" si="75"/>
        <v>1</v>
      </c>
      <c r="Z81" s="23" t="str">
        <f t="shared" si="75"/>
        <v/>
      </c>
      <c r="AA81" s="23" t="str">
        <f t="shared" si="75"/>
        <v/>
      </c>
      <c r="AB81" s="23" t="str">
        <f t="shared" si="75"/>
        <v/>
      </c>
      <c r="AC81" s="23" t="str">
        <f t="shared" si="75"/>
        <v/>
      </c>
      <c r="AD81" s="23" t="str">
        <f t="shared" si="75"/>
        <v/>
      </c>
      <c r="AE81" s="23" t="str">
        <f t="shared" ref="AE81:AN86" si="76">IF(AND(AE$4&gt;=$I81,AE$4&lt;=$J81),1,"")</f>
        <v/>
      </c>
      <c r="AF81" s="23" t="str">
        <f t="shared" si="76"/>
        <v/>
      </c>
      <c r="AG81" s="23" t="str">
        <f t="shared" si="76"/>
        <v/>
      </c>
      <c r="AH81" s="23" t="str">
        <f t="shared" si="76"/>
        <v/>
      </c>
      <c r="AI81" s="23" t="str">
        <f t="shared" si="76"/>
        <v/>
      </c>
      <c r="AJ81" s="23" t="str">
        <f t="shared" si="76"/>
        <v/>
      </c>
      <c r="AK81" s="23" t="str">
        <f t="shared" si="76"/>
        <v/>
      </c>
      <c r="AL81" s="23" t="str">
        <f t="shared" si="76"/>
        <v/>
      </c>
      <c r="AM81" s="23" t="str">
        <f t="shared" si="76"/>
        <v/>
      </c>
      <c r="AN81" s="23" t="str">
        <f t="shared" si="76"/>
        <v/>
      </c>
      <c r="AO81" s="23" t="str">
        <f t="shared" ref="AO81:AX86" si="77">IF(AND(AO$4&gt;=$I81,AO$4&lt;=$J81),1,"")</f>
        <v/>
      </c>
      <c r="AP81" s="23" t="str">
        <f t="shared" si="77"/>
        <v/>
      </c>
      <c r="AQ81" s="23" t="str">
        <f t="shared" si="77"/>
        <v/>
      </c>
      <c r="AR81" s="23" t="str">
        <f t="shared" si="77"/>
        <v/>
      </c>
      <c r="AS81" s="23" t="str">
        <f t="shared" si="77"/>
        <v/>
      </c>
      <c r="AT81" s="23" t="str">
        <f t="shared" si="77"/>
        <v/>
      </c>
      <c r="AU81" s="23" t="str">
        <f t="shared" si="77"/>
        <v/>
      </c>
      <c r="AV81" s="23" t="str">
        <f t="shared" si="77"/>
        <v/>
      </c>
      <c r="AW81" s="23" t="str">
        <f t="shared" si="77"/>
        <v/>
      </c>
      <c r="AX81" s="23" t="str">
        <f t="shared" si="77"/>
        <v/>
      </c>
      <c r="AY81" s="23" t="str">
        <f t="shared" ref="AY81:BH86" si="78">IF(AND(AY$4&gt;=$I81,AY$4&lt;=$J81),1,"")</f>
        <v/>
      </c>
      <c r="AZ81" s="23" t="str">
        <f t="shared" si="78"/>
        <v/>
      </c>
      <c r="BA81" s="23" t="str">
        <f t="shared" si="78"/>
        <v/>
      </c>
      <c r="BB81" s="23" t="str">
        <f t="shared" si="78"/>
        <v/>
      </c>
      <c r="BC81" s="23" t="str">
        <f t="shared" si="78"/>
        <v/>
      </c>
      <c r="BD81" s="23" t="str">
        <f t="shared" si="78"/>
        <v/>
      </c>
      <c r="BE81" s="23" t="str">
        <f t="shared" si="78"/>
        <v/>
      </c>
      <c r="BF81" s="23" t="str">
        <f t="shared" si="78"/>
        <v/>
      </c>
      <c r="BG81" s="23" t="str">
        <f t="shared" si="78"/>
        <v/>
      </c>
      <c r="BH81" s="23" t="str">
        <f t="shared" si="78"/>
        <v/>
      </c>
      <c r="BI81" s="23" t="str">
        <f t="shared" ref="BI81:BS86" si="79">IF(AND(BI$4&gt;=$I81,BI$4&lt;=$J81),1,"")</f>
        <v/>
      </c>
      <c r="BJ81" s="23" t="str">
        <f t="shared" si="79"/>
        <v/>
      </c>
      <c r="BK81" s="23" t="str">
        <f t="shared" si="79"/>
        <v/>
      </c>
      <c r="BL81" s="23" t="str">
        <f t="shared" si="79"/>
        <v/>
      </c>
      <c r="BM81" s="23" t="str">
        <f t="shared" si="79"/>
        <v/>
      </c>
      <c r="BN81" s="23" t="str">
        <f t="shared" si="79"/>
        <v/>
      </c>
      <c r="BO81" s="23" t="str">
        <f t="shared" si="79"/>
        <v/>
      </c>
      <c r="BP81" s="23" t="str">
        <f t="shared" si="79"/>
        <v/>
      </c>
      <c r="BQ81" s="23" t="str">
        <f t="shared" si="79"/>
        <v/>
      </c>
      <c r="BR81" s="23" t="str">
        <f t="shared" si="79"/>
        <v/>
      </c>
      <c r="BS81" s="23" t="str">
        <f t="shared" si="79"/>
        <v/>
      </c>
      <c r="BT81" s="24" t="str">
        <f>IF(IF(G81+H81-1&lt;=29,MAX(ROUND((G81+H81-1)*(29+SlipWeeks)/29,0),$I81),G81+H81-1+SlipWeeks)&gt;61,"▶ clipped","")</f>
        <v/>
      </c>
      <c r="BU81" s="29" t="s">
        <v>315</v>
      </c>
    </row>
    <row r="82" spans="1:73" ht="17" outlineLevel="1" x14ac:dyDescent="0.2">
      <c r="A82" s="6" t="s">
        <v>316</v>
      </c>
      <c r="B82" s="25" t="s">
        <v>317</v>
      </c>
      <c r="C82" s="6" t="s">
        <v>55</v>
      </c>
      <c r="D82" s="24" t="s">
        <v>121</v>
      </c>
      <c r="F82" s="6"/>
      <c r="G82" s="22">
        <v>6</v>
      </c>
      <c r="H82" s="22">
        <v>2</v>
      </c>
      <c r="I82" s="22">
        <f>MEDIAN($I$81,$J$81,$I$81+ROUND((G82-$G$81)/$H$81*($J$81-$I$81+1),0))</f>
        <v>6</v>
      </c>
      <c r="J82" s="22">
        <f>MEDIAN(I82,$J$81,$I$81+ROUND((G82+H82-$G$81)/$H$81*($J$81-$I$81+1),0)-1)</f>
        <v>7</v>
      </c>
      <c r="K82" s="23" t="str">
        <f t="shared" si="74"/>
        <v/>
      </c>
      <c r="L82" s="23" t="str">
        <f t="shared" si="74"/>
        <v/>
      </c>
      <c r="M82" s="23" t="str">
        <f t="shared" si="74"/>
        <v/>
      </c>
      <c r="N82" s="23" t="str">
        <f t="shared" si="74"/>
        <v/>
      </c>
      <c r="O82" s="23" t="str">
        <f t="shared" si="74"/>
        <v/>
      </c>
      <c r="P82" s="23">
        <f t="shared" si="74"/>
        <v>1</v>
      </c>
      <c r="Q82" s="23">
        <f t="shared" si="74"/>
        <v>1</v>
      </c>
      <c r="R82" s="23" t="str">
        <f t="shared" si="74"/>
        <v/>
      </c>
      <c r="S82" s="23" t="str">
        <f t="shared" si="74"/>
        <v/>
      </c>
      <c r="T82" s="23" t="str">
        <f t="shared" si="74"/>
        <v/>
      </c>
      <c r="U82" s="23" t="str">
        <f t="shared" si="75"/>
        <v/>
      </c>
      <c r="V82" s="23" t="str">
        <f t="shared" si="75"/>
        <v/>
      </c>
      <c r="W82" s="23" t="str">
        <f t="shared" si="75"/>
        <v/>
      </c>
      <c r="X82" s="23" t="str">
        <f t="shared" si="75"/>
        <v/>
      </c>
      <c r="Y82" s="23" t="str">
        <f t="shared" si="75"/>
        <v/>
      </c>
      <c r="Z82" s="23" t="str">
        <f t="shared" si="75"/>
        <v/>
      </c>
      <c r="AA82" s="23" t="str">
        <f t="shared" si="75"/>
        <v/>
      </c>
      <c r="AB82" s="23" t="str">
        <f t="shared" si="75"/>
        <v/>
      </c>
      <c r="AC82" s="23" t="str">
        <f t="shared" si="75"/>
        <v/>
      </c>
      <c r="AD82" s="23" t="str">
        <f t="shared" si="75"/>
        <v/>
      </c>
      <c r="AE82" s="23" t="str">
        <f t="shared" si="76"/>
        <v/>
      </c>
      <c r="AF82" s="23" t="str">
        <f t="shared" si="76"/>
        <v/>
      </c>
      <c r="AG82" s="23" t="str">
        <f t="shared" si="76"/>
        <v/>
      </c>
      <c r="AH82" s="23" t="str">
        <f t="shared" si="76"/>
        <v/>
      </c>
      <c r="AI82" s="23" t="str">
        <f t="shared" si="76"/>
        <v/>
      </c>
      <c r="AJ82" s="23" t="str">
        <f t="shared" si="76"/>
        <v/>
      </c>
      <c r="AK82" s="23" t="str">
        <f t="shared" si="76"/>
        <v/>
      </c>
      <c r="AL82" s="23" t="str">
        <f t="shared" si="76"/>
        <v/>
      </c>
      <c r="AM82" s="23" t="str">
        <f t="shared" si="76"/>
        <v/>
      </c>
      <c r="AN82" s="23" t="str">
        <f t="shared" si="76"/>
        <v/>
      </c>
      <c r="AO82" s="23" t="str">
        <f t="shared" si="77"/>
        <v/>
      </c>
      <c r="AP82" s="23" t="str">
        <f t="shared" si="77"/>
        <v/>
      </c>
      <c r="AQ82" s="23" t="str">
        <f t="shared" si="77"/>
        <v/>
      </c>
      <c r="AR82" s="23" t="str">
        <f t="shared" si="77"/>
        <v/>
      </c>
      <c r="AS82" s="23" t="str">
        <f t="shared" si="77"/>
        <v/>
      </c>
      <c r="AT82" s="23" t="str">
        <f t="shared" si="77"/>
        <v/>
      </c>
      <c r="AU82" s="23" t="str">
        <f t="shared" si="77"/>
        <v/>
      </c>
      <c r="AV82" s="23" t="str">
        <f t="shared" si="77"/>
        <v/>
      </c>
      <c r="AW82" s="23" t="str">
        <f t="shared" si="77"/>
        <v/>
      </c>
      <c r="AX82" s="23" t="str">
        <f t="shared" si="77"/>
        <v/>
      </c>
      <c r="AY82" s="23" t="str">
        <f t="shared" si="78"/>
        <v/>
      </c>
      <c r="AZ82" s="23" t="str">
        <f t="shared" si="78"/>
        <v/>
      </c>
      <c r="BA82" s="23" t="str">
        <f t="shared" si="78"/>
        <v/>
      </c>
      <c r="BB82" s="23" t="str">
        <f t="shared" si="78"/>
        <v/>
      </c>
      <c r="BC82" s="23" t="str">
        <f t="shared" si="78"/>
        <v/>
      </c>
      <c r="BD82" s="23" t="str">
        <f t="shared" si="78"/>
        <v/>
      </c>
      <c r="BE82" s="23" t="str">
        <f t="shared" si="78"/>
        <v/>
      </c>
      <c r="BF82" s="23" t="str">
        <f t="shared" si="78"/>
        <v/>
      </c>
      <c r="BG82" s="23" t="str">
        <f t="shared" si="78"/>
        <v/>
      </c>
      <c r="BH82" s="23" t="str">
        <f t="shared" si="78"/>
        <v/>
      </c>
      <c r="BI82" s="23" t="str">
        <f t="shared" si="79"/>
        <v/>
      </c>
      <c r="BJ82" s="23" t="str">
        <f t="shared" si="79"/>
        <v/>
      </c>
      <c r="BK82" s="23" t="str">
        <f t="shared" si="79"/>
        <v/>
      </c>
      <c r="BL82" s="23" t="str">
        <f t="shared" si="79"/>
        <v/>
      </c>
      <c r="BM82" s="23" t="str">
        <f t="shared" si="79"/>
        <v/>
      </c>
      <c r="BN82" s="23" t="str">
        <f t="shared" si="79"/>
        <v/>
      </c>
      <c r="BO82" s="23" t="str">
        <f t="shared" si="79"/>
        <v/>
      </c>
      <c r="BP82" s="23" t="str">
        <f t="shared" si="79"/>
        <v/>
      </c>
      <c r="BQ82" s="23" t="str">
        <f t="shared" si="79"/>
        <v/>
      </c>
      <c r="BR82" s="23" t="str">
        <f t="shared" si="79"/>
        <v/>
      </c>
      <c r="BS82" s="23" t="str">
        <f t="shared" si="79"/>
        <v/>
      </c>
      <c r="BU82" s="29" t="s">
        <v>318</v>
      </c>
    </row>
    <row r="83" spans="1:73" ht="34" outlineLevel="1" x14ac:dyDescent="0.2">
      <c r="A83" s="6" t="s">
        <v>319</v>
      </c>
      <c r="B83" s="25" t="s">
        <v>320</v>
      </c>
      <c r="C83" s="6" t="s">
        <v>55</v>
      </c>
      <c r="D83" s="24" t="s">
        <v>121</v>
      </c>
      <c r="F83" s="6" t="s">
        <v>316</v>
      </c>
      <c r="G83" s="22">
        <v>8</v>
      </c>
      <c r="H83" s="22">
        <v>2</v>
      </c>
      <c r="I83" s="22">
        <f>MEDIAN($I$81,$J$81,$I$81+ROUND((G83-$G$81)/$H$81*($J$81-$I$81+1),0))</f>
        <v>8</v>
      </c>
      <c r="J83" s="22">
        <f>MEDIAN(I83,$J$81,$I$81+ROUND((G83+H83-$G$81)/$H$81*($J$81-$I$81+1),0)-1)</f>
        <v>9</v>
      </c>
      <c r="K83" s="23" t="str">
        <f t="shared" si="74"/>
        <v/>
      </c>
      <c r="L83" s="23" t="str">
        <f t="shared" si="74"/>
        <v/>
      </c>
      <c r="M83" s="23" t="str">
        <f t="shared" si="74"/>
        <v/>
      </c>
      <c r="N83" s="23" t="str">
        <f t="shared" si="74"/>
        <v/>
      </c>
      <c r="O83" s="23" t="str">
        <f t="shared" si="74"/>
        <v/>
      </c>
      <c r="P83" s="23" t="str">
        <f t="shared" si="74"/>
        <v/>
      </c>
      <c r="Q83" s="23" t="str">
        <f t="shared" si="74"/>
        <v/>
      </c>
      <c r="R83" s="23">
        <f t="shared" si="74"/>
        <v>1</v>
      </c>
      <c r="S83" s="23">
        <f t="shared" si="74"/>
        <v>1</v>
      </c>
      <c r="T83" s="23" t="str">
        <f t="shared" si="74"/>
        <v/>
      </c>
      <c r="U83" s="23" t="str">
        <f t="shared" si="75"/>
        <v/>
      </c>
      <c r="V83" s="23" t="str">
        <f t="shared" si="75"/>
        <v/>
      </c>
      <c r="W83" s="23" t="str">
        <f t="shared" si="75"/>
        <v/>
      </c>
      <c r="X83" s="23" t="str">
        <f t="shared" si="75"/>
        <v/>
      </c>
      <c r="Y83" s="23" t="str">
        <f t="shared" si="75"/>
        <v/>
      </c>
      <c r="Z83" s="23" t="str">
        <f t="shared" si="75"/>
        <v/>
      </c>
      <c r="AA83" s="23" t="str">
        <f t="shared" si="75"/>
        <v/>
      </c>
      <c r="AB83" s="23" t="str">
        <f t="shared" si="75"/>
        <v/>
      </c>
      <c r="AC83" s="23" t="str">
        <f t="shared" si="75"/>
        <v/>
      </c>
      <c r="AD83" s="23" t="str">
        <f t="shared" si="75"/>
        <v/>
      </c>
      <c r="AE83" s="23" t="str">
        <f t="shared" si="76"/>
        <v/>
      </c>
      <c r="AF83" s="23" t="str">
        <f t="shared" si="76"/>
        <v/>
      </c>
      <c r="AG83" s="23" t="str">
        <f t="shared" si="76"/>
        <v/>
      </c>
      <c r="AH83" s="23" t="str">
        <f t="shared" si="76"/>
        <v/>
      </c>
      <c r="AI83" s="23" t="str">
        <f t="shared" si="76"/>
        <v/>
      </c>
      <c r="AJ83" s="23" t="str">
        <f t="shared" si="76"/>
        <v/>
      </c>
      <c r="AK83" s="23" t="str">
        <f t="shared" si="76"/>
        <v/>
      </c>
      <c r="AL83" s="23" t="str">
        <f t="shared" si="76"/>
        <v/>
      </c>
      <c r="AM83" s="23" t="str">
        <f t="shared" si="76"/>
        <v/>
      </c>
      <c r="AN83" s="23" t="str">
        <f t="shared" si="76"/>
        <v/>
      </c>
      <c r="AO83" s="23" t="str">
        <f t="shared" si="77"/>
        <v/>
      </c>
      <c r="AP83" s="23" t="str">
        <f t="shared" si="77"/>
        <v/>
      </c>
      <c r="AQ83" s="23" t="str">
        <f t="shared" si="77"/>
        <v/>
      </c>
      <c r="AR83" s="23" t="str">
        <f t="shared" si="77"/>
        <v/>
      </c>
      <c r="AS83" s="23" t="str">
        <f t="shared" si="77"/>
        <v/>
      </c>
      <c r="AT83" s="23" t="str">
        <f t="shared" si="77"/>
        <v/>
      </c>
      <c r="AU83" s="23" t="str">
        <f t="shared" si="77"/>
        <v/>
      </c>
      <c r="AV83" s="23" t="str">
        <f t="shared" si="77"/>
        <v/>
      </c>
      <c r="AW83" s="23" t="str">
        <f t="shared" si="77"/>
        <v/>
      </c>
      <c r="AX83" s="23" t="str">
        <f t="shared" si="77"/>
        <v/>
      </c>
      <c r="AY83" s="23" t="str">
        <f t="shared" si="78"/>
        <v/>
      </c>
      <c r="AZ83" s="23" t="str">
        <f t="shared" si="78"/>
        <v/>
      </c>
      <c r="BA83" s="23" t="str">
        <f t="shared" si="78"/>
        <v/>
      </c>
      <c r="BB83" s="23" t="str">
        <f t="shared" si="78"/>
        <v/>
      </c>
      <c r="BC83" s="23" t="str">
        <f t="shared" si="78"/>
        <v/>
      </c>
      <c r="BD83" s="23" t="str">
        <f t="shared" si="78"/>
        <v/>
      </c>
      <c r="BE83" s="23" t="str">
        <f t="shared" si="78"/>
        <v/>
      </c>
      <c r="BF83" s="23" t="str">
        <f t="shared" si="78"/>
        <v/>
      </c>
      <c r="BG83" s="23" t="str">
        <f t="shared" si="78"/>
        <v/>
      </c>
      <c r="BH83" s="23" t="str">
        <f t="shared" si="78"/>
        <v/>
      </c>
      <c r="BI83" s="23" t="str">
        <f t="shared" si="79"/>
        <v/>
      </c>
      <c r="BJ83" s="23" t="str">
        <f t="shared" si="79"/>
        <v/>
      </c>
      <c r="BK83" s="23" t="str">
        <f t="shared" si="79"/>
        <v/>
      </c>
      <c r="BL83" s="23" t="str">
        <f t="shared" si="79"/>
        <v/>
      </c>
      <c r="BM83" s="23" t="str">
        <f t="shared" si="79"/>
        <v/>
      </c>
      <c r="BN83" s="23" t="str">
        <f t="shared" si="79"/>
        <v/>
      </c>
      <c r="BO83" s="23" t="str">
        <f t="shared" si="79"/>
        <v/>
      </c>
      <c r="BP83" s="23" t="str">
        <f t="shared" si="79"/>
        <v/>
      </c>
      <c r="BQ83" s="23" t="str">
        <f t="shared" si="79"/>
        <v/>
      </c>
      <c r="BR83" s="23" t="str">
        <f t="shared" si="79"/>
        <v/>
      </c>
      <c r="BS83" s="23" t="str">
        <f t="shared" si="79"/>
        <v/>
      </c>
      <c r="BU83" s="29" t="s">
        <v>321</v>
      </c>
    </row>
    <row r="84" spans="1:73" ht="17" outlineLevel="1" x14ac:dyDescent="0.2">
      <c r="A84" s="6" t="s">
        <v>322</v>
      </c>
      <c r="B84" s="25" t="s">
        <v>323</v>
      </c>
      <c r="C84" s="6" t="s">
        <v>55</v>
      </c>
      <c r="D84" s="24" t="s">
        <v>121</v>
      </c>
      <c r="F84" s="6" t="s">
        <v>319</v>
      </c>
      <c r="G84" s="22">
        <v>10</v>
      </c>
      <c r="H84" s="22">
        <v>2</v>
      </c>
      <c r="I84" s="22">
        <f>MEDIAN($I$81,$J$81,$I$81+ROUND((G84-$G$81)/$H$81*($J$81-$I$81+1),0))</f>
        <v>10</v>
      </c>
      <c r="J84" s="22">
        <f>MEDIAN(I84,$J$81,$I$81+ROUND((G84+H84-$G$81)/$H$81*($J$81-$I$81+1),0)-1)</f>
        <v>11</v>
      </c>
      <c r="K84" s="23" t="str">
        <f t="shared" si="74"/>
        <v/>
      </c>
      <c r="L84" s="23" t="str">
        <f t="shared" si="74"/>
        <v/>
      </c>
      <c r="M84" s="23" t="str">
        <f t="shared" si="74"/>
        <v/>
      </c>
      <c r="N84" s="23" t="str">
        <f t="shared" si="74"/>
        <v/>
      </c>
      <c r="O84" s="23" t="str">
        <f t="shared" si="74"/>
        <v/>
      </c>
      <c r="P84" s="23" t="str">
        <f t="shared" si="74"/>
        <v/>
      </c>
      <c r="Q84" s="23" t="str">
        <f t="shared" si="74"/>
        <v/>
      </c>
      <c r="R84" s="23" t="str">
        <f t="shared" si="74"/>
        <v/>
      </c>
      <c r="S84" s="23" t="str">
        <f t="shared" si="74"/>
        <v/>
      </c>
      <c r="T84" s="23">
        <f t="shared" si="74"/>
        <v>1</v>
      </c>
      <c r="U84" s="23">
        <f t="shared" si="75"/>
        <v>1</v>
      </c>
      <c r="V84" s="23" t="str">
        <f t="shared" si="75"/>
        <v/>
      </c>
      <c r="W84" s="23" t="str">
        <f t="shared" si="75"/>
        <v/>
      </c>
      <c r="X84" s="23" t="str">
        <f t="shared" si="75"/>
        <v/>
      </c>
      <c r="Y84" s="23" t="str">
        <f t="shared" si="75"/>
        <v/>
      </c>
      <c r="Z84" s="23" t="str">
        <f t="shared" si="75"/>
        <v/>
      </c>
      <c r="AA84" s="23" t="str">
        <f t="shared" si="75"/>
        <v/>
      </c>
      <c r="AB84" s="23" t="str">
        <f t="shared" si="75"/>
        <v/>
      </c>
      <c r="AC84" s="23" t="str">
        <f t="shared" si="75"/>
        <v/>
      </c>
      <c r="AD84" s="23" t="str">
        <f t="shared" si="75"/>
        <v/>
      </c>
      <c r="AE84" s="23" t="str">
        <f t="shared" si="76"/>
        <v/>
      </c>
      <c r="AF84" s="23" t="str">
        <f t="shared" si="76"/>
        <v/>
      </c>
      <c r="AG84" s="23" t="str">
        <f t="shared" si="76"/>
        <v/>
      </c>
      <c r="AH84" s="23" t="str">
        <f t="shared" si="76"/>
        <v/>
      </c>
      <c r="AI84" s="23" t="str">
        <f t="shared" si="76"/>
        <v/>
      </c>
      <c r="AJ84" s="23" t="str">
        <f t="shared" si="76"/>
        <v/>
      </c>
      <c r="AK84" s="23" t="str">
        <f t="shared" si="76"/>
        <v/>
      </c>
      <c r="AL84" s="23" t="str">
        <f t="shared" si="76"/>
        <v/>
      </c>
      <c r="AM84" s="23" t="str">
        <f t="shared" si="76"/>
        <v/>
      </c>
      <c r="AN84" s="23" t="str">
        <f t="shared" si="76"/>
        <v/>
      </c>
      <c r="AO84" s="23" t="str">
        <f t="shared" si="77"/>
        <v/>
      </c>
      <c r="AP84" s="23" t="str">
        <f t="shared" si="77"/>
        <v/>
      </c>
      <c r="AQ84" s="23" t="str">
        <f t="shared" si="77"/>
        <v/>
      </c>
      <c r="AR84" s="23" t="str">
        <f t="shared" si="77"/>
        <v/>
      </c>
      <c r="AS84" s="23" t="str">
        <f t="shared" si="77"/>
        <v/>
      </c>
      <c r="AT84" s="23" t="str">
        <f t="shared" si="77"/>
        <v/>
      </c>
      <c r="AU84" s="23" t="str">
        <f t="shared" si="77"/>
        <v/>
      </c>
      <c r="AV84" s="23" t="str">
        <f t="shared" si="77"/>
        <v/>
      </c>
      <c r="AW84" s="23" t="str">
        <f t="shared" si="77"/>
        <v/>
      </c>
      <c r="AX84" s="23" t="str">
        <f t="shared" si="77"/>
        <v/>
      </c>
      <c r="AY84" s="23" t="str">
        <f t="shared" si="78"/>
        <v/>
      </c>
      <c r="AZ84" s="23" t="str">
        <f t="shared" si="78"/>
        <v/>
      </c>
      <c r="BA84" s="23" t="str">
        <f t="shared" si="78"/>
        <v/>
      </c>
      <c r="BB84" s="23" t="str">
        <f t="shared" si="78"/>
        <v/>
      </c>
      <c r="BC84" s="23" t="str">
        <f t="shared" si="78"/>
        <v/>
      </c>
      <c r="BD84" s="23" t="str">
        <f t="shared" si="78"/>
        <v/>
      </c>
      <c r="BE84" s="23" t="str">
        <f t="shared" si="78"/>
        <v/>
      </c>
      <c r="BF84" s="23" t="str">
        <f t="shared" si="78"/>
        <v/>
      </c>
      <c r="BG84" s="23" t="str">
        <f t="shared" si="78"/>
        <v/>
      </c>
      <c r="BH84" s="23" t="str">
        <f t="shared" si="78"/>
        <v/>
      </c>
      <c r="BI84" s="23" t="str">
        <f t="shared" si="79"/>
        <v/>
      </c>
      <c r="BJ84" s="23" t="str">
        <f t="shared" si="79"/>
        <v/>
      </c>
      <c r="BK84" s="23" t="str">
        <f t="shared" si="79"/>
        <v/>
      </c>
      <c r="BL84" s="23" t="str">
        <f t="shared" si="79"/>
        <v/>
      </c>
      <c r="BM84" s="23" t="str">
        <f t="shared" si="79"/>
        <v/>
      </c>
      <c r="BN84" s="23" t="str">
        <f t="shared" si="79"/>
        <v/>
      </c>
      <c r="BO84" s="23" t="str">
        <f t="shared" si="79"/>
        <v/>
      </c>
      <c r="BP84" s="23" t="str">
        <f t="shared" si="79"/>
        <v/>
      </c>
      <c r="BQ84" s="23" t="str">
        <f t="shared" si="79"/>
        <v/>
      </c>
      <c r="BR84" s="23" t="str">
        <f t="shared" si="79"/>
        <v/>
      </c>
      <c r="BS84" s="23" t="str">
        <f t="shared" si="79"/>
        <v/>
      </c>
      <c r="BU84" s="29" t="s">
        <v>324</v>
      </c>
    </row>
    <row r="85" spans="1:73" ht="17" outlineLevel="1" x14ac:dyDescent="0.2">
      <c r="A85" s="6" t="s">
        <v>325</v>
      </c>
      <c r="B85" s="25" t="s">
        <v>326</v>
      </c>
      <c r="C85" s="6" t="s">
        <v>55</v>
      </c>
      <c r="D85" s="24" t="s">
        <v>121</v>
      </c>
      <c r="F85" s="6" t="s">
        <v>322</v>
      </c>
      <c r="G85" s="22">
        <v>12</v>
      </c>
      <c r="H85" s="22">
        <v>2</v>
      </c>
      <c r="I85" s="22">
        <f>MEDIAN($I$81,$J$81,$I$81+ROUND((G85-$G$81)/$H$81*($J$81-$I$81+1),0))</f>
        <v>12</v>
      </c>
      <c r="J85" s="22">
        <f>MEDIAN(I85,$J$81,$I$81+ROUND((G85+H85-$G$81)/$H$81*($J$81-$I$81+1),0)-1)</f>
        <v>13</v>
      </c>
      <c r="K85" s="23" t="str">
        <f t="shared" si="74"/>
        <v/>
      </c>
      <c r="L85" s="23" t="str">
        <f t="shared" si="74"/>
        <v/>
      </c>
      <c r="M85" s="23" t="str">
        <f t="shared" si="74"/>
        <v/>
      </c>
      <c r="N85" s="23" t="str">
        <f t="shared" si="74"/>
        <v/>
      </c>
      <c r="O85" s="23" t="str">
        <f t="shared" si="74"/>
        <v/>
      </c>
      <c r="P85" s="23" t="str">
        <f t="shared" si="74"/>
        <v/>
      </c>
      <c r="Q85" s="23" t="str">
        <f t="shared" si="74"/>
        <v/>
      </c>
      <c r="R85" s="23" t="str">
        <f t="shared" si="74"/>
        <v/>
      </c>
      <c r="S85" s="23" t="str">
        <f t="shared" si="74"/>
        <v/>
      </c>
      <c r="T85" s="23" t="str">
        <f t="shared" si="74"/>
        <v/>
      </c>
      <c r="U85" s="23" t="str">
        <f t="shared" si="75"/>
        <v/>
      </c>
      <c r="V85" s="23">
        <f t="shared" si="75"/>
        <v>1</v>
      </c>
      <c r="W85" s="23">
        <f t="shared" si="75"/>
        <v>1</v>
      </c>
      <c r="X85" s="23" t="str">
        <f t="shared" si="75"/>
        <v/>
      </c>
      <c r="Y85" s="23" t="str">
        <f t="shared" si="75"/>
        <v/>
      </c>
      <c r="Z85" s="23" t="str">
        <f t="shared" si="75"/>
        <v/>
      </c>
      <c r="AA85" s="23" t="str">
        <f t="shared" si="75"/>
        <v/>
      </c>
      <c r="AB85" s="23" t="str">
        <f t="shared" si="75"/>
        <v/>
      </c>
      <c r="AC85" s="23" t="str">
        <f t="shared" si="75"/>
        <v/>
      </c>
      <c r="AD85" s="23" t="str">
        <f t="shared" si="75"/>
        <v/>
      </c>
      <c r="AE85" s="23" t="str">
        <f t="shared" si="76"/>
        <v/>
      </c>
      <c r="AF85" s="23" t="str">
        <f t="shared" si="76"/>
        <v/>
      </c>
      <c r="AG85" s="23" t="str">
        <f t="shared" si="76"/>
        <v/>
      </c>
      <c r="AH85" s="23" t="str">
        <f t="shared" si="76"/>
        <v/>
      </c>
      <c r="AI85" s="23" t="str">
        <f t="shared" si="76"/>
        <v/>
      </c>
      <c r="AJ85" s="23" t="str">
        <f t="shared" si="76"/>
        <v/>
      </c>
      <c r="AK85" s="23" t="str">
        <f t="shared" si="76"/>
        <v/>
      </c>
      <c r="AL85" s="23" t="str">
        <f t="shared" si="76"/>
        <v/>
      </c>
      <c r="AM85" s="23" t="str">
        <f t="shared" si="76"/>
        <v/>
      </c>
      <c r="AN85" s="23" t="str">
        <f t="shared" si="76"/>
        <v/>
      </c>
      <c r="AO85" s="23" t="str">
        <f t="shared" si="77"/>
        <v/>
      </c>
      <c r="AP85" s="23" t="str">
        <f t="shared" si="77"/>
        <v/>
      </c>
      <c r="AQ85" s="23" t="str">
        <f t="shared" si="77"/>
        <v/>
      </c>
      <c r="AR85" s="23" t="str">
        <f t="shared" si="77"/>
        <v/>
      </c>
      <c r="AS85" s="23" t="str">
        <f t="shared" si="77"/>
        <v/>
      </c>
      <c r="AT85" s="23" t="str">
        <f t="shared" si="77"/>
        <v/>
      </c>
      <c r="AU85" s="23" t="str">
        <f t="shared" si="77"/>
        <v/>
      </c>
      <c r="AV85" s="23" t="str">
        <f t="shared" si="77"/>
        <v/>
      </c>
      <c r="AW85" s="23" t="str">
        <f t="shared" si="77"/>
        <v/>
      </c>
      <c r="AX85" s="23" t="str">
        <f t="shared" si="77"/>
        <v/>
      </c>
      <c r="AY85" s="23" t="str">
        <f t="shared" si="78"/>
        <v/>
      </c>
      <c r="AZ85" s="23" t="str">
        <f t="shared" si="78"/>
        <v/>
      </c>
      <c r="BA85" s="23" t="str">
        <f t="shared" si="78"/>
        <v/>
      </c>
      <c r="BB85" s="23" t="str">
        <f t="shared" si="78"/>
        <v/>
      </c>
      <c r="BC85" s="23" t="str">
        <f t="shared" si="78"/>
        <v/>
      </c>
      <c r="BD85" s="23" t="str">
        <f t="shared" si="78"/>
        <v/>
      </c>
      <c r="BE85" s="23" t="str">
        <f t="shared" si="78"/>
        <v/>
      </c>
      <c r="BF85" s="23" t="str">
        <f t="shared" si="78"/>
        <v/>
      </c>
      <c r="BG85" s="23" t="str">
        <f t="shared" si="78"/>
        <v/>
      </c>
      <c r="BH85" s="23" t="str">
        <f t="shared" si="78"/>
        <v/>
      </c>
      <c r="BI85" s="23" t="str">
        <f t="shared" si="79"/>
        <v/>
      </c>
      <c r="BJ85" s="23" t="str">
        <f t="shared" si="79"/>
        <v/>
      </c>
      <c r="BK85" s="23" t="str">
        <f t="shared" si="79"/>
        <v/>
      </c>
      <c r="BL85" s="23" t="str">
        <f t="shared" si="79"/>
        <v/>
      </c>
      <c r="BM85" s="23" t="str">
        <f t="shared" si="79"/>
        <v/>
      </c>
      <c r="BN85" s="23" t="str">
        <f t="shared" si="79"/>
        <v/>
      </c>
      <c r="BO85" s="23" t="str">
        <f t="shared" si="79"/>
        <v/>
      </c>
      <c r="BP85" s="23" t="str">
        <f t="shared" si="79"/>
        <v/>
      </c>
      <c r="BQ85" s="23" t="str">
        <f t="shared" si="79"/>
        <v/>
      </c>
      <c r="BR85" s="23" t="str">
        <f t="shared" si="79"/>
        <v/>
      </c>
      <c r="BS85" s="23" t="str">
        <f t="shared" si="79"/>
        <v/>
      </c>
      <c r="BU85" s="29" t="s">
        <v>327</v>
      </c>
    </row>
    <row r="86" spans="1:73" ht="34" outlineLevel="1" x14ac:dyDescent="0.2">
      <c r="A86" s="6" t="s">
        <v>328</v>
      </c>
      <c r="B86" s="25" t="s">
        <v>329</v>
      </c>
      <c r="C86" s="6" t="s">
        <v>55</v>
      </c>
      <c r="D86" s="24" t="s">
        <v>121</v>
      </c>
      <c r="F86" s="6" t="s">
        <v>325</v>
      </c>
      <c r="G86" s="22">
        <v>14</v>
      </c>
      <c r="H86" s="22">
        <v>2</v>
      </c>
      <c r="I86" s="22">
        <f>MEDIAN($I$81,$J$81,$I$81+ROUND((G86-$G$81)/$H$81*($J$81-$I$81+1),0))</f>
        <v>14</v>
      </c>
      <c r="J86" s="22">
        <f>MEDIAN(I86,$J$81,$I$81+ROUND((G86+H86-$G$81)/$H$81*($J$81-$I$81+1),0)-1)</f>
        <v>15</v>
      </c>
      <c r="K86" s="23" t="str">
        <f t="shared" si="74"/>
        <v/>
      </c>
      <c r="L86" s="23" t="str">
        <f t="shared" si="74"/>
        <v/>
      </c>
      <c r="M86" s="23" t="str">
        <f t="shared" si="74"/>
        <v/>
      </c>
      <c r="N86" s="23" t="str">
        <f t="shared" si="74"/>
        <v/>
      </c>
      <c r="O86" s="23" t="str">
        <f t="shared" si="74"/>
        <v/>
      </c>
      <c r="P86" s="23" t="str">
        <f t="shared" si="74"/>
        <v/>
      </c>
      <c r="Q86" s="23" t="str">
        <f t="shared" si="74"/>
        <v/>
      </c>
      <c r="R86" s="23" t="str">
        <f t="shared" si="74"/>
        <v/>
      </c>
      <c r="S86" s="23" t="str">
        <f t="shared" si="74"/>
        <v/>
      </c>
      <c r="T86" s="23" t="str">
        <f t="shared" si="74"/>
        <v/>
      </c>
      <c r="U86" s="23" t="str">
        <f t="shared" si="75"/>
        <v/>
      </c>
      <c r="V86" s="23" t="str">
        <f t="shared" si="75"/>
        <v/>
      </c>
      <c r="W86" s="23" t="str">
        <f t="shared" si="75"/>
        <v/>
      </c>
      <c r="X86" s="23">
        <f t="shared" si="75"/>
        <v>1</v>
      </c>
      <c r="Y86" s="23">
        <f t="shared" si="75"/>
        <v>1</v>
      </c>
      <c r="Z86" s="23" t="str">
        <f t="shared" si="75"/>
        <v/>
      </c>
      <c r="AA86" s="23" t="str">
        <f t="shared" si="75"/>
        <v/>
      </c>
      <c r="AB86" s="23" t="str">
        <f t="shared" si="75"/>
        <v/>
      </c>
      <c r="AC86" s="23" t="str">
        <f t="shared" si="75"/>
        <v/>
      </c>
      <c r="AD86" s="23" t="str">
        <f t="shared" si="75"/>
        <v/>
      </c>
      <c r="AE86" s="23" t="str">
        <f t="shared" si="76"/>
        <v/>
      </c>
      <c r="AF86" s="23" t="str">
        <f t="shared" si="76"/>
        <v/>
      </c>
      <c r="AG86" s="23" t="str">
        <f t="shared" si="76"/>
        <v/>
      </c>
      <c r="AH86" s="23" t="str">
        <f t="shared" si="76"/>
        <v/>
      </c>
      <c r="AI86" s="23" t="str">
        <f t="shared" si="76"/>
        <v/>
      </c>
      <c r="AJ86" s="23" t="str">
        <f t="shared" si="76"/>
        <v/>
      </c>
      <c r="AK86" s="23" t="str">
        <f t="shared" si="76"/>
        <v/>
      </c>
      <c r="AL86" s="23" t="str">
        <f t="shared" si="76"/>
        <v/>
      </c>
      <c r="AM86" s="23" t="str">
        <f t="shared" si="76"/>
        <v/>
      </c>
      <c r="AN86" s="23" t="str">
        <f t="shared" si="76"/>
        <v/>
      </c>
      <c r="AO86" s="23" t="str">
        <f t="shared" si="77"/>
        <v/>
      </c>
      <c r="AP86" s="23" t="str">
        <f t="shared" si="77"/>
        <v/>
      </c>
      <c r="AQ86" s="23" t="str">
        <f t="shared" si="77"/>
        <v/>
      </c>
      <c r="AR86" s="23" t="str">
        <f t="shared" si="77"/>
        <v/>
      </c>
      <c r="AS86" s="23" t="str">
        <f t="shared" si="77"/>
        <v/>
      </c>
      <c r="AT86" s="23" t="str">
        <f t="shared" si="77"/>
        <v/>
      </c>
      <c r="AU86" s="23" t="str">
        <f t="shared" si="77"/>
        <v/>
      </c>
      <c r="AV86" s="23" t="str">
        <f t="shared" si="77"/>
        <v/>
      </c>
      <c r="AW86" s="23" t="str">
        <f t="shared" si="77"/>
        <v/>
      </c>
      <c r="AX86" s="23" t="str">
        <f t="shared" si="77"/>
        <v/>
      </c>
      <c r="AY86" s="23" t="str">
        <f t="shared" si="78"/>
        <v/>
      </c>
      <c r="AZ86" s="23" t="str">
        <f t="shared" si="78"/>
        <v/>
      </c>
      <c r="BA86" s="23" t="str">
        <f t="shared" si="78"/>
        <v/>
      </c>
      <c r="BB86" s="23" t="str">
        <f t="shared" si="78"/>
        <v/>
      </c>
      <c r="BC86" s="23" t="str">
        <f t="shared" si="78"/>
        <v/>
      </c>
      <c r="BD86" s="23" t="str">
        <f t="shared" si="78"/>
        <v/>
      </c>
      <c r="BE86" s="23" t="str">
        <f t="shared" si="78"/>
        <v/>
      </c>
      <c r="BF86" s="23" t="str">
        <f t="shared" si="78"/>
        <v/>
      </c>
      <c r="BG86" s="23" t="str">
        <f t="shared" si="78"/>
        <v/>
      </c>
      <c r="BH86" s="23" t="str">
        <f t="shared" si="78"/>
        <v/>
      </c>
      <c r="BI86" s="23" t="str">
        <f t="shared" si="79"/>
        <v/>
      </c>
      <c r="BJ86" s="23" t="str">
        <f t="shared" si="79"/>
        <v/>
      </c>
      <c r="BK86" s="23" t="str">
        <f t="shared" si="79"/>
        <v/>
      </c>
      <c r="BL86" s="23" t="str">
        <f t="shared" si="79"/>
        <v/>
      </c>
      <c r="BM86" s="23" t="str">
        <f t="shared" si="79"/>
        <v/>
      </c>
      <c r="BN86" s="23" t="str">
        <f t="shared" si="79"/>
        <v/>
      </c>
      <c r="BO86" s="23" t="str">
        <f t="shared" si="79"/>
        <v/>
      </c>
      <c r="BP86" s="23" t="str">
        <f t="shared" si="79"/>
        <v/>
      </c>
      <c r="BQ86" s="23" t="str">
        <f t="shared" si="79"/>
        <v/>
      </c>
      <c r="BR86" s="23" t="str">
        <f t="shared" si="79"/>
        <v/>
      </c>
      <c r="BS86" s="23" t="str">
        <f t="shared" si="79"/>
        <v/>
      </c>
      <c r="BU86" s="29" t="s">
        <v>330</v>
      </c>
    </row>
    <row r="87" spans="1:73" x14ac:dyDescent="0.2">
      <c r="BU87" s="30"/>
    </row>
    <row r="88" spans="1:73" ht="17" x14ac:dyDescent="0.2">
      <c r="A88" s="19" t="s">
        <v>331</v>
      </c>
      <c r="B88" s="20" t="s">
        <v>332</v>
      </c>
      <c r="C88" s="19" t="s">
        <v>55</v>
      </c>
      <c r="D88" s="21" t="s">
        <v>117</v>
      </c>
      <c r="E88" s="19"/>
      <c r="F88" s="19"/>
      <c r="G88" s="22">
        <v>6</v>
      </c>
      <c r="H88" s="22">
        <v>10</v>
      </c>
      <c r="I88" s="22">
        <f>MIN(61,IF(G88&lt;=29,ROUND((G88-1)*(29+SlipWeeks)/29,0)+1,G88+SlipWeeks))</f>
        <v>6</v>
      </c>
      <c r="J88" s="22">
        <f>MIN(61,IF(G88+H88-1&lt;=29,MAX(ROUND((G88+H88-1)*(29+SlipWeeks)/29,0),I88),G88+H88-1+SlipWeeks))</f>
        <v>15</v>
      </c>
      <c r="K88" s="23" t="str">
        <f t="shared" ref="K88:T93" si="80">IF(AND(K$4&gt;=$I88,K$4&lt;=$J88),1,"")</f>
        <v/>
      </c>
      <c r="L88" s="23" t="str">
        <f t="shared" si="80"/>
        <v/>
      </c>
      <c r="M88" s="23" t="str">
        <f t="shared" si="80"/>
        <v/>
      </c>
      <c r="N88" s="23" t="str">
        <f t="shared" si="80"/>
        <v/>
      </c>
      <c r="O88" s="23" t="str">
        <f t="shared" si="80"/>
        <v/>
      </c>
      <c r="P88" s="23">
        <f t="shared" si="80"/>
        <v>1</v>
      </c>
      <c r="Q88" s="23">
        <f t="shared" si="80"/>
        <v>1</v>
      </c>
      <c r="R88" s="23">
        <f t="shared" si="80"/>
        <v>1</v>
      </c>
      <c r="S88" s="23">
        <f t="shared" si="80"/>
        <v>1</v>
      </c>
      <c r="T88" s="23">
        <f t="shared" si="80"/>
        <v>1</v>
      </c>
      <c r="U88" s="23">
        <f t="shared" ref="U88:AD93" si="81">IF(AND(U$4&gt;=$I88,U$4&lt;=$J88),1,"")</f>
        <v>1</v>
      </c>
      <c r="V88" s="23">
        <f t="shared" si="81"/>
        <v>1</v>
      </c>
      <c r="W88" s="23">
        <f t="shared" si="81"/>
        <v>1</v>
      </c>
      <c r="X88" s="23">
        <f t="shared" si="81"/>
        <v>1</v>
      </c>
      <c r="Y88" s="23">
        <f t="shared" si="81"/>
        <v>1</v>
      </c>
      <c r="Z88" s="23" t="str">
        <f t="shared" si="81"/>
        <v/>
      </c>
      <c r="AA88" s="23" t="str">
        <f t="shared" si="81"/>
        <v/>
      </c>
      <c r="AB88" s="23" t="str">
        <f t="shared" si="81"/>
        <v/>
      </c>
      <c r="AC88" s="23" t="str">
        <f t="shared" si="81"/>
        <v/>
      </c>
      <c r="AD88" s="23" t="str">
        <f t="shared" si="81"/>
        <v/>
      </c>
      <c r="AE88" s="23" t="str">
        <f t="shared" ref="AE88:AN93" si="82">IF(AND(AE$4&gt;=$I88,AE$4&lt;=$J88),1,"")</f>
        <v/>
      </c>
      <c r="AF88" s="23" t="str">
        <f t="shared" si="82"/>
        <v/>
      </c>
      <c r="AG88" s="23" t="str">
        <f t="shared" si="82"/>
        <v/>
      </c>
      <c r="AH88" s="23" t="str">
        <f t="shared" si="82"/>
        <v/>
      </c>
      <c r="AI88" s="23" t="str">
        <f t="shared" si="82"/>
        <v/>
      </c>
      <c r="AJ88" s="23" t="str">
        <f t="shared" si="82"/>
        <v/>
      </c>
      <c r="AK88" s="23" t="str">
        <f t="shared" si="82"/>
        <v/>
      </c>
      <c r="AL88" s="23" t="str">
        <f t="shared" si="82"/>
        <v/>
      </c>
      <c r="AM88" s="23" t="str">
        <f t="shared" si="82"/>
        <v/>
      </c>
      <c r="AN88" s="23" t="str">
        <f t="shared" si="82"/>
        <v/>
      </c>
      <c r="AO88" s="23" t="str">
        <f t="shared" ref="AO88:AX93" si="83">IF(AND(AO$4&gt;=$I88,AO$4&lt;=$J88),1,"")</f>
        <v/>
      </c>
      <c r="AP88" s="23" t="str">
        <f t="shared" si="83"/>
        <v/>
      </c>
      <c r="AQ88" s="23" t="str">
        <f t="shared" si="83"/>
        <v/>
      </c>
      <c r="AR88" s="23" t="str">
        <f t="shared" si="83"/>
        <v/>
      </c>
      <c r="AS88" s="23" t="str">
        <f t="shared" si="83"/>
        <v/>
      </c>
      <c r="AT88" s="23" t="str">
        <f t="shared" si="83"/>
        <v/>
      </c>
      <c r="AU88" s="23" t="str">
        <f t="shared" si="83"/>
        <v/>
      </c>
      <c r="AV88" s="23" t="str">
        <f t="shared" si="83"/>
        <v/>
      </c>
      <c r="AW88" s="23" t="str">
        <f t="shared" si="83"/>
        <v/>
      </c>
      <c r="AX88" s="23" t="str">
        <f t="shared" si="83"/>
        <v/>
      </c>
      <c r="AY88" s="23" t="str">
        <f t="shared" ref="AY88:BH93" si="84">IF(AND(AY$4&gt;=$I88,AY$4&lt;=$J88),1,"")</f>
        <v/>
      </c>
      <c r="AZ88" s="23" t="str">
        <f t="shared" si="84"/>
        <v/>
      </c>
      <c r="BA88" s="23" t="str">
        <f t="shared" si="84"/>
        <v/>
      </c>
      <c r="BB88" s="23" t="str">
        <f t="shared" si="84"/>
        <v/>
      </c>
      <c r="BC88" s="23" t="str">
        <f t="shared" si="84"/>
        <v/>
      </c>
      <c r="BD88" s="23" t="str">
        <f t="shared" si="84"/>
        <v/>
      </c>
      <c r="BE88" s="23" t="str">
        <f t="shared" si="84"/>
        <v/>
      </c>
      <c r="BF88" s="23" t="str">
        <f t="shared" si="84"/>
        <v/>
      </c>
      <c r="BG88" s="23" t="str">
        <f t="shared" si="84"/>
        <v/>
      </c>
      <c r="BH88" s="23" t="str">
        <f t="shared" si="84"/>
        <v/>
      </c>
      <c r="BI88" s="23" t="str">
        <f t="shared" ref="BI88:BS93" si="85">IF(AND(BI$4&gt;=$I88,BI$4&lt;=$J88),1,"")</f>
        <v/>
      </c>
      <c r="BJ88" s="23" t="str">
        <f t="shared" si="85"/>
        <v/>
      </c>
      <c r="BK88" s="23" t="str">
        <f t="shared" si="85"/>
        <v/>
      </c>
      <c r="BL88" s="23" t="str">
        <f t="shared" si="85"/>
        <v/>
      </c>
      <c r="BM88" s="23" t="str">
        <f t="shared" si="85"/>
        <v/>
      </c>
      <c r="BN88" s="23" t="str">
        <f t="shared" si="85"/>
        <v/>
      </c>
      <c r="BO88" s="23" t="str">
        <f t="shared" si="85"/>
        <v/>
      </c>
      <c r="BP88" s="23" t="str">
        <f t="shared" si="85"/>
        <v/>
      </c>
      <c r="BQ88" s="23" t="str">
        <f t="shared" si="85"/>
        <v/>
      </c>
      <c r="BR88" s="23" t="str">
        <f t="shared" si="85"/>
        <v/>
      </c>
      <c r="BS88" s="23" t="str">
        <f t="shared" si="85"/>
        <v/>
      </c>
      <c r="BT88" s="24" t="str">
        <f>IF(IF(G88+H88-1&lt;=29,MAX(ROUND((G88+H88-1)*(29+SlipWeeks)/29,0),$I88),G88+H88-1+SlipWeeks)&gt;61,"▶ clipped","")</f>
        <v/>
      </c>
      <c r="BU88" s="29" t="s">
        <v>333</v>
      </c>
    </row>
    <row r="89" spans="1:73" ht="17" outlineLevel="1" x14ac:dyDescent="0.2">
      <c r="A89" s="6" t="s">
        <v>334</v>
      </c>
      <c r="B89" s="25" t="s">
        <v>335</v>
      </c>
      <c r="C89" s="6" t="s">
        <v>55</v>
      </c>
      <c r="D89" s="24" t="s">
        <v>121</v>
      </c>
      <c r="F89" s="6"/>
      <c r="G89" s="22">
        <v>6</v>
      </c>
      <c r="H89" s="22">
        <v>2</v>
      </c>
      <c r="I89" s="22">
        <f>MEDIAN($I$88,$J$88,$I$88+ROUND((G89-$G$88)/$H$88*($J$88-$I$88+1),0))</f>
        <v>6</v>
      </c>
      <c r="J89" s="22">
        <f>MEDIAN(I89,$J$88,$I$88+ROUND((G89+H89-$G$88)/$H$88*($J$88-$I$88+1),0)-1)</f>
        <v>7</v>
      </c>
      <c r="K89" s="23" t="str">
        <f t="shared" si="80"/>
        <v/>
      </c>
      <c r="L89" s="23" t="str">
        <f t="shared" si="80"/>
        <v/>
      </c>
      <c r="M89" s="23" t="str">
        <f t="shared" si="80"/>
        <v/>
      </c>
      <c r="N89" s="23" t="str">
        <f t="shared" si="80"/>
        <v/>
      </c>
      <c r="O89" s="23" t="str">
        <f t="shared" si="80"/>
        <v/>
      </c>
      <c r="P89" s="23">
        <f t="shared" si="80"/>
        <v>1</v>
      </c>
      <c r="Q89" s="23">
        <f t="shared" si="80"/>
        <v>1</v>
      </c>
      <c r="R89" s="23" t="str">
        <f t="shared" si="80"/>
        <v/>
      </c>
      <c r="S89" s="23" t="str">
        <f t="shared" si="80"/>
        <v/>
      </c>
      <c r="T89" s="23" t="str">
        <f t="shared" si="80"/>
        <v/>
      </c>
      <c r="U89" s="23" t="str">
        <f t="shared" si="81"/>
        <v/>
      </c>
      <c r="V89" s="23" t="str">
        <f t="shared" si="81"/>
        <v/>
      </c>
      <c r="W89" s="23" t="str">
        <f t="shared" si="81"/>
        <v/>
      </c>
      <c r="X89" s="23" t="str">
        <f t="shared" si="81"/>
        <v/>
      </c>
      <c r="Y89" s="23" t="str">
        <f t="shared" si="81"/>
        <v/>
      </c>
      <c r="Z89" s="23" t="str">
        <f t="shared" si="81"/>
        <v/>
      </c>
      <c r="AA89" s="23" t="str">
        <f t="shared" si="81"/>
        <v/>
      </c>
      <c r="AB89" s="23" t="str">
        <f t="shared" si="81"/>
        <v/>
      </c>
      <c r="AC89" s="23" t="str">
        <f t="shared" si="81"/>
        <v/>
      </c>
      <c r="AD89" s="23" t="str">
        <f t="shared" si="81"/>
        <v/>
      </c>
      <c r="AE89" s="23" t="str">
        <f t="shared" si="82"/>
        <v/>
      </c>
      <c r="AF89" s="23" t="str">
        <f t="shared" si="82"/>
        <v/>
      </c>
      <c r="AG89" s="23" t="str">
        <f t="shared" si="82"/>
        <v/>
      </c>
      <c r="AH89" s="23" t="str">
        <f t="shared" si="82"/>
        <v/>
      </c>
      <c r="AI89" s="23" t="str">
        <f t="shared" si="82"/>
        <v/>
      </c>
      <c r="AJ89" s="23" t="str">
        <f t="shared" si="82"/>
        <v/>
      </c>
      <c r="AK89" s="23" t="str">
        <f t="shared" si="82"/>
        <v/>
      </c>
      <c r="AL89" s="23" t="str">
        <f t="shared" si="82"/>
        <v/>
      </c>
      <c r="AM89" s="23" t="str">
        <f t="shared" si="82"/>
        <v/>
      </c>
      <c r="AN89" s="23" t="str">
        <f t="shared" si="82"/>
        <v/>
      </c>
      <c r="AO89" s="23" t="str">
        <f t="shared" si="83"/>
        <v/>
      </c>
      <c r="AP89" s="23" t="str">
        <f t="shared" si="83"/>
        <v/>
      </c>
      <c r="AQ89" s="23" t="str">
        <f t="shared" si="83"/>
        <v/>
      </c>
      <c r="AR89" s="23" t="str">
        <f t="shared" si="83"/>
        <v/>
      </c>
      <c r="AS89" s="23" t="str">
        <f t="shared" si="83"/>
        <v/>
      </c>
      <c r="AT89" s="23" t="str">
        <f t="shared" si="83"/>
        <v/>
      </c>
      <c r="AU89" s="23" t="str">
        <f t="shared" si="83"/>
        <v/>
      </c>
      <c r="AV89" s="23" t="str">
        <f t="shared" si="83"/>
        <v/>
      </c>
      <c r="AW89" s="23" t="str">
        <f t="shared" si="83"/>
        <v/>
      </c>
      <c r="AX89" s="23" t="str">
        <f t="shared" si="83"/>
        <v/>
      </c>
      <c r="AY89" s="23" t="str">
        <f t="shared" si="84"/>
        <v/>
      </c>
      <c r="AZ89" s="23" t="str">
        <f t="shared" si="84"/>
        <v/>
      </c>
      <c r="BA89" s="23" t="str">
        <f t="shared" si="84"/>
        <v/>
      </c>
      <c r="BB89" s="23" t="str">
        <f t="shared" si="84"/>
        <v/>
      </c>
      <c r="BC89" s="23" t="str">
        <f t="shared" si="84"/>
        <v/>
      </c>
      <c r="BD89" s="23" t="str">
        <f t="shared" si="84"/>
        <v/>
      </c>
      <c r="BE89" s="23" t="str">
        <f t="shared" si="84"/>
        <v/>
      </c>
      <c r="BF89" s="23" t="str">
        <f t="shared" si="84"/>
        <v/>
      </c>
      <c r="BG89" s="23" t="str">
        <f t="shared" si="84"/>
        <v/>
      </c>
      <c r="BH89" s="23" t="str">
        <f t="shared" si="84"/>
        <v/>
      </c>
      <c r="BI89" s="23" t="str">
        <f t="shared" si="85"/>
        <v/>
      </c>
      <c r="BJ89" s="23" t="str">
        <f t="shared" si="85"/>
        <v/>
      </c>
      <c r="BK89" s="23" t="str">
        <f t="shared" si="85"/>
        <v/>
      </c>
      <c r="BL89" s="23" t="str">
        <f t="shared" si="85"/>
        <v/>
      </c>
      <c r="BM89" s="23" t="str">
        <f t="shared" si="85"/>
        <v/>
      </c>
      <c r="BN89" s="23" t="str">
        <f t="shared" si="85"/>
        <v/>
      </c>
      <c r="BO89" s="23" t="str">
        <f t="shared" si="85"/>
        <v/>
      </c>
      <c r="BP89" s="23" t="str">
        <f t="shared" si="85"/>
        <v/>
      </c>
      <c r="BQ89" s="23" t="str">
        <f t="shared" si="85"/>
        <v/>
      </c>
      <c r="BR89" s="23" t="str">
        <f t="shared" si="85"/>
        <v/>
      </c>
      <c r="BS89" s="23" t="str">
        <f t="shared" si="85"/>
        <v/>
      </c>
      <c r="BU89" s="29" t="s">
        <v>336</v>
      </c>
    </row>
    <row r="90" spans="1:73" ht="17" outlineLevel="1" x14ac:dyDescent="0.2">
      <c r="A90" s="6" t="s">
        <v>337</v>
      </c>
      <c r="B90" s="25" t="s">
        <v>338</v>
      </c>
      <c r="C90" s="6" t="s">
        <v>55</v>
      </c>
      <c r="D90" s="24" t="s">
        <v>121</v>
      </c>
      <c r="F90" s="6" t="s">
        <v>334</v>
      </c>
      <c r="G90" s="22">
        <v>8</v>
      </c>
      <c r="H90" s="22">
        <v>2</v>
      </c>
      <c r="I90" s="22">
        <f>MEDIAN($I$88,$J$88,$I$88+ROUND((G90-$G$88)/$H$88*($J$88-$I$88+1),0))</f>
        <v>8</v>
      </c>
      <c r="J90" s="22">
        <f>MEDIAN(I90,$J$88,$I$88+ROUND((G90+H90-$G$88)/$H$88*($J$88-$I$88+1),0)-1)</f>
        <v>9</v>
      </c>
      <c r="K90" s="23" t="str">
        <f t="shared" si="80"/>
        <v/>
      </c>
      <c r="L90" s="23" t="str">
        <f t="shared" si="80"/>
        <v/>
      </c>
      <c r="M90" s="23" t="str">
        <f t="shared" si="80"/>
        <v/>
      </c>
      <c r="N90" s="23" t="str">
        <f t="shared" si="80"/>
        <v/>
      </c>
      <c r="O90" s="23" t="str">
        <f t="shared" si="80"/>
        <v/>
      </c>
      <c r="P90" s="23" t="str">
        <f t="shared" si="80"/>
        <v/>
      </c>
      <c r="Q90" s="23" t="str">
        <f t="shared" si="80"/>
        <v/>
      </c>
      <c r="R90" s="23">
        <f t="shared" si="80"/>
        <v>1</v>
      </c>
      <c r="S90" s="23">
        <f t="shared" si="80"/>
        <v>1</v>
      </c>
      <c r="T90" s="23" t="str">
        <f t="shared" si="80"/>
        <v/>
      </c>
      <c r="U90" s="23" t="str">
        <f t="shared" si="81"/>
        <v/>
      </c>
      <c r="V90" s="23" t="str">
        <f t="shared" si="81"/>
        <v/>
      </c>
      <c r="W90" s="23" t="str">
        <f t="shared" si="81"/>
        <v/>
      </c>
      <c r="X90" s="23" t="str">
        <f t="shared" si="81"/>
        <v/>
      </c>
      <c r="Y90" s="23" t="str">
        <f t="shared" si="81"/>
        <v/>
      </c>
      <c r="Z90" s="23" t="str">
        <f t="shared" si="81"/>
        <v/>
      </c>
      <c r="AA90" s="23" t="str">
        <f t="shared" si="81"/>
        <v/>
      </c>
      <c r="AB90" s="23" t="str">
        <f t="shared" si="81"/>
        <v/>
      </c>
      <c r="AC90" s="23" t="str">
        <f t="shared" si="81"/>
        <v/>
      </c>
      <c r="AD90" s="23" t="str">
        <f t="shared" si="81"/>
        <v/>
      </c>
      <c r="AE90" s="23" t="str">
        <f t="shared" si="82"/>
        <v/>
      </c>
      <c r="AF90" s="23" t="str">
        <f t="shared" si="82"/>
        <v/>
      </c>
      <c r="AG90" s="23" t="str">
        <f t="shared" si="82"/>
        <v/>
      </c>
      <c r="AH90" s="23" t="str">
        <f t="shared" si="82"/>
        <v/>
      </c>
      <c r="AI90" s="23" t="str">
        <f t="shared" si="82"/>
        <v/>
      </c>
      <c r="AJ90" s="23" t="str">
        <f t="shared" si="82"/>
        <v/>
      </c>
      <c r="AK90" s="23" t="str">
        <f t="shared" si="82"/>
        <v/>
      </c>
      <c r="AL90" s="23" t="str">
        <f t="shared" si="82"/>
        <v/>
      </c>
      <c r="AM90" s="23" t="str">
        <f t="shared" si="82"/>
        <v/>
      </c>
      <c r="AN90" s="23" t="str">
        <f t="shared" si="82"/>
        <v/>
      </c>
      <c r="AO90" s="23" t="str">
        <f t="shared" si="83"/>
        <v/>
      </c>
      <c r="AP90" s="23" t="str">
        <f t="shared" si="83"/>
        <v/>
      </c>
      <c r="AQ90" s="23" t="str">
        <f t="shared" si="83"/>
        <v/>
      </c>
      <c r="AR90" s="23" t="str">
        <f t="shared" si="83"/>
        <v/>
      </c>
      <c r="AS90" s="23" t="str">
        <f t="shared" si="83"/>
        <v/>
      </c>
      <c r="AT90" s="23" t="str">
        <f t="shared" si="83"/>
        <v/>
      </c>
      <c r="AU90" s="23" t="str">
        <f t="shared" si="83"/>
        <v/>
      </c>
      <c r="AV90" s="23" t="str">
        <f t="shared" si="83"/>
        <v/>
      </c>
      <c r="AW90" s="23" t="str">
        <f t="shared" si="83"/>
        <v/>
      </c>
      <c r="AX90" s="23" t="str">
        <f t="shared" si="83"/>
        <v/>
      </c>
      <c r="AY90" s="23" t="str">
        <f t="shared" si="84"/>
        <v/>
      </c>
      <c r="AZ90" s="23" t="str">
        <f t="shared" si="84"/>
        <v/>
      </c>
      <c r="BA90" s="23" t="str">
        <f t="shared" si="84"/>
        <v/>
      </c>
      <c r="BB90" s="23" t="str">
        <f t="shared" si="84"/>
        <v/>
      </c>
      <c r="BC90" s="23" t="str">
        <f t="shared" si="84"/>
        <v/>
      </c>
      <c r="BD90" s="23" t="str">
        <f t="shared" si="84"/>
        <v/>
      </c>
      <c r="BE90" s="23" t="str">
        <f t="shared" si="84"/>
        <v/>
      </c>
      <c r="BF90" s="23" t="str">
        <f t="shared" si="84"/>
        <v/>
      </c>
      <c r="BG90" s="23" t="str">
        <f t="shared" si="84"/>
        <v/>
      </c>
      <c r="BH90" s="23" t="str">
        <f t="shared" si="84"/>
        <v/>
      </c>
      <c r="BI90" s="23" t="str">
        <f t="shared" si="85"/>
        <v/>
      </c>
      <c r="BJ90" s="23" t="str">
        <f t="shared" si="85"/>
        <v/>
      </c>
      <c r="BK90" s="23" t="str">
        <f t="shared" si="85"/>
        <v/>
      </c>
      <c r="BL90" s="23" t="str">
        <f t="shared" si="85"/>
        <v/>
      </c>
      <c r="BM90" s="23" t="str">
        <f t="shared" si="85"/>
        <v/>
      </c>
      <c r="BN90" s="23" t="str">
        <f t="shared" si="85"/>
        <v/>
      </c>
      <c r="BO90" s="23" t="str">
        <f t="shared" si="85"/>
        <v/>
      </c>
      <c r="BP90" s="23" t="str">
        <f t="shared" si="85"/>
        <v/>
      </c>
      <c r="BQ90" s="23" t="str">
        <f t="shared" si="85"/>
        <v/>
      </c>
      <c r="BR90" s="23" t="str">
        <f t="shared" si="85"/>
        <v/>
      </c>
      <c r="BS90" s="23" t="str">
        <f t="shared" si="85"/>
        <v/>
      </c>
      <c r="BU90" s="29" t="s">
        <v>339</v>
      </c>
    </row>
    <row r="91" spans="1:73" ht="17" outlineLevel="1" x14ac:dyDescent="0.2">
      <c r="A91" s="6" t="s">
        <v>340</v>
      </c>
      <c r="B91" s="25" t="s">
        <v>341</v>
      </c>
      <c r="C91" s="6" t="s">
        <v>55</v>
      </c>
      <c r="D91" s="24" t="s">
        <v>121</v>
      </c>
      <c r="F91" s="6" t="s">
        <v>337</v>
      </c>
      <c r="G91" s="22">
        <v>10</v>
      </c>
      <c r="H91" s="22">
        <v>2</v>
      </c>
      <c r="I91" s="22">
        <f>MEDIAN($I$88,$J$88,$I$88+ROUND((G91-$G$88)/$H$88*($J$88-$I$88+1),0))</f>
        <v>10</v>
      </c>
      <c r="J91" s="22">
        <f>MEDIAN(I91,$J$88,$I$88+ROUND((G91+H91-$G$88)/$H$88*($J$88-$I$88+1),0)-1)</f>
        <v>11</v>
      </c>
      <c r="K91" s="23" t="str">
        <f t="shared" si="80"/>
        <v/>
      </c>
      <c r="L91" s="23" t="str">
        <f t="shared" si="80"/>
        <v/>
      </c>
      <c r="M91" s="23" t="str">
        <f t="shared" si="80"/>
        <v/>
      </c>
      <c r="N91" s="23" t="str">
        <f t="shared" si="80"/>
        <v/>
      </c>
      <c r="O91" s="23" t="str">
        <f t="shared" si="80"/>
        <v/>
      </c>
      <c r="P91" s="23" t="str">
        <f t="shared" si="80"/>
        <v/>
      </c>
      <c r="Q91" s="23" t="str">
        <f t="shared" si="80"/>
        <v/>
      </c>
      <c r="R91" s="23" t="str">
        <f t="shared" si="80"/>
        <v/>
      </c>
      <c r="S91" s="23" t="str">
        <f t="shared" si="80"/>
        <v/>
      </c>
      <c r="T91" s="23">
        <f t="shared" si="80"/>
        <v>1</v>
      </c>
      <c r="U91" s="23">
        <f t="shared" si="81"/>
        <v>1</v>
      </c>
      <c r="V91" s="23" t="str">
        <f t="shared" si="81"/>
        <v/>
      </c>
      <c r="W91" s="23" t="str">
        <f t="shared" si="81"/>
        <v/>
      </c>
      <c r="X91" s="23" t="str">
        <f t="shared" si="81"/>
        <v/>
      </c>
      <c r="Y91" s="23" t="str">
        <f t="shared" si="81"/>
        <v/>
      </c>
      <c r="Z91" s="23" t="str">
        <f t="shared" si="81"/>
        <v/>
      </c>
      <c r="AA91" s="23" t="str">
        <f t="shared" si="81"/>
        <v/>
      </c>
      <c r="AB91" s="23" t="str">
        <f t="shared" si="81"/>
        <v/>
      </c>
      <c r="AC91" s="23" t="str">
        <f t="shared" si="81"/>
        <v/>
      </c>
      <c r="AD91" s="23" t="str">
        <f t="shared" si="81"/>
        <v/>
      </c>
      <c r="AE91" s="23" t="str">
        <f t="shared" si="82"/>
        <v/>
      </c>
      <c r="AF91" s="23" t="str">
        <f t="shared" si="82"/>
        <v/>
      </c>
      <c r="AG91" s="23" t="str">
        <f t="shared" si="82"/>
        <v/>
      </c>
      <c r="AH91" s="23" t="str">
        <f t="shared" si="82"/>
        <v/>
      </c>
      <c r="AI91" s="23" t="str">
        <f t="shared" si="82"/>
        <v/>
      </c>
      <c r="AJ91" s="23" t="str">
        <f t="shared" si="82"/>
        <v/>
      </c>
      <c r="AK91" s="23" t="str">
        <f t="shared" si="82"/>
        <v/>
      </c>
      <c r="AL91" s="23" t="str">
        <f t="shared" si="82"/>
        <v/>
      </c>
      <c r="AM91" s="23" t="str">
        <f t="shared" si="82"/>
        <v/>
      </c>
      <c r="AN91" s="23" t="str">
        <f t="shared" si="82"/>
        <v/>
      </c>
      <c r="AO91" s="23" t="str">
        <f t="shared" si="83"/>
        <v/>
      </c>
      <c r="AP91" s="23" t="str">
        <f t="shared" si="83"/>
        <v/>
      </c>
      <c r="AQ91" s="23" t="str">
        <f t="shared" si="83"/>
        <v/>
      </c>
      <c r="AR91" s="23" t="str">
        <f t="shared" si="83"/>
        <v/>
      </c>
      <c r="AS91" s="23" t="str">
        <f t="shared" si="83"/>
        <v/>
      </c>
      <c r="AT91" s="23" t="str">
        <f t="shared" si="83"/>
        <v/>
      </c>
      <c r="AU91" s="23" t="str">
        <f t="shared" si="83"/>
        <v/>
      </c>
      <c r="AV91" s="23" t="str">
        <f t="shared" si="83"/>
        <v/>
      </c>
      <c r="AW91" s="23" t="str">
        <f t="shared" si="83"/>
        <v/>
      </c>
      <c r="AX91" s="23" t="str">
        <f t="shared" si="83"/>
        <v/>
      </c>
      <c r="AY91" s="23" t="str">
        <f t="shared" si="84"/>
        <v/>
      </c>
      <c r="AZ91" s="23" t="str">
        <f t="shared" si="84"/>
        <v/>
      </c>
      <c r="BA91" s="23" t="str">
        <f t="shared" si="84"/>
        <v/>
      </c>
      <c r="BB91" s="23" t="str">
        <f t="shared" si="84"/>
        <v/>
      </c>
      <c r="BC91" s="23" t="str">
        <f t="shared" si="84"/>
        <v/>
      </c>
      <c r="BD91" s="23" t="str">
        <f t="shared" si="84"/>
        <v/>
      </c>
      <c r="BE91" s="23" t="str">
        <f t="shared" si="84"/>
        <v/>
      </c>
      <c r="BF91" s="23" t="str">
        <f t="shared" si="84"/>
        <v/>
      </c>
      <c r="BG91" s="23" t="str">
        <f t="shared" si="84"/>
        <v/>
      </c>
      <c r="BH91" s="23" t="str">
        <f t="shared" si="84"/>
        <v/>
      </c>
      <c r="BI91" s="23" t="str">
        <f t="shared" si="85"/>
        <v/>
      </c>
      <c r="BJ91" s="23" t="str">
        <f t="shared" si="85"/>
        <v/>
      </c>
      <c r="BK91" s="23" t="str">
        <f t="shared" si="85"/>
        <v/>
      </c>
      <c r="BL91" s="23" t="str">
        <f t="shared" si="85"/>
        <v/>
      </c>
      <c r="BM91" s="23" t="str">
        <f t="shared" si="85"/>
        <v/>
      </c>
      <c r="BN91" s="23" t="str">
        <f t="shared" si="85"/>
        <v/>
      </c>
      <c r="BO91" s="23" t="str">
        <f t="shared" si="85"/>
        <v/>
      </c>
      <c r="BP91" s="23" t="str">
        <f t="shared" si="85"/>
        <v/>
      </c>
      <c r="BQ91" s="23" t="str">
        <f t="shared" si="85"/>
        <v/>
      </c>
      <c r="BR91" s="23" t="str">
        <f t="shared" si="85"/>
        <v/>
      </c>
      <c r="BS91" s="23" t="str">
        <f t="shared" si="85"/>
        <v/>
      </c>
      <c r="BU91" s="29" t="s">
        <v>342</v>
      </c>
    </row>
    <row r="92" spans="1:73" ht="17" outlineLevel="1" x14ac:dyDescent="0.2">
      <c r="A92" s="6" t="s">
        <v>343</v>
      </c>
      <c r="B92" s="25" t="s">
        <v>344</v>
      </c>
      <c r="C92" s="6" t="s">
        <v>55</v>
      </c>
      <c r="D92" s="24" t="s">
        <v>121</v>
      </c>
      <c r="F92" s="6" t="s">
        <v>340</v>
      </c>
      <c r="G92" s="22">
        <v>12</v>
      </c>
      <c r="H92" s="22">
        <v>2</v>
      </c>
      <c r="I92" s="22">
        <f>MEDIAN($I$88,$J$88,$I$88+ROUND((G92-$G$88)/$H$88*($J$88-$I$88+1),0))</f>
        <v>12</v>
      </c>
      <c r="J92" s="22">
        <f>MEDIAN(I92,$J$88,$I$88+ROUND((G92+H92-$G$88)/$H$88*($J$88-$I$88+1),0)-1)</f>
        <v>13</v>
      </c>
      <c r="K92" s="23" t="str">
        <f t="shared" si="80"/>
        <v/>
      </c>
      <c r="L92" s="23" t="str">
        <f t="shared" si="80"/>
        <v/>
      </c>
      <c r="M92" s="23" t="str">
        <f t="shared" si="80"/>
        <v/>
      </c>
      <c r="N92" s="23" t="str">
        <f t="shared" si="80"/>
        <v/>
      </c>
      <c r="O92" s="23" t="str">
        <f t="shared" si="80"/>
        <v/>
      </c>
      <c r="P92" s="23" t="str">
        <f t="shared" si="80"/>
        <v/>
      </c>
      <c r="Q92" s="23" t="str">
        <f t="shared" si="80"/>
        <v/>
      </c>
      <c r="R92" s="23" t="str">
        <f t="shared" si="80"/>
        <v/>
      </c>
      <c r="S92" s="23" t="str">
        <f t="shared" si="80"/>
        <v/>
      </c>
      <c r="T92" s="23" t="str">
        <f t="shared" si="80"/>
        <v/>
      </c>
      <c r="U92" s="23" t="str">
        <f t="shared" si="81"/>
        <v/>
      </c>
      <c r="V92" s="23">
        <f t="shared" si="81"/>
        <v>1</v>
      </c>
      <c r="W92" s="23">
        <f t="shared" si="81"/>
        <v>1</v>
      </c>
      <c r="X92" s="23" t="str">
        <f t="shared" si="81"/>
        <v/>
      </c>
      <c r="Y92" s="23" t="str">
        <f t="shared" si="81"/>
        <v/>
      </c>
      <c r="Z92" s="23" t="str">
        <f t="shared" si="81"/>
        <v/>
      </c>
      <c r="AA92" s="23" t="str">
        <f t="shared" si="81"/>
        <v/>
      </c>
      <c r="AB92" s="23" t="str">
        <f t="shared" si="81"/>
        <v/>
      </c>
      <c r="AC92" s="23" t="str">
        <f t="shared" si="81"/>
        <v/>
      </c>
      <c r="AD92" s="23" t="str">
        <f t="shared" si="81"/>
        <v/>
      </c>
      <c r="AE92" s="23" t="str">
        <f t="shared" si="82"/>
        <v/>
      </c>
      <c r="AF92" s="23" t="str">
        <f t="shared" si="82"/>
        <v/>
      </c>
      <c r="AG92" s="23" t="str">
        <f t="shared" si="82"/>
        <v/>
      </c>
      <c r="AH92" s="23" t="str">
        <f t="shared" si="82"/>
        <v/>
      </c>
      <c r="AI92" s="23" t="str">
        <f t="shared" si="82"/>
        <v/>
      </c>
      <c r="AJ92" s="23" t="str">
        <f t="shared" si="82"/>
        <v/>
      </c>
      <c r="AK92" s="23" t="str">
        <f t="shared" si="82"/>
        <v/>
      </c>
      <c r="AL92" s="23" t="str">
        <f t="shared" si="82"/>
        <v/>
      </c>
      <c r="AM92" s="23" t="str">
        <f t="shared" si="82"/>
        <v/>
      </c>
      <c r="AN92" s="23" t="str">
        <f t="shared" si="82"/>
        <v/>
      </c>
      <c r="AO92" s="23" t="str">
        <f t="shared" si="83"/>
        <v/>
      </c>
      <c r="AP92" s="23" t="str">
        <f t="shared" si="83"/>
        <v/>
      </c>
      <c r="AQ92" s="23" t="str">
        <f t="shared" si="83"/>
        <v/>
      </c>
      <c r="AR92" s="23" t="str">
        <f t="shared" si="83"/>
        <v/>
      </c>
      <c r="AS92" s="23" t="str">
        <f t="shared" si="83"/>
        <v/>
      </c>
      <c r="AT92" s="23" t="str">
        <f t="shared" si="83"/>
        <v/>
      </c>
      <c r="AU92" s="23" t="str">
        <f t="shared" si="83"/>
        <v/>
      </c>
      <c r="AV92" s="23" t="str">
        <f t="shared" si="83"/>
        <v/>
      </c>
      <c r="AW92" s="23" t="str">
        <f t="shared" si="83"/>
        <v/>
      </c>
      <c r="AX92" s="23" t="str">
        <f t="shared" si="83"/>
        <v/>
      </c>
      <c r="AY92" s="23" t="str">
        <f t="shared" si="84"/>
        <v/>
      </c>
      <c r="AZ92" s="23" t="str">
        <f t="shared" si="84"/>
        <v/>
      </c>
      <c r="BA92" s="23" t="str">
        <f t="shared" si="84"/>
        <v/>
      </c>
      <c r="BB92" s="23" t="str">
        <f t="shared" si="84"/>
        <v/>
      </c>
      <c r="BC92" s="23" t="str">
        <f t="shared" si="84"/>
        <v/>
      </c>
      <c r="BD92" s="23" t="str">
        <f t="shared" si="84"/>
        <v/>
      </c>
      <c r="BE92" s="23" t="str">
        <f t="shared" si="84"/>
        <v/>
      </c>
      <c r="BF92" s="23" t="str">
        <f t="shared" si="84"/>
        <v/>
      </c>
      <c r="BG92" s="23" t="str">
        <f t="shared" si="84"/>
        <v/>
      </c>
      <c r="BH92" s="23" t="str">
        <f t="shared" si="84"/>
        <v/>
      </c>
      <c r="BI92" s="23" t="str">
        <f t="shared" si="85"/>
        <v/>
      </c>
      <c r="BJ92" s="23" t="str">
        <f t="shared" si="85"/>
        <v/>
      </c>
      <c r="BK92" s="23" t="str">
        <f t="shared" si="85"/>
        <v/>
      </c>
      <c r="BL92" s="23" t="str">
        <f t="shared" si="85"/>
        <v/>
      </c>
      <c r="BM92" s="23" t="str">
        <f t="shared" si="85"/>
        <v/>
      </c>
      <c r="BN92" s="23" t="str">
        <f t="shared" si="85"/>
        <v/>
      </c>
      <c r="BO92" s="23" t="str">
        <f t="shared" si="85"/>
        <v/>
      </c>
      <c r="BP92" s="23" t="str">
        <f t="shared" si="85"/>
        <v/>
      </c>
      <c r="BQ92" s="23" t="str">
        <f t="shared" si="85"/>
        <v/>
      </c>
      <c r="BR92" s="23" t="str">
        <f t="shared" si="85"/>
        <v/>
      </c>
      <c r="BS92" s="23" t="str">
        <f t="shared" si="85"/>
        <v/>
      </c>
      <c r="BU92" s="29" t="s">
        <v>345</v>
      </c>
    </row>
    <row r="93" spans="1:73" ht="34" outlineLevel="1" x14ac:dyDescent="0.2">
      <c r="A93" s="6" t="s">
        <v>346</v>
      </c>
      <c r="B93" s="25" t="s">
        <v>347</v>
      </c>
      <c r="C93" s="6" t="s">
        <v>55</v>
      </c>
      <c r="D93" s="24" t="s">
        <v>121</v>
      </c>
      <c r="F93" s="6" t="s">
        <v>343</v>
      </c>
      <c r="G93" s="22">
        <v>14</v>
      </c>
      <c r="H93" s="22">
        <v>2</v>
      </c>
      <c r="I93" s="22">
        <f>MEDIAN($I$88,$J$88,$I$88+ROUND((G93-$G$88)/$H$88*($J$88-$I$88+1),0))</f>
        <v>14</v>
      </c>
      <c r="J93" s="22">
        <f>MEDIAN(I93,$J$88,$I$88+ROUND((G93+H93-$G$88)/$H$88*($J$88-$I$88+1),0)-1)</f>
        <v>15</v>
      </c>
      <c r="K93" s="23" t="str">
        <f t="shared" si="80"/>
        <v/>
      </c>
      <c r="L93" s="23" t="str">
        <f t="shared" si="80"/>
        <v/>
      </c>
      <c r="M93" s="23" t="str">
        <f t="shared" si="80"/>
        <v/>
      </c>
      <c r="N93" s="23" t="str">
        <f t="shared" si="80"/>
        <v/>
      </c>
      <c r="O93" s="23" t="str">
        <f t="shared" si="80"/>
        <v/>
      </c>
      <c r="P93" s="23" t="str">
        <f t="shared" si="80"/>
        <v/>
      </c>
      <c r="Q93" s="23" t="str">
        <f t="shared" si="80"/>
        <v/>
      </c>
      <c r="R93" s="23" t="str">
        <f t="shared" si="80"/>
        <v/>
      </c>
      <c r="S93" s="23" t="str">
        <f t="shared" si="80"/>
        <v/>
      </c>
      <c r="T93" s="23" t="str">
        <f t="shared" si="80"/>
        <v/>
      </c>
      <c r="U93" s="23" t="str">
        <f t="shared" si="81"/>
        <v/>
      </c>
      <c r="V93" s="23" t="str">
        <f t="shared" si="81"/>
        <v/>
      </c>
      <c r="W93" s="23" t="str">
        <f t="shared" si="81"/>
        <v/>
      </c>
      <c r="X93" s="23">
        <f t="shared" si="81"/>
        <v>1</v>
      </c>
      <c r="Y93" s="23">
        <f t="shared" si="81"/>
        <v>1</v>
      </c>
      <c r="Z93" s="23" t="str">
        <f t="shared" si="81"/>
        <v/>
      </c>
      <c r="AA93" s="23" t="str">
        <f t="shared" si="81"/>
        <v/>
      </c>
      <c r="AB93" s="23" t="str">
        <f t="shared" si="81"/>
        <v/>
      </c>
      <c r="AC93" s="23" t="str">
        <f t="shared" si="81"/>
        <v/>
      </c>
      <c r="AD93" s="23" t="str">
        <f t="shared" si="81"/>
        <v/>
      </c>
      <c r="AE93" s="23" t="str">
        <f t="shared" si="82"/>
        <v/>
      </c>
      <c r="AF93" s="23" t="str">
        <f t="shared" si="82"/>
        <v/>
      </c>
      <c r="AG93" s="23" t="str">
        <f t="shared" si="82"/>
        <v/>
      </c>
      <c r="AH93" s="23" t="str">
        <f t="shared" si="82"/>
        <v/>
      </c>
      <c r="AI93" s="23" t="str">
        <f t="shared" si="82"/>
        <v/>
      </c>
      <c r="AJ93" s="23" t="str">
        <f t="shared" si="82"/>
        <v/>
      </c>
      <c r="AK93" s="23" t="str">
        <f t="shared" si="82"/>
        <v/>
      </c>
      <c r="AL93" s="23" t="str">
        <f t="shared" si="82"/>
        <v/>
      </c>
      <c r="AM93" s="23" t="str">
        <f t="shared" si="82"/>
        <v/>
      </c>
      <c r="AN93" s="23" t="str">
        <f t="shared" si="82"/>
        <v/>
      </c>
      <c r="AO93" s="23" t="str">
        <f t="shared" si="83"/>
        <v/>
      </c>
      <c r="AP93" s="23" t="str">
        <f t="shared" si="83"/>
        <v/>
      </c>
      <c r="AQ93" s="23" t="str">
        <f t="shared" si="83"/>
        <v/>
      </c>
      <c r="AR93" s="23" t="str">
        <f t="shared" si="83"/>
        <v/>
      </c>
      <c r="AS93" s="23" t="str">
        <f t="shared" si="83"/>
        <v/>
      </c>
      <c r="AT93" s="23" t="str">
        <f t="shared" si="83"/>
        <v/>
      </c>
      <c r="AU93" s="23" t="str">
        <f t="shared" si="83"/>
        <v/>
      </c>
      <c r="AV93" s="23" t="str">
        <f t="shared" si="83"/>
        <v/>
      </c>
      <c r="AW93" s="23" t="str">
        <f t="shared" si="83"/>
        <v/>
      </c>
      <c r="AX93" s="23" t="str">
        <f t="shared" si="83"/>
        <v/>
      </c>
      <c r="AY93" s="23" t="str">
        <f t="shared" si="84"/>
        <v/>
      </c>
      <c r="AZ93" s="23" t="str">
        <f t="shared" si="84"/>
        <v/>
      </c>
      <c r="BA93" s="23" t="str">
        <f t="shared" si="84"/>
        <v/>
      </c>
      <c r="BB93" s="23" t="str">
        <f t="shared" si="84"/>
        <v/>
      </c>
      <c r="BC93" s="23" t="str">
        <f t="shared" si="84"/>
        <v/>
      </c>
      <c r="BD93" s="23" t="str">
        <f t="shared" si="84"/>
        <v/>
      </c>
      <c r="BE93" s="23" t="str">
        <f t="shared" si="84"/>
        <v/>
      </c>
      <c r="BF93" s="23" t="str">
        <f t="shared" si="84"/>
        <v/>
      </c>
      <c r="BG93" s="23" t="str">
        <f t="shared" si="84"/>
        <v/>
      </c>
      <c r="BH93" s="23" t="str">
        <f t="shared" si="84"/>
        <v/>
      </c>
      <c r="BI93" s="23" t="str">
        <f t="shared" si="85"/>
        <v/>
      </c>
      <c r="BJ93" s="23" t="str">
        <f t="shared" si="85"/>
        <v/>
      </c>
      <c r="BK93" s="23" t="str">
        <f t="shared" si="85"/>
        <v/>
      </c>
      <c r="BL93" s="23" t="str">
        <f t="shared" si="85"/>
        <v/>
      </c>
      <c r="BM93" s="23" t="str">
        <f t="shared" si="85"/>
        <v/>
      </c>
      <c r="BN93" s="23" t="str">
        <f t="shared" si="85"/>
        <v/>
      </c>
      <c r="BO93" s="23" t="str">
        <f t="shared" si="85"/>
        <v/>
      </c>
      <c r="BP93" s="23" t="str">
        <f t="shared" si="85"/>
        <v/>
      </c>
      <c r="BQ93" s="23" t="str">
        <f t="shared" si="85"/>
        <v/>
      </c>
      <c r="BR93" s="23" t="str">
        <f t="shared" si="85"/>
        <v/>
      </c>
      <c r="BS93" s="23" t="str">
        <f t="shared" si="85"/>
        <v/>
      </c>
      <c r="BU93" s="29" t="s">
        <v>348</v>
      </c>
    </row>
    <row r="94" spans="1:73" x14ac:dyDescent="0.2">
      <c r="BU94" s="30"/>
    </row>
    <row r="95" spans="1:73" ht="17" x14ac:dyDescent="0.2">
      <c r="A95" s="19" t="s">
        <v>349</v>
      </c>
      <c r="B95" s="20" t="s">
        <v>350</v>
      </c>
      <c r="C95" s="19" t="s">
        <v>55</v>
      </c>
      <c r="D95" s="21" t="s">
        <v>128</v>
      </c>
      <c r="E95" s="19" t="s">
        <v>76</v>
      </c>
      <c r="F95" s="19"/>
      <c r="G95" s="22">
        <v>7</v>
      </c>
      <c r="H95" s="22">
        <v>9</v>
      </c>
      <c r="I95" s="22">
        <f>MIN(61,IF(G95&lt;=29,ROUND((G95-1)*(29+SlipWeeks)/29,0)+1,G95+SlipWeeks))</f>
        <v>7</v>
      </c>
      <c r="J95" s="22">
        <f>MIN(61,IF(G95+H95-1&lt;=29,MAX(ROUND((G95+H95-1)*(29+SlipWeeks)/29,0),I95),G95+H95-1+SlipWeeks))</f>
        <v>15</v>
      </c>
      <c r="K95" s="23" t="str">
        <f t="shared" ref="K95:T99" si="86">IF(AND(K$4&gt;=$I95,K$4&lt;=$J95),1,"")</f>
        <v/>
      </c>
      <c r="L95" s="23" t="str">
        <f t="shared" si="86"/>
        <v/>
      </c>
      <c r="M95" s="23" t="str">
        <f t="shared" si="86"/>
        <v/>
      </c>
      <c r="N95" s="23" t="str">
        <f t="shared" si="86"/>
        <v/>
      </c>
      <c r="O95" s="23" t="str">
        <f t="shared" si="86"/>
        <v/>
      </c>
      <c r="P95" s="23" t="str">
        <f t="shared" si="86"/>
        <v/>
      </c>
      <c r="Q95" s="23">
        <f t="shared" si="86"/>
        <v>1</v>
      </c>
      <c r="R95" s="23">
        <f t="shared" si="86"/>
        <v>1</v>
      </c>
      <c r="S95" s="23">
        <f t="shared" si="86"/>
        <v>1</v>
      </c>
      <c r="T95" s="23">
        <f t="shared" si="86"/>
        <v>1</v>
      </c>
      <c r="U95" s="23">
        <f t="shared" ref="U95:AD99" si="87">IF(AND(U$4&gt;=$I95,U$4&lt;=$J95),1,"")</f>
        <v>1</v>
      </c>
      <c r="V95" s="23">
        <f t="shared" si="87"/>
        <v>1</v>
      </c>
      <c r="W95" s="23">
        <f t="shared" si="87"/>
        <v>1</v>
      </c>
      <c r="X95" s="23">
        <f t="shared" si="87"/>
        <v>1</v>
      </c>
      <c r="Y95" s="23">
        <f t="shared" si="87"/>
        <v>1</v>
      </c>
      <c r="Z95" s="23" t="str">
        <f t="shared" si="87"/>
        <v/>
      </c>
      <c r="AA95" s="23" t="str">
        <f t="shared" si="87"/>
        <v/>
      </c>
      <c r="AB95" s="23" t="str">
        <f t="shared" si="87"/>
        <v/>
      </c>
      <c r="AC95" s="23" t="str">
        <f t="shared" si="87"/>
        <v/>
      </c>
      <c r="AD95" s="23" t="str">
        <f t="shared" si="87"/>
        <v/>
      </c>
      <c r="AE95" s="23" t="str">
        <f t="shared" ref="AE95:AN99" si="88">IF(AND(AE$4&gt;=$I95,AE$4&lt;=$J95),1,"")</f>
        <v/>
      </c>
      <c r="AF95" s="23" t="str">
        <f t="shared" si="88"/>
        <v/>
      </c>
      <c r="AG95" s="23" t="str">
        <f t="shared" si="88"/>
        <v/>
      </c>
      <c r="AH95" s="23" t="str">
        <f t="shared" si="88"/>
        <v/>
      </c>
      <c r="AI95" s="23" t="str">
        <f t="shared" si="88"/>
        <v/>
      </c>
      <c r="AJ95" s="23" t="str">
        <f t="shared" si="88"/>
        <v/>
      </c>
      <c r="AK95" s="23" t="str">
        <f t="shared" si="88"/>
        <v/>
      </c>
      <c r="AL95" s="23" t="str">
        <f t="shared" si="88"/>
        <v/>
      </c>
      <c r="AM95" s="23" t="str">
        <f t="shared" si="88"/>
        <v/>
      </c>
      <c r="AN95" s="23" t="str">
        <f t="shared" si="88"/>
        <v/>
      </c>
      <c r="AO95" s="23" t="str">
        <f t="shared" ref="AO95:AX99" si="89">IF(AND(AO$4&gt;=$I95,AO$4&lt;=$J95),1,"")</f>
        <v/>
      </c>
      <c r="AP95" s="23" t="str">
        <f t="shared" si="89"/>
        <v/>
      </c>
      <c r="AQ95" s="23" t="str">
        <f t="shared" si="89"/>
        <v/>
      </c>
      <c r="AR95" s="23" t="str">
        <f t="shared" si="89"/>
        <v/>
      </c>
      <c r="AS95" s="23" t="str">
        <f t="shared" si="89"/>
        <v/>
      </c>
      <c r="AT95" s="23" t="str">
        <f t="shared" si="89"/>
        <v/>
      </c>
      <c r="AU95" s="23" t="str">
        <f t="shared" si="89"/>
        <v/>
      </c>
      <c r="AV95" s="23" t="str">
        <f t="shared" si="89"/>
        <v/>
      </c>
      <c r="AW95" s="23" t="str">
        <f t="shared" si="89"/>
        <v/>
      </c>
      <c r="AX95" s="23" t="str">
        <f t="shared" si="89"/>
        <v/>
      </c>
      <c r="AY95" s="23" t="str">
        <f t="shared" ref="AY95:BH99" si="90">IF(AND(AY$4&gt;=$I95,AY$4&lt;=$J95),1,"")</f>
        <v/>
      </c>
      <c r="AZ95" s="23" t="str">
        <f t="shared" si="90"/>
        <v/>
      </c>
      <c r="BA95" s="23" t="str">
        <f t="shared" si="90"/>
        <v/>
      </c>
      <c r="BB95" s="23" t="str">
        <f t="shared" si="90"/>
        <v/>
      </c>
      <c r="BC95" s="23" t="str">
        <f t="shared" si="90"/>
        <v/>
      </c>
      <c r="BD95" s="23" t="str">
        <f t="shared" si="90"/>
        <v/>
      </c>
      <c r="BE95" s="23" t="str">
        <f t="shared" si="90"/>
        <v/>
      </c>
      <c r="BF95" s="23" t="str">
        <f t="shared" si="90"/>
        <v/>
      </c>
      <c r="BG95" s="23" t="str">
        <f t="shared" si="90"/>
        <v/>
      </c>
      <c r="BH95" s="23" t="str">
        <f t="shared" si="90"/>
        <v/>
      </c>
      <c r="BI95" s="23" t="str">
        <f t="shared" ref="BI95:BS99" si="91">IF(AND(BI$4&gt;=$I95,BI$4&lt;=$J95),1,"")</f>
        <v/>
      </c>
      <c r="BJ95" s="23" t="str">
        <f t="shared" si="91"/>
        <v/>
      </c>
      <c r="BK95" s="23" t="str">
        <f t="shared" si="91"/>
        <v/>
      </c>
      <c r="BL95" s="23" t="str">
        <f t="shared" si="91"/>
        <v/>
      </c>
      <c r="BM95" s="23" t="str">
        <f t="shared" si="91"/>
        <v/>
      </c>
      <c r="BN95" s="23" t="str">
        <f t="shared" si="91"/>
        <v/>
      </c>
      <c r="BO95" s="23" t="str">
        <f t="shared" si="91"/>
        <v/>
      </c>
      <c r="BP95" s="23" t="str">
        <f t="shared" si="91"/>
        <v/>
      </c>
      <c r="BQ95" s="23" t="str">
        <f t="shared" si="91"/>
        <v/>
      </c>
      <c r="BR95" s="23" t="str">
        <f t="shared" si="91"/>
        <v/>
      </c>
      <c r="BS95" s="23" t="str">
        <f t="shared" si="91"/>
        <v/>
      </c>
      <c r="BT95" s="24" t="str">
        <f>IF(IF(G95+H95-1&lt;=29,MAX(ROUND((G95+H95-1)*(29+SlipWeeks)/29,0),$I95),G95+H95-1+SlipWeeks)&gt;61,"▶ clipped","")</f>
        <v/>
      </c>
      <c r="BU95" s="29" t="s">
        <v>351</v>
      </c>
    </row>
    <row r="96" spans="1:73" ht="17" outlineLevel="1" x14ac:dyDescent="0.2">
      <c r="A96" s="6" t="s">
        <v>352</v>
      </c>
      <c r="B96" s="25" t="s">
        <v>353</v>
      </c>
      <c r="C96" s="6" t="s">
        <v>55</v>
      </c>
      <c r="D96" s="24" t="s">
        <v>128</v>
      </c>
      <c r="F96" s="6"/>
      <c r="G96" s="22">
        <v>7</v>
      </c>
      <c r="H96" s="22">
        <v>2</v>
      </c>
      <c r="I96" s="22">
        <f>MEDIAN($I$95,$J$95,$I$95+ROUND((G96-$G$95)/$H$95*($J$95-$I$95+1),0))</f>
        <v>7</v>
      </c>
      <c r="J96" s="22">
        <f>MEDIAN(I96,$J$95,$I$95+ROUND((G96+H96-$G$95)/$H$95*($J$95-$I$95+1),0)-1)</f>
        <v>8</v>
      </c>
      <c r="K96" s="23" t="str">
        <f t="shared" si="86"/>
        <v/>
      </c>
      <c r="L96" s="23" t="str">
        <f t="shared" si="86"/>
        <v/>
      </c>
      <c r="M96" s="23" t="str">
        <f t="shared" si="86"/>
        <v/>
      </c>
      <c r="N96" s="23" t="str">
        <f t="shared" si="86"/>
        <v/>
      </c>
      <c r="O96" s="23" t="str">
        <f t="shared" si="86"/>
        <v/>
      </c>
      <c r="P96" s="23" t="str">
        <f t="shared" si="86"/>
        <v/>
      </c>
      <c r="Q96" s="23">
        <f t="shared" si="86"/>
        <v>1</v>
      </c>
      <c r="R96" s="23">
        <f t="shared" si="86"/>
        <v>1</v>
      </c>
      <c r="S96" s="23" t="str">
        <f t="shared" si="86"/>
        <v/>
      </c>
      <c r="T96" s="23" t="str">
        <f t="shared" si="86"/>
        <v/>
      </c>
      <c r="U96" s="23" t="str">
        <f t="shared" si="87"/>
        <v/>
      </c>
      <c r="V96" s="23" t="str">
        <f t="shared" si="87"/>
        <v/>
      </c>
      <c r="W96" s="23" t="str">
        <f t="shared" si="87"/>
        <v/>
      </c>
      <c r="X96" s="23" t="str">
        <f t="shared" si="87"/>
        <v/>
      </c>
      <c r="Y96" s="23" t="str">
        <f t="shared" si="87"/>
        <v/>
      </c>
      <c r="Z96" s="23" t="str">
        <f t="shared" si="87"/>
        <v/>
      </c>
      <c r="AA96" s="23" t="str">
        <f t="shared" si="87"/>
        <v/>
      </c>
      <c r="AB96" s="23" t="str">
        <f t="shared" si="87"/>
        <v/>
      </c>
      <c r="AC96" s="23" t="str">
        <f t="shared" si="87"/>
        <v/>
      </c>
      <c r="AD96" s="23" t="str">
        <f t="shared" si="87"/>
        <v/>
      </c>
      <c r="AE96" s="23" t="str">
        <f t="shared" si="88"/>
        <v/>
      </c>
      <c r="AF96" s="23" t="str">
        <f t="shared" si="88"/>
        <v/>
      </c>
      <c r="AG96" s="23" t="str">
        <f t="shared" si="88"/>
        <v/>
      </c>
      <c r="AH96" s="23" t="str">
        <f t="shared" si="88"/>
        <v/>
      </c>
      <c r="AI96" s="23" t="str">
        <f t="shared" si="88"/>
        <v/>
      </c>
      <c r="AJ96" s="23" t="str">
        <f t="shared" si="88"/>
        <v/>
      </c>
      <c r="AK96" s="23" t="str">
        <f t="shared" si="88"/>
        <v/>
      </c>
      <c r="AL96" s="23" t="str">
        <f t="shared" si="88"/>
        <v/>
      </c>
      <c r="AM96" s="23" t="str">
        <f t="shared" si="88"/>
        <v/>
      </c>
      <c r="AN96" s="23" t="str">
        <f t="shared" si="88"/>
        <v/>
      </c>
      <c r="AO96" s="23" t="str">
        <f t="shared" si="89"/>
        <v/>
      </c>
      <c r="AP96" s="23" t="str">
        <f t="shared" si="89"/>
        <v/>
      </c>
      <c r="AQ96" s="23" t="str">
        <f t="shared" si="89"/>
        <v/>
      </c>
      <c r="AR96" s="23" t="str">
        <f t="shared" si="89"/>
        <v/>
      </c>
      <c r="AS96" s="23" t="str">
        <f t="shared" si="89"/>
        <v/>
      </c>
      <c r="AT96" s="23" t="str">
        <f t="shared" si="89"/>
        <v/>
      </c>
      <c r="AU96" s="23" t="str">
        <f t="shared" si="89"/>
        <v/>
      </c>
      <c r="AV96" s="23" t="str">
        <f t="shared" si="89"/>
        <v/>
      </c>
      <c r="AW96" s="23" t="str">
        <f t="shared" si="89"/>
        <v/>
      </c>
      <c r="AX96" s="23" t="str">
        <f t="shared" si="89"/>
        <v/>
      </c>
      <c r="AY96" s="23" t="str">
        <f t="shared" si="90"/>
        <v/>
      </c>
      <c r="AZ96" s="23" t="str">
        <f t="shared" si="90"/>
        <v/>
      </c>
      <c r="BA96" s="23" t="str">
        <f t="shared" si="90"/>
        <v/>
      </c>
      <c r="BB96" s="23" t="str">
        <f t="shared" si="90"/>
        <v/>
      </c>
      <c r="BC96" s="23" t="str">
        <f t="shared" si="90"/>
        <v/>
      </c>
      <c r="BD96" s="23" t="str">
        <f t="shared" si="90"/>
        <v/>
      </c>
      <c r="BE96" s="23" t="str">
        <f t="shared" si="90"/>
        <v/>
      </c>
      <c r="BF96" s="23" t="str">
        <f t="shared" si="90"/>
        <v/>
      </c>
      <c r="BG96" s="23" t="str">
        <f t="shared" si="90"/>
        <v/>
      </c>
      <c r="BH96" s="23" t="str">
        <f t="shared" si="90"/>
        <v/>
      </c>
      <c r="BI96" s="23" t="str">
        <f t="shared" si="91"/>
        <v/>
      </c>
      <c r="BJ96" s="23" t="str">
        <f t="shared" si="91"/>
        <v/>
      </c>
      <c r="BK96" s="23" t="str">
        <f t="shared" si="91"/>
        <v/>
      </c>
      <c r="BL96" s="23" t="str">
        <f t="shared" si="91"/>
        <v/>
      </c>
      <c r="BM96" s="23" t="str">
        <f t="shared" si="91"/>
        <v/>
      </c>
      <c r="BN96" s="23" t="str">
        <f t="shared" si="91"/>
        <v/>
      </c>
      <c r="BO96" s="23" t="str">
        <f t="shared" si="91"/>
        <v/>
      </c>
      <c r="BP96" s="23" t="str">
        <f t="shared" si="91"/>
        <v/>
      </c>
      <c r="BQ96" s="23" t="str">
        <f t="shared" si="91"/>
        <v/>
      </c>
      <c r="BR96" s="23" t="str">
        <f t="shared" si="91"/>
        <v/>
      </c>
      <c r="BS96" s="23" t="str">
        <f t="shared" si="91"/>
        <v/>
      </c>
      <c r="BU96" s="29" t="s">
        <v>354</v>
      </c>
    </row>
    <row r="97" spans="1:73" ht="17" outlineLevel="1" x14ac:dyDescent="0.2">
      <c r="A97" s="6" t="s">
        <v>355</v>
      </c>
      <c r="B97" s="25" t="s">
        <v>356</v>
      </c>
      <c r="C97" s="6" t="s">
        <v>55</v>
      </c>
      <c r="D97" s="24" t="s">
        <v>128</v>
      </c>
      <c r="F97" s="6" t="s">
        <v>352</v>
      </c>
      <c r="G97" s="22">
        <v>9</v>
      </c>
      <c r="H97" s="22">
        <v>2</v>
      </c>
      <c r="I97" s="22">
        <f>MEDIAN($I$95,$J$95,$I$95+ROUND((G97-$G$95)/$H$95*($J$95-$I$95+1),0))</f>
        <v>9</v>
      </c>
      <c r="J97" s="22">
        <f>MEDIAN(I97,$J$95,$I$95+ROUND((G97+H97-$G$95)/$H$95*($J$95-$I$95+1),0)-1)</f>
        <v>10</v>
      </c>
      <c r="K97" s="23" t="str">
        <f t="shared" si="86"/>
        <v/>
      </c>
      <c r="L97" s="23" t="str">
        <f t="shared" si="86"/>
        <v/>
      </c>
      <c r="M97" s="23" t="str">
        <f t="shared" si="86"/>
        <v/>
      </c>
      <c r="N97" s="23" t="str">
        <f t="shared" si="86"/>
        <v/>
      </c>
      <c r="O97" s="23" t="str">
        <f t="shared" si="86"/>
        <v/>
      </c>
      <c r="P97" s="23" t="str">
        <f t="shared" si="86"/>
        <v/>
      </c>
      <c r="Q97" s="23" t="str">
        <f t="shared" si="86"/>
        <v/>
      </c>
      <c r="R97" s="23" t="str">
        <f t="shared" si="86"/>
        <v/>
      </c>
      <c r="S97" s="23">
        <f t="shared" si="86"/>
        <v>1</v>
      </c>
      <c r="T97" s="23">
        <f t="shared" si="86"/>
        <v>1</v>
      </c>
      <c r="U97" s="23" t="str">
        <f t="shared" si="87"/>
        <v/>
      </c>
      <c r="V97" s="23" t="str">
        <f t="shared" si="87"/>
        <v/>
      </c>
      <c r="W97" s="23" t="str">
        <f t="shared" si="87"/>
        <v/>
      </c>
      <c r="X97" s="23" t="str">
        <f t="shared" si="87"/>
        <v/>
      </c>
      <c r="Y97" s="23" t="str">
        <f t="shared" si="87"/>
        <v/>
      </c>
      <c r="Z97" s="23" t="str">
        <f t="shared" si="87"/>
        <v/>
      </c>
      <c r="AA97" s="23" t="str">
        <f t="shared" si="87"/>
        <v/>
      </c>
      <c r="AB97" s="23" t="str">
        <f t="shared" si="87"/>
        <v/>
      </c>
      <c r="AC97" s="23" t="str">
        <f t="shared" si="87"/>
        <v/>
      </c>
      <c r="AD97" s="23" t="str">
        <f t="shared" si="87"/>
        <v/>
      </c>
      <c r="AE97" s="23" t="str">
        <f t="shared" si="88"/>
        <v/>
      </c>
      <c r="AF97" s="23" t="str">
        <f t="shared" si="88"/>
        <v/>
      </c>
      <c r="AG97" s="23" t="str">
        <f t="shared" si="88"/>
        <v/>
      </c>
      <c r="AH97" s="23" t="str">
        <f t="shared" si="88"/>
        <v/>
      </c>
      <c r="AI97" s="23" t="str">
        <f t="shared" si="88"/>
        <v/>
      </c>
      <c r="AJ97" s="23" t="str">
        <f t="shared" si="88"/>
        <v/>
      </c>
      <c r="AK97" s="23" t="str">
        <f t="shared" si="88"/>
        <v/>
      </c>
      <c r="AL97" s="23" t="str">
        <f t="shared" si="88"/>
        <v/>
      </c>
      <c r="AM97" s="23" t="str">
        <f t="shared" si="88"/>
        <v/>
      </c>
      <c r="AN97" s="23" t="str">
        <f t="shared" si="88"/>
        <v/>
      </c>
      <c r="AO97" s="23" t="str">
        <f t="shared" si="89"/>
        <v/>
      </c>
      <c r="AP97" s="23" t="str">
        <f t="shared" si="89"/>
        <v/>
      </c>
      <c r="AQ97" s="23" t="str">
        <f t="shared" si="89"/>
        <v/>
      </c>
      <c r="AR97" s="23" t="str">
        <f t="shared" si="89"/>
        <v/>
      </c>
      <c r="AS97" s="23" t="str">
        <f t="shared" si="89"/>
        <v/>
      </c>
      <c r="AT97" s="23" t="str">
        <f t="shared" si="89"/>
        <v/>
      </c>
      <c r="AU97" s="23" t="str">
        <f t="shared" si="89"/>
        <v/>
      </c>
      <c r="AV97" s="23" t="str">
        <f t="shared" si="89"/>
        <v/>
      </c>
      <c r="AW97" s="23" t="str">
        <f t="shared" si="89"/>
        <v/>
      </c>
      <c r="AX97" s="23" t="str">
        <f t="shared" si="89"/>
        <v/>
      </c>
      <c r="AY97" s="23" t="str">
        <f t="shared" si="90"/>
        <v/>
      </c>
      <c r="AZ97" s="23" t="str">
        <f t="shared" si="90"/>
        <v/>
      </c>
      <c r="BA97" s="23" t="str">
        <f t="shared" si="90"/>
        <v/>
      </c>
      <c r="BB97" s="23" t="str">
        <f t="shared" si="90"/>
        <v/>
      </c>
      <c r="BC97" s="23" t="str">
        <f t="shared" si="90"/>
        <v/>
      </c>
      <c r="BD97" s="23" t="str">
        <f t="shared" si="90"/>
        <v/>
      </c>
      <c r="BE97" s="23" t="str">
        <f t="shared" si="90"/>
        <v/>
      </c>
      <c r="BF97" s="23" t="str">
        <f t="shared" si="90"/>
        <v/>
      </c>
      <c r="BG97" s="23" t="str">
        <f t="shared" si="90"/>
        <v/>
      </c>
      <c r="BH97" s="23" t="str">
        <f t="shared" si="90"/>
        <v/>
      </c>
      <c r="BI97" s="23" t="str">
        <f t="shared" si="91"/>
        <v/>
      </c>
      <c r="BJ97" s="23" t="str">
        <f t="shared" si="91"/>
        <v/>
      </c>
      <c r="BK97" s="23" t="str">
        <f t="shared" si="91"/>
        <v/>
      </c>
      <c r="BL97" s="23" t="str">
        <f t="shared" si="91"/>
        <v/>
      </c>
      <c r="BM97" s="23" t="str">
        <f t="shared" si="91"/>
        <v/>
      </c>
      <c r="BN97" s="23" t="str">
        <f t="shared" si="91"/>
        <v/>
      </c>
      <c r="BO97" s="23" t="str">
        <f t="shared" si="91"/>
        <v/>
      </c>
      <c r="BP97" s="23" t="str">
        <f t="shared" si="91"/>
        <v/>
      </c>
      <c r="BQ97" s="23" t="str">
        <f t="shared" si="91"/>
        <v/>
      </c>
      <c r="BR97" s="23" t="str">
        <f t="shared" si="91"/>
        <v/>
      </c>
      <c r="BS97" s="23" t="str">
        <f t="shared" si="91"/>
        <v/>
      </c>
      <c r="BU97" s="29" t="s">
        <v>357</v>
      </c>
    </row>
    <row r="98" spans="1:73" ht="34" outlineLevel="1" x14ac:dyDescent="0.2">
      <c r="A98" s="6" t="s">
        <v>358</v>
      </c>
      <c r="B98" s="25" t="s">
        <v>359</v>
      </c>
      <c r="C98" s="6" t="s">
        <v>55</v>
      </c>
      <c r="D98" s="24" t="s">
        <v>128</v>
      </c>
      <c r="F98" s="6" t="s">
        <v>355</v>
      </c>
      <c r="G98" s="22">
        <v>11</v>
      </c>
      <c r="H98" s="22">
        <v>2</v>
      </c>
      <c r="I98" s="22">
        <f>MEDIAN($I$95,$J$95,$I$95+ROUND((G98-$G$95)/$H$95*($J$95-$I$95+1),0))</f>
        <v>11</v>
      </c>
      <c r="J98" s="22">
        <f>MEDIAN(I98,$J$95,$I$95+ROUND((G98+H98-$G$95)/$H$95*($J$95-$I$95+1),0)-1)</f>
        <v>12</v>
      </c>
      <c r="K98" s="23" t="str">
        <f t="shared" si="86"/>
        <v/>
      </c>
      <c r="L98" s="23" t="str">
        <f t="shared" si="86"/>
        <v/>
      </c>
      <c r="M98" s="23" t="str">
        <f t="shared" si="86"/>
        <v/>
      </c>
      <c r="N98" s="23" t="str">
        <f t="shared" si="86"/>
        <v/>
      </c>
      <c r="O98" s="23" t="str">
        <f t="shared" si="86"/>
        <v/>
      </c>
      <c r="P98" s="23" t="str">
        <f t="shared" si="86"/>
        <v/>
      </c>
      <c r="Q98" s="23" t="str">
        <f t="shared" si="86"/>
        <v/>
      </c>
      <c r="R98" s="23" t="str">
        <f t="shared" si="86"/>
        <v/>
      </c>
      <c r="S98" s="23" t="str">
        <f t="shared" si="86"/>
        <v/>
      </c>
      <c r="T98" s="23" t="str">
        <f t="shared" si="86"/>
        <v/>
      </c>
      <c r="U98" s="23">
        <f t="shared" si="87"/>
        <v>1</v>
      </c>
      <c r="V98" s="23">
        <f t="shared" si="87"/>
        <v>1</v>
      </c>
      <c r="W98" s="23" t="str">
        <f t="shared" si="87"/>
        <v/>
      </c>
      <c r="X98" s="23" t="str">
        <f t="shared" si="87"/>
        <v/>
      </c>
      <c r="Y98" s="23" t="str">
        <f t="shared" si="87"/>
        <v/>
      </c>
      <c r="Z98" s="23" t="str">
        <f t="shared" si="87"/>
        <v/>
      </c>
      <c r="AA98" s="23" t="str">
        <f t="shared" si="87"/>
        <v/>
      </c>
      <c r="AB98" s="23" t="str">
        <f t="shared" si="87"/>
        <v/>
      </c>
      <c r="AC98" s="23" t="str">
        <f t="shared" si="87"/>
        <v/>
      </c>
      <c r="AD98" s="23" t="str">
        <f t="shared" si="87"/>
        <v/>
      </c>
      <c r="AE98" s="23" t="str">
        <f t="shared" si="88"/>
        <v/>
      </c>
      <c r="AF98" s="23" t="str">
        <f t="shared" si="88"/>
        <v/>
      </c>
      <c r="AG98" s="23" t="str">
        <f t="shared" si="88"/>
        <v/>
      </c>
      <c r="AH98" s="23" t="str">
        <f t="shared" si="88"/>
        <v/>
      </c>
      <c r="AI98" s="23" t="str">
        <f t="shared" si="88"/>
        <v/>
      </c>
      <c r="AJ98" s="23" t="str">
        <f t="shared" si="88"/>
        <v/>
      </c>
      <c r="AK98" s="23" t="str">
        <f t="shared" si="88"/>
        <v/>
      </c>
      <c r="AL98" s="23" t="str">
        <f t="shared" si="88"/>
        <v/>
      </c>
      <c r="AM98" s="23" t="str">
        <f t="shared" si="88"/>
        <v/>
      </c>
      <c r="AN98" s="23" t="str">
        <f t="shared" si="88"/>
        <v/>
      </c>
      <c r="AO98" s="23" t="str">
        <f t="shared" si="89"/>
        <v/>
      </c>
      <c r="AP98" s="23" t="str">
        <f t="shared" si="89"/>
        <v/>
      </c>
      <c r="AQ98" s="23" t="str">
        <f t="shared" si="89"/>
        <v/>
      </c>
      <c r="AR98" s="23" t="str">
        <f t="shared" si="89"/>
        <v/>
      </c>
      <c r="AS98" s="23" t="str">
        <f t="shared" si="89"/>
        <v/>
      </c>
      <c r="AT98" s="23" t="str">
        <f t="shared" si="89"/>
        <v/>
      </c>
      <c r="AU98" s="23" t="str">
        <f t="shared" si="89"/>
        <v/>
      </c>
      <c r="AV98" s="23" t="str">
        <f t="shared" si="89"/>
        <v/>
      </c>
      <c r="AW98" s="23" t="str">
        <f t="shared" si="89"/>
        <v/>
      </c>
      <c r="AX98" s="23" t="str">
        <f t="shared" si="89"/>
        <v/>
      </c>
      <c r="AY98" s="23" t="str">
        <f t="shared" si="90"/>
        <v/>
      </c>
      <c r="AZ98" s="23" t="str">
        <f t="shared" si="90"/>
        <v/>
      </c>
      <c r="BA98" s="23" t="str">
        <f t="shared" si="90"/>
        <v/>
      </c>
      <c r="BB98" s="23" t="str">
        <f t="shared" si="90"/>
        <v/>
      </c>
      <c r="BC98" s="23" t="str">
        <f t="shared" si="90"/>
        <v/>
      </c>
      <c r="BD98" s="23" t="str">
        <f t="shared" si="90"/>
        <v/>
      </c>
      <c r="BE98" s="23" t="str">
        <f t="shared" si="90"/>
        <v/>
      </c>
      <c r="BF98" s="23" t="str">
        <f t="shared" si="90"/>
        <v/>
      </c>
      <c r="BG98" s="23" t="str">
        <f t="shared" si="90"/>
        <v/>
      </c>
      <c r="BH98" s="23" t="str">
        <f t="shared" si="90"/>
        <v/>
      </c>
      <c r="BI98" s="23" t="str">
        <f t="shared" si="91"/>
        <v/>
      </c>
      <c r="BJ98" s="23" t="str">
        <f t="shared" si="91"/>
        <v/>
      </c>
      <c r="BK98" s="23" t="str">
        <f t="shared" si="91"/>
        <v/>
      </c>
      <c r="BL98" s="23" t="str">
        <f t="shared" si="91"/>
        <v/>
      </c>
      <c r="BM98" s="23" t="str">
        <f t="shared" si="91"/>
        <v/>
      </c>
      <c r="BN98" s="23" t="str">
        <f t="shared" si="91"/>
        <v/>
      </c>
      <c r="BO98" s="23" t="str">
        <f t="shared" si="91"/>
        <v/>
      </c>
      <c r="BP98" s="23" t="str">
        <f t="shared" si="91"/>
        <v/>
      </c>
      <c r="BQ98" s="23" t="str">
        <f t="shared" si="91"/>
        <v/>
      </c>
      <c r="BR98" s="23" t="str">
        <f t="shared" si="91"/>
        <v/>
      </c>
      <c r="BS98" s="23" t="str">
        <f t="shared" si="91"/>
        <v/>
      </c>
      <c r="BU98" s="29" t="s">
        <v>360</v>
      </c>
    </row>
    <row r="99" spans="1:73" ht="17" outlineLevel="1" x14ac:dyDescent="0.2">
      <c r="A99" s="6" t="s">
        <v>361</v>
      </c>
      <c r="B99" s="25" t="s">
        <v>362</v>
      </c>
      <c r="C99" s="6" t="s">
        <v>55</v>
      </c>
      <c r="D99" s="24" t="s">
        <v>128</v>
      </c>
      <c r="F99" s="6" t="s">
        <v>358</v>
      </c>
      <c r="G99" s="22">
        <v>13</v>
      </c>
      <c r="H99" s="22">
        <v>3</v>
      </c>
      <c r="I99" s="22">
        <f>MEDIAN($I$95,$J$95,$I$95+ROUND((G99-$G$95)/$H$95*($J$95-$I$95+1),0))</f>
        <v>13</v>
      </c>
      <c r="J99" s="22">
        <f>MEDIAN(I99,$J$95,$I$95+ROUND((G99+H99-$G$95)/$H$95*($J$95-$I$95+1),0)-1)</f>
        <v>15</v>
      </c>
      <c r="K99" s="23" t="str">
        <f t="shared" si="86"/>
        <v/>
      </c>
      <c r="L99" s="23" t="str">
        <f t="shared" si="86"/>
        <v/>
      </c>
      <c r="M99" s="23" t="str">
        <f t="shared" si="86"/>
        <v/>
      </c>
      <c r="N99" s="23" t="str">
        <f t="shared" si="86"/>
        <v/>
      </c>
      <c r="O99" s="23" t="str">
        <f t="shared" si="86"/>
        <v/>
      </c>
      <c r="P99" s="23" t="str">
        <f t="shared" si="86"/>
        <v/>
      </c>
      <c r="Q99" s="23" t="str">
        <f t="shared" si="86"/>
        <v/>
      </c>
      <c r="R99" s="23" t="str">
        <f t="shared" si="86"/>
        <v/>
      </c>
      <c r="S99" s="23" t="str">
        <f t="shared" si="86"/>
        <v/>
      </c>
      <c r="T99" s="23" t="str">
        <f t="shared" si="86"/>
        <v/>
      </c>
      <c r="U99" s="23" t="str">
        <f t="shared" si="87"/>
        <v/>
      </c>
      <c r="V99" s="23" t="str">
        <f t="shared" si="87"/>
        <v/>
      </c>
      <c r="W99" s="23">
        <f t="shared" si="87"/>
        <v>1</v>
      </c>
      <c r="X99" s="23">
        <f t="shared" si="87"/>
        <v>1</v>
      </c>
      <c r="Y99" s="23">
        <f t="shared" si="87"/>
        <v>1</v>
      </c>
      <c r="Z99" s="23" t="str">
        <f t="shared" si="87"/>
        <v/>
      </c>
      <c r="AA99" s="23" t="str">
        <f t="shared" si="87"/>
        <v/>
      </c>
      <c r="AB99" s="23" t="str">
        <f t="shared" si="87"/>
        <v/>
      </c>
      <c r="AC99" s="23" t="str">
        <f t="shared" si="87"/>
        <v/>
      </c>
      <c r="AD99" s="23" t="str">
        <f t="shared" si="87"/>
        <v/>
      </c>
      <c r="AE99" s="23" t="str">
        <f t="shared" si="88"/>
        <v/>
      </c>
      <c r="AF99" s="23" t="str">
        <f t="shared" si="88"/>
        <v/>
      </c>
      <c r="AG99" s="23" t="str">
        <f t="shared" si="88"/>
        <v/>
      </c>
      <c r="AH99" s="23" t="str">
        <f t="shared" si="88"/>
        <v/>
      </c>
      <c r="AI99" s="23" t="str">
        <f t="shared" si="88"/>
        <v/>
      </c>
      <c r="AJ99" s="23" t="str">
        <f t="shared" si="88"/>
        <v/>
      </c>
      <c r="AK99" s="23" t="str">
        <f t="shared" si="88"/>
        <v/>
      </c>
      <c r="AL99" s="23" t="str">
        <f t="shared" si="88"/>
        <v/>
      </c>
      <c r="AM99" s="23" t="str">
        <f t="shared" si="88"/>
        <v/>
      </c>
      <c r="AN99" s="23" t="str">
        <f t="shared" si="88"/>
        <v/>
      </c>
      <c r="AO99" s="23" t="str">
        <f t="shared" si="89"/>
        <v/>
      </c>
      <c r="AP99" s="23" t="str">
        <f t="shared" si="89"/>
        <v/>
      </c>
      <c r="AQ99" s="23" t="str">
        <f t="shared" si="89"/>
        <v/>
      </c>
      <c r="AR99" s="23" t="str">
        <f t="shared" si="89"/>
        <v/>
      </c>
      <c r="AS99" s="23" t="str">
        <f t="shared" si="89"/>
        <v/>
      </c>
      <c r="AT99" s="23" t="str">
        <f t="shared" si="89"/>
        <v/>
      </c>
      <c r="AU99" s="23" t="str">
        <f t="shared" si="89"/>
        <v/>
      </c>
      <c r="AV99" s="23" t="str">
        <f t="shared" si="89"/>
        <v/>
      </c>
      <c r="AW99" s="23" t="str">
        <f t="shared" si="89"/>
        <v/>
      </c>
      <c r="AX99" s="23" t="str">
        <f t="shared" si="89"/>
        <v/>
      </c>
      <c r="AY99" s="23" t="str">
        <f t="shared" si="90"/>
        <v/>
      </c>
      <c r="AZ99" s="23" t="str">
        <f t="shared" si="90"/>
        <v/>
      </c>
      <c r="BA99" s="23" t="str">
        <f t="shared" si="90"/>
        <v/>
      </c>
      <c r="BB99" s="23" t="str">
        <f t="shared" si="90"/>
        <v/>
      </c>
      <c r="BC99" s="23" t="str">
        <f t="shared" si="90"/>
        <v/>
      </c>
      <c r="BD99" s="23" t="str">
        <f t="shared" si="90"/>
        <v/>
      </c>
      <c r="BE99" s="23" t="str">
        <f t="shared" si="90"/>
        <v/>
      </c>
      <c r="BF99" s="23" t="str">
        <f t="shared" si="90"/>
        <v/>
      </c>
      <c r="BG99" s="23" t="str">
        <f t="shared" si="90"/>
        <v/>
      </c>
      <c r="BH99" s="23" t="str">
        <f t="shared" si="90"/>
        <v/>
      </c>
      <c r="BI99" s="23" t="str">
        <f t="shared" si="91"/>
        <v/>
      </c>
      <c r="BJ99" s="23" t="str">
        <f t="shared" si="91"/>
        <v/>
      </c>
      <c r="BK99" s="23" t="str">
        <f t="shared" si="91"/>
        <v/>
      </c>
      <c r="BL99" s="23" t="str">
        <f t="shared" si="91"/>
        <v/>
      </c>
      <c r="BM99" s="23" t="str">
        <f t="shared" si="91"/>
        <v/>
      </c>
      <c r="BN99" s="23" t="str">
        <f t="shared" si="91"/>
        <v/>
      </c>
      <c r="BO99" s="23" t="str">
        <f t="shared" si="91"/>
        <v/>
      </c>
      <c r="BP99" s="23" t="str">
        <f t="shared" si="91"/>
        <v/>
      </c>
      <c r="BQ99" s="23" t="str">
        <f t="shared" si="91"/>
        <v/>
      </c>
      <c r="BR99" s="23" t="str">
        <f t="shared" si="91"/>
        <v/>
      </c>
      <c r="BS99" s="23" t="str">
        <f t="shared" si="91"/>
        <v/>
      </c>
      <c r="BU99" s="29" t="s">
        <v>363</v>
      </c>
    </row>
    <row r="100" spans="1:73" x14ac:dyDescent="0.2">
      <c r="BU100" s="30"/>
    </row>
    <row r="101" spans="1:73" ht="17" x14ac:dyDescent="0.2">
      <c r="A101" s="19" t="s">
        <v>364</v>
      </c>
      <c r="B101" s="20" t="s">
        <v>365</v>
      </c>
      <c r="C101" s="19" t="s">
        <v>55</v>
      </c>
      <c r="D101" s="21" t="s">
        <v>117</v>
      </c>
      <c r="E101" s="19"/>
      <c r="F101" s="19"/>
      <c r="G101" s="22">
        <v>6</v>
      </c>
      <c r="H101" s="22">
        <v>10</v>
      </c>
      <c r="I101" s="22">
        <f>MIN(61,IF(G101&lt;=29,ROUND((G101-1)*(29+SlipWeeks)/29,0)+1,G101+SlipWeeks))</f>
        <v>6</v>
      </c>
      <c r="J101" s="22">
        <f>MIN(61,IF(G101+H101-1&lt;=29,MAX(ROUND((G101+H101-1)*(29+SlipWeeks)/29,0),I101),G101+H101-1+SlipWeeks))</f>
        <v>15</v>
      </c>
      <c r="K101" s="23" t="str">
        <f t="shared" ref="K101:T105" si="92">IF(AND(K$4&gt;=$I101,K$4&lt;=$J101),1,"")</f>
        <v/>
      </c>
      <c r="L101" s="23" t="str">
        <f t="shared" si="92"/>
        <v/>
      </c>
      <c r="M101" s="23" t="str">
        <f t="shared" si="92"/>
        <v/>
      </c>
      <c r="N101" s="23" t="str">
        <f t="shared" si="92"/>
        <v/>
      </c>
      <c r="O101" s="23" t="str">
        <f t="shared" si="92"/>
        <v/>
      </c>
      <c r="P101" s="23">
        <f t="shared" si="92"/>
        <v>1</v>
      </c>
      <c r="Q101" s="23">
        <f t="shared" si="92"/>
        <v>1</v>
      </c>
      <c r="R101" s="23">
        <f t="shared" si="92"/>
        <v>1</v>
      </c>
      <c r="S101" s="23">
        <f t="shared" si="92"/>
        <v>1</v>
      </c>
      <c r="T101" s="23">
        <f t="shared" si="92"/>
        <v>1</v>
      </c>
      <c r="U101" s="23">
        <f t="shared" ref="U101:AD105" si="93">IF(AND(U$4&gt;=$I101,U$4&lt;=$J101),1,"")</f>
        <v>1</v>
      </c>
      <c r="V101" s="23">
        <f t="shared" si="93"/>
        <v>1</v>
      </c>
      <c r="W101" s="23">
        <f t="shared" si="93"/>
        <v>1</v>
      </c>
      <c r="X101" s="23">
        <f t="shared" si="93"/>
        <v>1</v>
      </c>
      <c r="Y101" s="23">
        <f t="shared" si="93"/>
        <v>1</v>
      </c>
      <c r="Z101" s="23" t="str">
        <f t="shared" si="93"/>
        <v/>
      </c>
      <c r="AA101" s="23" t="str">
        <f t="shared" si="93"/>
        <v/>
      </c>
      <c r="AB101" s="23" t="str">
        <f t="shared" si="93"/>
        <v/>
      </c>
      <c r="AC101" s="23" t="str">
        <f t="shared" si="93"/>
        <v/>
      </c>
      <c r="AD101" s="23" t="str">
        <f t="shared" si="93"/>
        <v/>
      </c>
      <c r="AE101" s="23" t="str">
        <f t="shared" ref="AE101:AN105" si="94">IF(AND(AE$4&gt;=$I101,AE$4&lt;=$J101),1,"")</f>
        <v/>
      </c>
      <c r="AF101" s="23" t="str">
        <f t="shared" si="94"/>
        <v/>
      </c>
      <c r="AG101" s="23" t="str">
        <f t="shared" si="94"/>
        <v/>
      </c>
      <c r="AH101" s="23" t="str">
        <f t="shared" si="94"/>
        <v/>
      </c>
      <c r="AI101" s="23" t="str">
        <f t="shared" si="94"/>
        <v/>
      </c>
      <c r="AJ101" s="23" t="str">
        <f t="shared" si="94"/>
        <v/>
      </c>
      <c r="AK101" s="23" t="str">
        <f t="shared" si="94"/>
        <v/>
      </c>
      <c r="AL101" s="23" t="str">
        <f t="shared" si="94"/>
        <v/>
      </c>
      <c r="AM101" s="23" t="str">
        <f t="shared" si="94"/>
        <v/>
      </c>
      <c r="AN101" s="23" t="str">
        <f t="shared" si="94"/>
        <v/>
      </c>
      <c r="AO101" s="23" t="str">
        <f t="shared" ref="AO101:AX105" si="95">IF(AND(AO$4&gt;=$I101,AO$4&lt;=$J101),1,"")</f>
        <v/>
      </c>
      <c r="AP101" s="23" t="str">
        <f t="shared" si="95"/>
        <v/>
      </c>
      <c r="AQ101" s="23" t="str">
        <f t="shared" si="95"/>
        <v/>
      </c>
      <c r="AR101" s="23" t="str">
        <f t="shared" si="95"/>
        <v/>
      </c>
      <c r="AS101" s="23" t="str">
        <f t="shared" si="95"/>
        <v/>
      </c>
      <c r="AT101" s="23" t="str">
        <f t="shared" si="95"/>
        <v/>
      </c>
      <c r="AU101" s="23" t="str">
        <f t="shared" si="95"/>
        <v/>
      </c>
      <c r="AV101" s="23" t="str">
        <f t="shared" si="95"/>
        <v/>
      </c>
      <c r="AW101" s="23" t="str">
        <f t="shared" si="95"/>
        <v/>
      </c>
      <c r="AX101" s="23" t="str">
        <f t="shared" si="95"/>
        <v/>
      </c>
      <c r="AY101" s="23" t="str">
        <f t="shared" ref="AY101:BH105" si="96">IF(AND(AY$4&gt;=$I101,AY$4&lt;=$J101),1,"")</f>
        <v/>
      </c>
      <c r="AZ101" s="23" t="str">
        <f t="shared" si="96"/>
        <v/>
      </c>
      <c r="BA101" s="23" t="str">
        <f t="shared" si="96"/>
        <v/>
      </c>
      <c r="BB101" s="23" t="str">
        <f t="shared" si="96"/>
        <v/>
      </c>
      <c r="BC101" s="23" t="str">
        <f t="shared" si="96"/>
        <v/>
      </c>
      <c r="BD101" s="23" t="str">
        <f t="shared" si="96"/>
        <v/>
      </c>
      <c r="BE101" s="23" t="str">
        <f t="shared" si="96"/>
        <v/>
      </c>
      <c r="BF101" s="23" t="str">
        <f t="shared" si="96"/>
        <v/>
      </c>
      <c r="BG101" s="23" t="str">
        <f t="shared" si="96"/>
        <v/>
      </c>
      <c r="BH101" s="23" t="str">
        <f t="shared" si="96"/>
        <v/>
      </c>
      <c r="BI101" s="23" t="str">
        <f t="shared" ref="BI101:BS105" si="97">IF(AND(BI$4&gt;=$I101,BI$4&lt;=$J101),1,"")</f>
        <v/>
      </c>
      <c r="BJ101" s="23" t="str">
        <f t="shared" si="97"/>
        <v/>
      </c>
      <c r="BK101" s="23" t="str">
        <f t="shared" si="97"/>
        <v/>
      </c>
      <c r="BL101" s="23" t="str">
        <f t="shared" si="97"/>
        <v/>
      </c>
      <c r="BM101" s="23" t="str">
        <f t="shared" si="97"/>
        <v/>
      </c>
      <c r="BN101" s="23" t="str">
        <f t="shared" si="97"/>
        <v/>
      </c>
      <c r="BO101" s="23" t="str">
        <f t="shared" si="97"/>
        <v/>
      </c>
      <c r="BP101" s="23" t="str">
        <f t="shared" si="97"/>
        <v/>
      </c>
      <c r="BQ101" s="23" t="str">
        <f t="shared" si="97"/>
        <v/>
      </c>
      <c r="BR101" s="23" t="str">
        <f t="shared" si="97"/>
        <v/>
      </c>
      <c r="BS101" s="23" t="str">
        <f t="shared" si="97"/>
        <v/>
      </c>
      <c r="BT101" s="24" t="str">
        <f>IF(IF(G101+H101-1&lt;=29,MAX(ROUND((G101+H101-1)*(29+SlipWeeks)/29,0),$I101),G101+H101-1+SlipWeeks)&gt;61,"▶ clipped","")</f>
        <v/>
      </c>
      <c r="BU101" s="29" t="s">
        <v>366</v>
      </c>
    </row>
    <row r="102" spans="1:73" ht="17" outlineLevel="1" x14ac:dyDescent="0.2">
      <c r="A102" s="6" t="s">
        <v>367</v>
      </c>
      <c r="B102" s="25" t="s">
        <v>368</v>
      </c>
      <c r="C102" s="6" t="s">
        <v>55</v>
      </c>
      <c r="D102" s="24" t="s">
        <v>121</v>
      </c>
      <c r="F102" s="6"/>
      <c r="G102" s="22">
        <v>6</v>
      </c>
      <c r="H102" s="22">
        <v>1</v>
      </c>
      <c r="I102" s="22">
        <f>MEDIAN($I$101,$J$101,$I$101+ROUND((G102-$G$101)/$H$101*($J$101-$I$101+1),0))</f>
        <v>6</v>
      </c>
      <c r="J102" s="22">
        <f>MEDIAN(I102,$J$101,$I$101+ROUND((G102+H102-$G$101)/$H$101*($J$101-$I$101+1),0)-1)</f>
        <v>6</v>
      </c>
      <c r="K102" s="23" t="str">
        <f t="shared" si="92"/>
        <v/>
      </c>
      <c r="L102" s="23" t="str">
        <f t="shared" si="92"/>
        <v/>
      </c>
      <c r="M102" s="23" t="str">
        <f t="shared" si="92"/>
        <v/>
      </c>
      <c r="N102" s="23" t="str">
        <f t="shared" si="92"/>
        <v/>
      </c>
      <c r="O102" s="23" t="str">
        <f t="shared" si="92"/>
        <v/>
      </c>
      <c r="P102" s="23">
        <f t="shared" si="92"/>
        <v>1</v>
      </c>
      <c r="Q102" s="23" t="str">
        <f t="shared" si="92"/>
        <v/>
      </c>
      <c r="R102" s="23" t="str">
        <f t="shared" si="92"/>
        <v/>
      </c>
      <c r="S102" s="23" t="str">
        <f t="shared" si="92"/>
        <v/>
      </c>
      <c r="T102" s="23" t="str">
        <f t="shared" si="92"/>
        <v/>
      </c>
      <c r="U102" s="23" t="str">
        <f t="shared" si="93"/>
        <v/>
      </c>
      <c r="V102" s="23" t="str">
        <f t="shared" si="93"/>
        <v/>
      </c>
      <c r="W102" s="23" t="str">
        <f t="shared" si="93"/>
        <v/>
      </c>
      <c r="X102" s="23" t="str">
        <f t="shared" si="93"/>
        <v/>
      </c>
      <c r="Y102" s="23" t="str">
        <f t="shared" si="93"/>
        <v/>
      </c>
      <c r="Z102" s="23" t="str">
        <f t="shared" si="93"/>
        <v/>
      </c>
      <c r="AA102" s="23" t="str">
        <f t="shared" si="93"/>
        <v/>
      </c>
      <c r="AB102" s="23" t="str">
        <f t="shared" si="93"/>
        <v/>
      </c>
      <c r="AC102" s="23" t="str">
        <f t="shared" si="93"/>
        <v/>
      </c>
      <c r="AD102" s="23" t="str">
        <f t="shared" si="93"/>
        <v/>
      </c>
      <c r="AE102" s="23" t="str">
        <f t="shared" si="94"/>
        <v/>
      </c>
      <c r="AF102" s="23" t="str">
        <f t="shared" si="94"/>
        <v/>
      </c>
      <c r="AG102" s="23" t="str">
        <f t="shared" si="94"/>
        <v/>
      </c>
      <c r="AH102" s="23" t="str">
        <f t="shared" si="94"/>
        <v/>
      </c>
      <c r="AI102" s="23" t="str">
        <f t="shared" si="94"/>
        <v/>
      </c>
      <c r="AJ102" s="23" t="str">
        <f t="shared" si="94"/>
        <v/>
      </c>
      <c r="AK102" s="23" t="str">
        <f t="shared" si="94"/>
        <v/>
      </c>
      <c r="AL102" s="23" t="str">
        <f t="shared" si="94"/>
        <v/>
      </c>
      <c r="AM102" s="23" t="str">
        <f t="shared" si="94"/>
        <v/>
      </c>
      <c r="AN102" s="23" t="str">
        <f t="shared" si="94"/>
        <v/>
      </c>
      <c r="AO102" s="23" t="str">
        <f t="shared" si="95"/>
        <v/>
      </c>
      <c r="AP102" s="23" t="str">
        <f t="shared" si="95"/>
        <v/>
      </c>
      <c r="AQ102" s="23" t="str">
        <f t="shared" si="95"/>
        <v/>
      </c>
      <c r="AR102" s="23" t="str">
        <f t="shared" si="95"/>
        <v/>
      </c>
      <c r="AS102" s="23" t="str">
        <f t="shared" si="95"/>
        <v/>
      </c>
      <c r="AT102" s="23" t="str">
        <f t="shared" si="95"/>
        <v/>
      </c>
      <c r="AU102" s="23" t="str">
        <f t="shared" si="95"/>
        <v/>
      </c>
      <c r="AV102" s="23" t="str">
        <f t="shared" si="95"/>
        <v/>
      </c>
      <c r="AW102" s="23" t="str">
        <f t="shared" si="95"/>
        <v/>
      </c>
      <c r="AX102" s="23" t="str">
        <f t="shared" si="95"/>
        <v/>
      </c>
      <c r="AY102" s="23" t="str">
        <f t="shared" si="96"/>
        <v/>
      </c>
      <c r="AZ102" s="23" t="str">
        <f t="shared" si="96"/>
        <v/>
      </c>
      <c r="BA102" s="23" t="str">
        <f t="shared" si="96"/>
        <v/>
      </c>
      <c r="BB102" s="23" t="str">
        <f t="shared" si="96"/>
        <v/>
      </c>
      <c r="BC102" s="23" t="str">
        <f t="shared" si="96"/>
        <v/>
      </c>
      <c r="BD102" s="23" t="str">
        <f t="shared" si="96"/>
        <v/>
      </c>
      <c r="BE102" s="23" t="str">
        <f t="shared" si="96"/>
        <v/>
      </c>
      <c r="BF102" s="23" t="str">
        <f t="shared" si="96"/>
        <v/>
      </c>
      <c r="BG102" s="23" t="str">
        <f t="shared" si="96"/>
        <v/>
      </c>
      <c r="BH102" s="23" t="str">
        <f t="shared" si="96"/>
        <v/>
      </c>
      <c r="BI102" s="23" t="str">
        <f t="shared" si="97"/>
        <v/>
      </c>
      <c r="BJ102" s="23" t="str">
        <f t="shared" si="97"/>
        <v/>
      </c>
      <c r="BK102" s="23" t="str">
        <f t="shared" si="97"/>
        <v/>
      </c>
      <c r="BL102" s="23" t="str">
        <f t="shared" si="97"/>
        <v/>
      </c>
      <c r="BM102" s="23" t="str">
        <f t="shared" si="97"/>
        <v/>
      </c>
      <c r="BN102" s="23" t="str">
        <f t="shared" si="97"/>
        <v/>
      </c>
      <c r="BO102" s="23" t="str">
        <f t="shared" si="97"/>
        <v/>
      </c>
      <c r="BP102" s="23" t="str">
        <f t="shared" si="97"/>
        <v/>
      </c>
      <c r="BQ102" s="23" t="str">
        <f t="shared" si="97"/>
        <v/>
      </c>
      <c r="BR102" s="23" t="str">
        <f t="shared" si="97"/>
        <v/>
      </c>
      <c r="BS102" s="23" t="str">
        <f t="shared" si="97"/>
        <v/>
      </c>
      <c r="BU102" s="29" t="s">
        <v>369</v>
      </c>
    </row>
    <row r="103" spans="1:73" ht="34" outlineLevel="1" x14ac:dyDescent="0.2">
      <c r="A103" s="6" t="s">
        <v>370</v>
      </c>
      <c r="B103" s="25" t="s">
        <v>371</v>
      </c>
      <c r="C103" s="6" t="s">
        <v>55</v>
      </c>
      <c r="D103" s="24" t="s">
        <v>121</v>
      </c>
      <c r="F103" s="6" t="s">
        <v>367</v>
      </c>
      <c r="G103" s="22">
        <v>7</v>
      </c>
      <c r="H103" s="22">
        <v>4</v>
      </c>
      <c r="I103" s="22">
        <f>MEDIAN($I$101,$J$101,$I$101+ROUND((G103-$G$101)/$H$101*($J$101-$I$101+1),0))</f>
        <v>7</v>
      </c>
      <c r="J103" s="22">
        <f>MEDIAN(I103,$J$101,$I$101+ROUND((G103+H103-$G$101)/$H$101*($J$101-$I$101+1),0)-1)</f>
        <v>10</v>
      </c>
      <c r="K103" s="23" t="str">
        <f t="shared" si="92"/>
        <v/>
      </c>
      <c r="L103" s="23" t="str">
        <f t="shared" si="92"/>
        <v/>
      </c>
      <c r="M103" s="23" t="str">
        <f t="shared" si="92"/>
        <v/>
      </c>
      <c r="N103" s="23" t="str">
        <f t="shared" si="92"/>
        <v/>
      </c>
      <c r="O103" s="23" t="str">
        <f t="shared" si="92"/>
        <v/>
      </c>
      <c r="P103" s="23" t="str">
        <f t="shared" si="92"/>
        <v/>
      </c>
      <c r="Q103" s="23">
        <f t="shared" si="92"/>
        <v>1</v>
      </c>
      <c r="R103" s="23">
        <f t="shared" si="92"/>
        <v>1</v>
      </c>
      <c r="S103" s="23">
        <f t="shared" si="92"/>
        <v>1</v>
      </c>
      <c r="T103" s="23">
        <f t="shared" si="92"/>
        <v>1</v>
      </c>
      <c r="U103" s="23" t="str">
        <f t="shared" si="93"/>
        <v/>
      </c>
      <c r="V103" s="23" t="str">
        <f t="shared" si="93"/>
        <v/>
      </c>
      <c r="W103" s="23" t="str">
        <f t="shared" si="93"/>
        <v/>
      </c>
      <c r="X103" s="23" t="str">
        <f t="shared" si="93"/>
        <v/>
      </c>
      <c r="Y103" s="23" t="str">
        <f t="shared" si="93"/>
        <v/>
      </c>
      <c r="Z103" s="23" t="str">
        <f t="shared" si="93"/>
        <v/>
      </c>
      <c r="AA103" s="23" t="str">
        <f t="shared" si="93"/>
        <v/>
      </c>
      <c r="AB103" s="23" t="str">
        <f t="shared" si="93"/>
        <v/>
      </c>
      <c r="AC103" s="23" t="str">
        <f t="shared" si="93"/>
        <v/>
      </c>
      <c r="AD103" s="23" t="str">
        <f t="shared" si="93"/>
        <v/>
      </c>
      <c r="AE103" s="23" t="str">
        <f t="shared" si="94"/>
        <v/>
      </c>
      <c r="AF103" s="23" t="str">
        <f t="shared" si="94"/>
        <v/>
      </c>
      <c r="AG103" s="23" t="str">
        <f t="shared" si="94"/>
        <v/>
      </c>
      <c r="AH103" s="23" t="str">
        <f t="shared" si="94"/>
        <v/>
      </c>
      <c r="AI103" s="23" t="str">
        <f t="shared" si="94"/>
        <v/>
      </c>
      <c r="AJ103" s="23" t="str">
        <f t="shared" si="94"/>
        <v/>
      </c>
      <c r="AK103" s="23" t="str">
        <f t="shared" si="94"/>
        <v/>
      </c>
      <c r="AL103" s="23" t="str">
        <f t="shared" si="94"/>
        <v/>
      </c>
      <c r="AM103" s="23" t="str">
        <f t="shared" si="94"/>
        <v/>
      </c>
      <c r="AN103" s="23" t="str">
        <f t="shared" si="94"/>
        <v/>
      </c>
      <c r="AO103" s="23" t="str">
        <f t="shared" si="95"/>
        <v/>
      </c>
      <c r="AP103" s="23" t="str">
        <f t="shared" si="95"/>
        <v/>
      </c>
      <c r="AQ103" s="23" t="str">
        <f t="shared" si="95"/>
        <v/>
      </c>
      <c r="AR103" s="23" t="str">
        <f t="shared" si="95"/>
        <v/>
      </c>
      <c r="AS103" s="23" t="str">
        <f t="shared" si="95"/>
        <v/>
      </c>
      <c r="AT103" s="23" t="str">
        <f t="shared" si="95"/>
        <v/>
      </c>
      <c r="AU103" s="23" t="str">
        <f t="shared" si="95"/>
        <v/>
      </c>
      <c r="AV103" s="23" t="str">
        <f t="shared" si="95"/>
        <v/>
      </c>
      <c r="AW103" s="23" t="str">
        <f t="shared" si="95"/>
        <v/>
      </c>
      <c r="AX103" s="23" t="str">
        <f t="shared" si="95"/>
        <v/>
      </c>
      <c r="AY103" s="23" t="str">
        <f t="shared" si="96"/>
        <v/>
      </c>
      <c r="AZ103" s="23" t="str">
        <f t="shared" si="96"/>
        <v/>
      </c>
      <c r="BA103" s="23" t="str">
        <f t="shared" si="96"/>
        <v/>
      </c>
      <c r="BB103" s="23" t="str">
        <f t="shared" si="96"/>
        <v/>
      </c>
      <c r="BC103" s="23" t="str">
        <f t="shared" si="96"/>
        <v/>
      </c>
      <c r="BD103" s="23" t="str">
        <f t="shared" si="96"/>
        <v/>
      </c>
      <c r="BE103" s="23" t="str">
        <f t="shared" si="96"/>
        <v/>
      </c>
      <c r="BF103" s="23" t="str">
        <f t="shared" si="96"/>
        <v/>
      </c>
      <c r="BG103" s="23" t="str">
        <f t="shared" si="96"/>
        <v/>
      </c>
      <c r="BH103" s="23" t="str">
        <f t="shared" si="96"/>
        <v/>
      </c>
      <c r="BI103" s="23" t="str">
        <f t="shared" si="97"/>
        <v/>
      </c>
      <c r="BJ103" s="23" t="str">
        <f t="shared" si="97"/>
        <v/>
      </c>
      <c r="BK103" s="23" t="str">
        <f t="shared" si="97"/>
        <v/>
      </c>
      <c r="BL103" s="23" t="str">
        <f t="shared" si="97"/>
        <v/>
      </c>
      <c r="BM103" s="23" t="str">
        <f t="shared" si="97"/>
        <v/>
      </c>
      <c r="BN103" s="23" t="str">
        <f t="shared" si="97"/>
        <v/>
      </c>
      <c r="BO103" s="23" t="str">
        <f t="shared" si="97"/>
        <v/>
      </c>
      <c r="BP103" s="23" t="str">
        <f t="shared" si="97"/>
        <v/>
      </c>
      <c r="BQ103" s="23" t="str">
        <f t="shared" si="97"/>
        <v/>
      </c>
      <c r="BR103" s="23" t="str">
        <f t="shared" si="97"/>
        <v/>
      </c>
      <c r="BS103" s="23" t="str">
        <f t="shared" si="97"/>
        <v/>
      </c>
      <c r="BU103" s="29" t="s">
        <v>372</v>
      </c>
    </row>
    <row r="104" spans="1:73" ht="34" outlineLevel="1" x14ac:dyDescent="0.2">
      <c r="A104" s="6" t="s">
        <v>373</v>
      </c>
      <c r="B104" s="25" t="s">
        <v>374</v>
      </c>
      <c r="C104" s="6" t="s">
        <v>55</v>
      </c>
      <c r="D104" s="24" t="s">
        <v>121</v>
      </c>
      <c r="F104" s="6" t="s">
        <v>370</v>
      </c>
      <c r="G104" s="22">
        <v>11</v>
      </c>
      <c r="H104" s="22">
        <v>4</v>
      </c>
      <c r="I104" s="22">
        <f>MEDIAN($I$101,$J$101,$I$101+ROUND((G104-$G$101)/$H$101*($J$101-$I$101+1),0))</f>
        <v>11</v>
      </c>
      <c r="J104" s="22">
        <f>MEDIAN(I104,$J$101,$I$101+ROUND((G104+H104-$G$101)/$H$101*($J$101-$I$101+1),0)-1)</f>
        <v>14</v>
      </c>
      <c r="K104" s="23" t="str">
        <f t="shared" si="92"/>
        <v/>
      </c>
      <c r="L104" s="23" t="str">
        <f t="shared" si="92"/>
        <v/>
      </c>
      <c r="M104" s="23" t="str">
        <f t="shared" si="92"/>
        <v/>
      </c>
      <c r="N104" s="23" t="str">
        <f t="shared" si="92"/>
        <v/>
      </c>
      <c r="O104" s="23" t="str">
        <f t="shared" si="92"/>
        <v/>
      </c>
      <c r="P104" s="23" t="str">
        <f t="shared" si="92"/>
        <v/>
      </c>
      <c r="Q104" s="23" t="str">
        <f t="shared" si="92"/>
        <v/>
      </c>
      <c r="R104" s="23" t="str">
        <f t="shared" si="92"/>
        <v/>
      </c>
      <c r="S104" s="23" t="str">
        <f t="shared" si="92"/>
        <v/>
      </c>
      <c r="T104" s="23" t="str">
        <f t="shared" si="92"/>
        <v/>
      </c>
      <c r="U104" s="23">
        <f t="shared" si="93"/>
        <v>1</v>
      </c>
      <c r="V104" s="23">
        <f t="shared" si="93"/>
        <v>1</v>
      </c>
      <c r="W104" s="23">
        <f t="shared" si="93"/>
        <v>1</v>
      </c>
      <c r="X104" s="23">
        <f t="shared" si="93"/>
        <v>1</v>
      </c>
      <c r="Y104" s="23" t="str">
        <f t="shared" si="93"/>
        <v/>
      </c>
      <c r="Z104" s="23" t="str">
        <f t="shared" si="93"/>
        <v/>
      </c>
      <c r="AA104" s="23" t="str">
        <f t="shared" si="93"/>
        <v/>
      </c>
      <c r="AB104" s="23" t="str">
        <f t="shared" si="93"/>
        <v/>
      </c>
      <c r="AC104" s="23" t="str">
        <f t="shared" si="93"/>
        <v/>
      </c>
      <c r="AD104" s="23" t="str">
        <f t="shared" si="93"/>
        <v/>
      </c>
      <c r="AE104" s="23" t="str">
        <f t="shared" si="94"/>
        <v/>
      </c>
      <c r="AF104" s="23" t="str">
        <f t="shared" si="94"/>
        <v/>
      </c>
      <c r="AG104" s="23" t="str">
        <f t="shared" si="94"/>
        <v/>
      </c>
      <c r="AH104" s="23" t="str">
        <f t="shared" si="94"/>
        <v/>
      </c>
      <c r="AI104" s="23" t="str">
        <f t="shared" si="94"/>
        <v/>
      </c>
      <c r="AJ104" s="23" t="str">
        <f t="shared" si="94"/>
        <v/>
      </c>
      <c r="AK104" s="23" t="str">
        <f t="shared" si="94"/>
        <v/>
      </c>
      <c r="AL104" s="23" t="str">
        <f t="shared" si="94"/>
        <v/>
      </c>
      <c r="AM104" s="23" t="str">
        <f t="shared" si="94"/>
        <v/>
      </c>
      <c r="AN104" s="23" t="str">
        <f t="shared" si="94"/>
        <v/>
      </c>
      <c r="AO104" s="23" t="str">
        <f t="shared" si="95"/>
        <v/>
      </c>
      <c r="AP104" s="23" t="str">
        <f t="shared" si="95"/>
        <v/>
      </c>
      <c r="AQ104" s="23" t="str">
        <f t="shared" si="95"/>
        <v/>
      </c>
      <c r="AR104" s="23" t="str">
        <f t="shared" si="95"/>
        <v/>
      </c>
      <c r="AS104" s="23" t="str">
        <f t="shared" si="95"/>
        <v/>
      </c>
      <c r="AT104" s="23" t="str">
        <f t="shared" si="95"/>
        <v/>
      </c>
      <c r="AU104" s="23" t="str">
        <f t="shared" si="95"/>
        <v/>
      </c>
      <c r="AV104" s="23" t="str">
        <f t="shared" si="95"/>
        <v/>
      </c>
      <c r="AW104" s="23" t="str">
        <f t="shared" si="95"/>
        <v/>
      </c>
      <c r="AX104" s="23" t="str">
        <f t="shared" si="95"/>
        <v/>
      </c>
      <c r="AY104" s="23" t="str">
        <f t="shared" si="96"/>
        <v/>
      </c>
      <c r="AZ104" s="23" t="str">
        <f t="shared" si="96"/>
        <v/>
      </c>
      <c r="BA104" s="23" t="str">
        <f t="shared" si="96"/>
        <v/>
      </c>
      <c r="BB104" s="23" t="str">
        <f t="shared" si="96"/>
        <v/>
      </c>
      <c r="BC104" s="23" t="str">
        <f t="shared" si="96"/>
        <v/>
      </c>
      <c r="BD104" s="23" t="str">
        <f t="shared" si="96"/>
        <v/>
      </c>
      <c r="BE104" s="23" t="str">
        <f t="shared" si="96"/>
        <v/>
      </c>
      <c r="BF104" s="23" t="str">
        <f t="shared" si="96"/>
        <v/>
      </c>
      <c r="BG104" s="23" t="str">
        <f t="shared" si="96"/>
        <v/>
      </c>
      <c r="BH104" s="23" t="str">
        <f t="shared" si="96"/>
        <v/>
      </c>
      <c r="BI104" s="23" t="str">
        <f t="shared" si="97"/>
        <v/>
      </c>
      <c r="BJ104" s="23" t="str">
        <f t="shared" si="97"/>
        <v/>
      </c>
      <c r="BK104" s="23" t="str">
        <f t="shared" si="97"/>
        <v/>
      </c>
      <c r="BL104" s="23" t="str">
        <f t="shared" si="97"/>
        <v/>
      </c>
      <c r="BM104" s="23" t="str">
        <f t="shared" si="97"/>
        <v/>
      </c>
      <c r="BN104" s="23" t="str">
        <f t="shared" si="97"/>
        <v/>
      </c>
      <c r="BO104" s="23" t="str">
        <f t="shared" si="97"/>
        <v/>
      </c>
      <c r="BP104" s="23" t="str">
        <f t="shared" si="97"/>
        <v/>
      </c>
      <c r="BQ104" s="23" t="str">
        <f t="shared" si="97"/>
        <v/>
      </c>
      <c r="BR104" s="23" t="str">
        <f t="shared" si="97"/>
        <v/>
      </c>
      <c r="BS104" s="23" t="str">
        <f t="shared" si="97"/>
        <v/>
      </c>
      <c r="BU104" s="29" t="s">
        <v>375</v>
      </c>
    </row>
    <row r="105" spans="1:73" ht="34" outlineLevel="1" x14ac:dyDescent="0.2">
      <c r="A105" s="6" t="s">
        <v>376</v>
      </c>
      <c r="B105" s="25" t="s">
        <v>377</v>
      </c>
      <c r="C105" s="6" t="s">
        <v>55</v>
      </c>
      <c r="D105" s="24" t="s">
        <v>121</v>
      </c>
      <c r="F105" s="6" t="s">
        <v>373</v>
      </c>
      <c r="G105" s="22">
        <v>15</v>
      </c>
      <c r="H105" s="22">
        <v>1</v>
      </c>
      <c r="I105" s="22">
        <f>MEDIAN($I$101,$J$101,$I$101+ROUND((G105-$G$101)/$H$101*($J$101-$I$101+1),0))</f>
        <v>15</v>
      </c>
      <c r="J105" s="22">
        <f>MEDIAN(I105,$J$101,$I$101+ROUND((G105+H105-$G$101)/$H$101*($J$101-$I$101+1),0)-1)</f>
        <v>15</v>
      </c>
      <c r="K105" s="23" t="str">
        <f t="shared" si="92"/>
        <v/>
      </c>
      <c r="L105" s="23" t="str">
        <f t="shared" si="92"/>
        <v/>
      </c>
      <c r="M105" s="23" t="str">
        <f t="shared" si="92"/>
        <v/>
      </c>
      <c r="N105" s="23" t="str">
        <f t="shared" si="92"/>
        <v/>
      </c>
      <c r="O105" s="23" t="str">
        <f t="shared" si="92"/>
        <v/>
      </c>
      <c r="P105" s="23" t="str">
        <f t="shared" si="92"/>
        <v/>
      </c>
      <c r="Q105" s="23" t="str">
        <f t="shared" si="92"/>
        <v/>
      </c>
      <c r="R105" s="23" t="str">
        <f t="shared" si="92"/>
        <v/>
      </c>
      <c r="S105" s="23" t="str">
        <f t="shared" si="92"/>
        <v/>
      </c>
      <c r="T105" s="23" t="str">
        <f t="shared" si="92"/>
        <v/>
      </c>
      <c r="U105" s="23" t="str">
        <f t="shared" si="93"/>
        <v/>
      </c>
      <c r="V105" s="23" t="str">
        <f t="shared" si="93"/>
        <v/>
      </c>
      <c r="W105" s="23" t="str">
        <f t="shared" si="93"/>
        <v/>
      </c>
      <c r="X105" s="23" t="str">
        <f t="shared" si="93"/>
        <v/>
      </c>
      <c r="Y105" s="23">
        <f t="shared" si="93"/>
        <v>1</v>
      </c>
      <c r="Z105" s="23" t="str">
        <f t="shared" si="93"/>
        <v/>
      </c>
      <c r="AA105" s="23" t="str">
        <f t="shared" si="93"/>
        <v/>
      </c>
      <c r="AB105" s="23" t="str">
        <f t="shared" si="93"/>
        <v/>
      </c>
      <c r="AC105" s="23" t="str">
        <f t="shared" si="93"/>
        <v/>
      </c>
      <c r="AD105" s="23" t="str">
        <f t="shared" si="93"/>
        <v/>
      </c>
      <c r="AE105" s="23" t="str">
        <f t="shared" si="94"/>
        <v/>
      </c>
      <c r="AF105" s="23" t="str">
        <f t="shared" si="94"/>
        <v/>
      </c>
      <c r="AG105" s="23" t="str">
        <f t="shared" si="94"/>
        <v/>
      </c>
      <c r="AH105" s="23" t="str">
        <f t="shared" si="94"/>
        <v/>
      </c>
      <c r="AI105" s="23" t="str">
        <f t="shared" si="94"/>
        <v/>
      </c>
      <c r="AJ105" s="23" t="str">
        <f t="shared" si="94"/>
        <v/>
      </c>
      <c r="AK105" s="23" t="str">
        <f t="shared" si="94"/>
        <v/>
      </c>
      <c r="AL105" s="23" t="str">
        <f t="shared" si="94"/>
        <v/>
      </c>
      <c r="AM105" s="23" t="str">
        <f t="shared" si="94"/>
        <v/>
      </c>
      <c r="AN105" s="23" t="str">
        <f t="shared" si="94"/>
        <v/>
      </c>
      <c r="AO105" s="23" t="str">
        <f t="shared" si="95"/>
        <v/>
      </c>
      <c r="AP105" s="23" t="str">
        <f t="shared" si="95"/>
        <v/>
      </c>
      <c r="AQ105" s="23" t="str">
        <f t="shared" si="95"/>
        <v/>
      </c>
      <c r="AR105" s="23" t="str">
        <f t="shared" si="95"/>
        <v/>
      </c>
      <c r="AS105" s="23" t="str">
        <f t="shared" si="95"/>
        <v/>
      </c>
      <c r="AT105" s="23" t="str">
        <f t="shared" si="95"/>
        <v/>
      </c>
      <c r="AU105" s="23" t="str">
        <f t="shared" si="95"/>
        <v/>
      </c>
      <c r="AV105" s="23" t="str">
        <f t="shared" si="95"/>
        <v/>
      </c>
      <c r="AW105" s="23" t="str">
        <f t="shared" si="95"/>
        <v/>
      </c>
      <c r="AX105" s="23" t="str">
        <f t="shared" si="95"/>
        <v/>
      </c>
      <c r="AY105" s="23" t="str">
        <f t="shared" si="96"/>
        <v/>
      </c>
      <c r="AZ105" s="23" t="str">
        <f t="shared" si="96"/>
        <v/>
      </c>
      <c r="BA105" s="23" t="str">
        <f t="shared" si="96"/>
        <v/>
      </c>
      <c r="BB105" s="23" t="str">
        <f t="shared" si="96"/>
        <v/>
      </c>
      <c r="BC105" s="23" t="str">
        <f t="shared" si="96"/>
        <v/>
      </c>
      <c r="BD105" s="23" t="str">
        <f t="shared" si="96"/>
        <v/>
      </c>
      <c r="BE105" s="23" t="str">
        <f t="shared" si="96"/>
        <v/>
      </c>
      <c r="BF105" s="23" t="str">
        <f t="shared" si="96"/>
        <v/>
      </c>
      <c r="BG105" s="23" t="str">
        <f t="shared" si="96"/>
        <v/>
      </c>
      <c r="BH105" s="23" t="str">
        <f t="shared" si="96"/>
        <v/>
      </c>
      <c r="BI105" s="23" t="str">
        <f t="shared" si="97"/>
        <v/>
      </c>
      <c r="BJ105" s="23" t="str">
        <f t="shared" si="97"/>
        <v/>
      </c>
      <c r="BK105" s="23" t="str">
        <f t="shared" si="97"/>
        <v/>
      </c>
      <c r="BL105" s="23" t="str">
        <f t="shared" si="97"/>
        <v/>
      </c>
      <c r="BM105" s="23" t="str">
        <f t="shared" si="97"/>
        <v/>
      </c>
      <c r="BN105" s="23" t="str">
        <f t="shared" si="97"/>
        <v/>
      </c>
      <c r="BO105" s="23" t="str">
        <f t="shared" si="97"/>
        <v/>
      </c>
      <c r="BP105" s="23" t="str">
        <f t="shared" si="97"/>
        <v/>
      </c>
      <c r="BQ105" s="23" t="str">
        <f t="shared" si="97"/>
        <v/>
      </c>
      <c r="BR105" s="23" t="str">
        <f t="shared" si="97"/>
        <v/>
      </c>
      <c r="BS105" s="23" t="str">
        <f t="shared" si="97"/>
        <v/>
      </c>
      <c r="BU105" s="29" t="s">
        <v>378</v>
      </c>
    </row>
    <row r="106" spans="1:73" x14ac:dyDescent="0.2">
      <c r="BU106" s="30"/>
    </row>
    <row r="107" spans="1:73" ht="17" x14ac:dyDescent="0.2">
      <c r="A107" s="19" t="s">
        <v>379</v>
      </c>
      <c r="B107" s="20" t="s">
        <v>380</v>
      </c>
      <c r="C107" s="19" t="s">
        <v>55</v>
      </c>
      <c r="D107" s="21" t="s">
        <v>128</v>
      </c>
      <c r="E107" s="19" t="s">
        <v>74</v>
      </c>
      <c r="F107" s="19"/>
      <c r="G107" s="22">
        <v>13</v>
      </c>
      <c r="H107" s="22">
        <v>3</v>
      </c>
      <c r="I107" s="22">
        <f>MIN(61,IF(G107&lt;=29,ROUND((G107-1)*(29+SlipWeeks)/29,0)+1,G107+SlipWeeks))</f>
        <v>13</v>
      </c>
      <c r="J107" s="22">
        <f>MIN(61,IF(G107+H107-1&lt;=29,MAX(ROUND((G107+H107-1)*(29+SlipWeeks)/29,0),I107),G107+H107-1+SlipWeeks))</f>
        <v>15</v>
      </c>
      <c r="K107" s="23" t="str">
        <f t="shared" ref="K107:T110" si="98">IF(AND(K$4&gt;=$I107,K$4&lt;=$J107),1,"")</f>
        <v/>
      </c>
      <c r="L107" s="23" t="str">
        <f t="shared" si="98"/>
        <v/>
      </c>
      <c r="M107" s="23" t="str">
        <f t="shared" si="98"/>
        <v/>
      </c>
      <c r="N107" s="23" t="str">
        <f t="shared" si="98"/>
        <v/>
      </c>
      <c r="O107" s="23" t="str">
        <f t="shared" si="98"/>
        <v/>
      </c>
      <c r="P107" s="23" t="str">
        <f t="shared" si="98"/>
        <v/>
      </c>
      <c r="Q107" s="23" t="str">
        <f t="shared" si="98"/>
        <v/>
      </c>
      <c r="R107" s="23" t="str">
        <f t="shared" si="98"/>
        <v/>
      </c>
      <c r="S107" s="23" t="str">
        <f t="shared" si="98"/>
        <v/>
      </c>
      <c r="T107" s="23" t="str">
        <f t="shared" si="98"/>
        <v/>
      </c>
      <c r="U107" s="23" t="str">
        <f t="shared" ref="U107:AD110" si="99">IF(AND(U$4&gt;=$I107,U$4&lt;=$J107),1,"")</f>
        <v/>
      </c>
      <c r="V107" s="23" t="str">
        <f t="shared" si="99"/>
        <v/>
      </c>
      <c r="W107" s="23">
        <f t="shared" si="99"/>
        <v>1</v>
      </c>
      <c r="X107" s="23">
        <f t="shared" si="99"/>
        <v>1</v>
      </c>
      <c r="Y107" s="23">
        <f t="shared" si="99"/>
        <v>1</v>
      </c>
      <c r="Z107" s="23" t="str">
        <f t="shared" si="99"/>
        <v/>
      </c>
      <c r="AA107" s="23" t="str">
        <f t="shared" si="99"/>
        <v/>
      </c>
      <c r="AB107" s="23" t="str">
        <f t="shared" si="99"/>
        <v/>
      </c>
      <c r="AC107" s="23" t="str">
        <f t="shared" si="99"/>
        <v/>
      </c>
      <c r="AD107" s="23" t="str">
        <f t="shared" si="99"/>
        <v/>
      </c>
      <c r="AE107" s="23" t="str">
        <f t="shared" ref="AE107:AN110" si="100">IF(AND(AE$4&gt;=$I107,AE$4&lt;=$J107),1,"")</f>
        <v/>
      </c>
      <c r="AF107" s="23" t="str">
        <f t="shared" si="100"/>
        <v/>
      </c>
      <c r="AG107" s="23" t="str">
        <f t="shared" si="100"/>
        <v/>
      </c>
      <c r="AH107" s="23" t="str">
        <f t="shared" si="100"/>
        <v/>
      </c>
      <c r="AI107" s="23" t="str">
        <f t="shared" si="100"/>
        <v/>
      </c>
      <c r="AJ107" s="23" t="str">
        <f t="shared" si="100"/>
        <v/>
      </c>
      <c r="AK107" s="23" t="str">
        <f t="shared" si="100"/>
        <v/>
      </c>
      <c r="AL107" s="23" t="str">
        <f t="shared" si="100"/>
        <v/>
      </c>
      <c r="AM107" s="23" t="str">
        <f t="shared" si="100"/>
        <v/>
      </c>
      <c r="AN107" s="23" t="str">
        <f t="shared" si="100"/>
        <v/>
      </c>
      <c r="AO107" s="23" t="str">
        <f t="shared" ref="AO107:AX110" si="101">IF(AND(AO$4&gt;=$I107,AO$4&lt;=$J107),1,"")</f>
        <v/>
      </c>
      <c r="AP107" s="23" t="str">
        <f t="shared" si="101"/>
        <v/>
      </c>
      <c r="AQ107" s="23" t="str">
        <f t="shared" si="101"/>
        <v/>
      </c>
      <c r="AR107" s="23" t="str">
        <f t="shared" si="101"/>
        <v/>
      </c>
      <c r="AS107" s="23" t="str">
        <f t="shared" si="101"/>
        <v/>
      </c>
      <c r="AT107" s="23" t="str">
        <f t="shared" si="101"/>
        <v/>
      </c>
      <c r="AU107" s="23" t="str">
        <f t="shared" si="101"/>
        <v/>
      </c>
      <c r="AV107" s="23" t="str">
        <f t="shared" si="101"/>
        <v/>
      </c>
      <c r="AW107" s="23" t="str">
        <f t="shared" si="101"/>
        <v/>
      </c>
      <c r="AX107" s="23" t="str">
        <f t="shared" si="101"/>
        <v/>
      </c>
      <c r="AY107" s="23" t="str">
        <f t="shared" ref="AY107:BH110" si="102">IF(AND(AY$4&gt;=$I107,AY$4&lt;=$J107),1,"")</f>
        <v/>
      </c>
      <c r="AZ107" s="23" t="str">
        <f t="shared" si="102"/>
        <v/>
      </c>
      <c r="BA107" s="23" t="str">
        <f t="shared" si="102"/>
        <v/>
      </c>
      <c r="BB107" s="23" t="str">
        <f t="shared" si="102"/>
        <v/>
      </c>
      <c r="BC107" s="23" t="str">
        <f t="shared" si="102"/>
        <v/>
      </c>
      <c r="BD107" s="23" t="str">
        <f t="shared" si="102"/>
        <v/>
      </c>
      <c r="BE107" s="23" t="str">
        <f t="shared" si="102"/>
        <v/>
      </c>
      <c r="BF107" s="23" t="str">
        <f t="shared" si="102"/>
        <v/>
      </c>
      <c r="BG107" s="23" t="str">
        <f t="shared" si="102"/>
        <v/>
      </c>
      <c r="BH107" s="23" t="str">
        <f t="shared" si="102"/>
        <v/>
      </c>
      <c r="BI107" s="23" t="str">
        <f t="shared" ref="BI107:BS110" si="103">IF(AND(BI$4&gt;=$I107,BI$4&lt;=$J107),1,"")</f>
        <v/>
      </c>
      <c r="BJ107" s="23" t="str">
        <f t="shared" si="103"/>
        <v/>
      </c>
      <c r="BK107" s="23" t="str">
        <f t="shared" si="103"/>
        <v/>
      </c>
      <c r="BL107" s="23" t="str">
        <f t="shared" si="103"/>
        <v/>
      </c>
      <c r="BM107" s="23" t="str">
        <f t="shared" si="103"/>
        <v/>
      </c>
      <c r="BN107" s="23" t="str">
        <f t="shared" si="103"/>
        <v/>
      </c>
      <c r="BO107" s="23" t="str">
        <f t="shared" si="103"/>
        <v/>
      </c>
      <c r="BP107" s="23" t="str">
        <f t="shared" si="103"/>
        <v/>
      </c>
      <c r="BQ107" s="23" t="str">
        <f t="shared" si="103"/>
        <v/>
      </c>
      <c r="BR107" s="23" t="str">
        <f t="shared" si="103"/>
        <v/>
      </c>
      <c r="BS107" s="23" t="str">
        <f t="shared" si="103"/>
        <v/>
      </c>
      <c r="BT107" s="24" t="str">
        <f>IF(IF(G107+H107-1&lt;=29,MAX(ROUND((G107+H107-1)*(29+SlipWeeks)/29,0),$I107),G107+H107-1+SlipWeeks)&gt;61,"▶ clipped","")</f>
        <v/>
      </c>
      <c r="BU107" s="29" t="s">
        <v>381</v>
      </c>
    </row>
    <row r="108" spans="1:73" ht="34" outlineLevel="1" x14ac:dyDescent="0.2">
      <c r="A108" s="6" t="s">
        <v>382</v>
      </c>
      <c r="B108" s="25" t="s">
        <v>383</v>
      </c>
      <c r="C108" s="6" t="s">
        <v>55</v>
      </c>
      <c r="D108" s="24" t="s">
        <v>128</v>
      </c>
      <c r="F108" s="6"/>
      <c r="G108" s="22">
        <v>13</v>
      </c>
      <c r="H108" s="22">
        <v>1</v>
      </c>
      <c r="I108" s="22">
        <f>MEDIAN($I$107,$J$107,$I$107+ROUND((G108-$G$107)/$H$107*($J$107-$I$107+1),0))</f>
        <v>13</v>
      </c>
      <c r="J108" s="22">
        <f>MEDIAN(I108,$J$107,$I$107+ROUND((G108+H108-$G$107)/$H$107*($J$107-$I$107+1),0)-1)</f>
        <v>13</v>
      </c>
      <c r="K108" s="23" t="str">
        <f t="shared" si="98"/>
        <v/>
      </c>
      <c r="L108" s="23" t="str">
        <f t="shared" si="98"/>
        <v/>
      </c>
      <c r="M108" s="23" t="str">
        <f t="shared" si="98"/>
        <v/>
      </c>
      <c r="N108" s="23" t="str">
        <f t="shared" si="98"/>
        <v/>
      </c>
      <c r="O108" s="23" t="str">
        <f t="shared" si="98"/>
        <v/>
      </c>
      <c r="P108" s="23" t="str">
        <f t="shared" si="98"/>
        <v/>
      </c>
      <c r="Q108" s="23" t="str">
        <f t="shared" si="98"/>
        <v/>
      </c>
      <c r="R108" s="23" t="str">
        <f t="shared" si="98"/>
        <v/>
      </c>
      <c r="S108" s="23" t="str">
        <f t="shared" si="98"/>
        <v/>
      </c>
      <c r="T108" s="23" t="str">
        <f t="shared" si="98"/>
        <v/>
      </c>
      <c r="U108" s="23" t="str">
        <f t="shared" si="99"/>
        <v/>
      </c>
      <c r="V108" s="23" t="str">
        <f t="shared" si="99"/>
        <v/>
      </c>
      <c r="W108" s="23">
        <f t="shared" si="99"/>
        <v>1</v>
      </c>
      <c r="X108" s="23" t="str">
        <f t="shared" si="99"/>
        <v/>
      </c>
      <c r="Y108" s="23" t="str">
        <f t="shared" si="99"/>
        <v/>
      </c>
      <c r="Z108" s="23" t="str">
        <f t="shared" si="99"/>
        <v/>
      </c>
      <c r="AA108" s="23" t="str">
        <f t="shared" si="99"/>
        <v/>
      </c>
      <c r="AB108" s="23" t="str">
        <f t="shared" si="99"/>
        <v/>
      </c>
      <c r="AC108" s="23" t="str">
        <f t="shared" si="99"/>
        <v/>
      </c>
      <c r="AD108" s="23" t="str">
        <f t="shared" si="99"/>
        <v/>
      </c>
      <c r="AE108" s="23" t="str">
        <f t="shared" si="100"/>
        <v/>
      </c>
      <c r="AF108" s="23" t="str">
        <f t="shared" si="100"/>
        <v/>
      </c>
      <c r="AG108" s="23" t="str">
        <f t="shared" si="100"/>
        <v/>
      </c>
      <c r="AH108" s="23" t="str">
        <f t="shared" si="100"/>
        <v/>
      </c>
      <c r="AI108" s="23" t="str">
        <f t="shared" si="100"/>
        <v/>
      </c>
      <c r="AJ108" s="23" t="str">
        <f t="shared" si="100"/>
        <v/>
      </c>
      <c r="AK108" s="23" t="str">
        <f t="shared" si="100"/>
        <v/>
      </c>
      <c r="AL108" s="23" t="str">
        <f t="shared" si="100"/>
        <v/>
      </c>
      <c r="AM108" s="23" t="str">
        <f t="shared" si="100"/>
        <v/>
      </c>
      <c r="AN108" s="23" t="str">
        <f t="shared" si="100"/>
        <v/>
      </c>
      <c r="AO108" s="23" t="str">
        <f t="shared" si="101"/>
        <v/>
      </c>
      <c r="AP108" s="23" t="str">
        <f t="shared" si="101"/>
        <v/>
      </c>
      <c r="AQ108" s="23" t="str">
        <f t="shared" si="101"/>
        <v/>
      </c>
      <c r="AR108" s="23" t="str">
        <f t="shared" si="101"/>
        <v/>
      </c>
      <c r="AS108" s="23" t="str">
        <f t="shared" si="101"/>
        <v/>
      </c>
      <c r="AT108" s="23" t="str">
        <f t="shared" si="101"/>
        <v/>
      </c>
      <c r="AU108" s="23" t="str">
        <f t="shared" si="101"/>
        <v/>
      </c>
      <c r="AV108" s="23" t="str">
        <f t="shared" si="101"/>
        <v/>
      </c>
      <c r="AW108" s="23" t="str">
        <f t="shared" si="101"/>
        <v/>
      </c>
      <c r="AX108" s="23" t="str">
        <f t="shared" si="101"/>
        <v/>
      </c>
      <c r="AY108" s="23" t="str">
        <f t="shared" si="102"/>
        <v/>
      </c>
      <c r="AZ108" s="23" t="str">
        <f t="shared" si="102"/>
        <v/>
      </c>
      <c r="BA108" s="23" t="str">
        <f t="shared" si="102"/>
        <v/>
      </c>
      <c r="BB108" s="23" t="str">
        <f t="shared" si="102"/>
        <v/>
      </c>
      <c r="BC108" s="23" t="str">
        <f t="shared" si="102"/>
        <v/>
      </c>
      <c r="BD108" s="23" t="str">
        <f t="shared" si="102"/>
        <v/>
      </c>
      <c r="BE108" s="23" t="str">
        <f t="shared" si="102"/>
        <v/>
      </c>
      <c r="BF108" s="23" t="str">
        <f t="shared" si="102"/>
        <v/>
      </c>
      <c r="BG108" s="23" t="str">
        <f t="shared" si="102"/>
        <v/>
      </c>
      <c r="BH108" s="23" t="str">
        <f t="shared" si="102"/>
        <v/>
      </c>
      <c r="BI108" s="23" t="str">
        <f t="shared" si="103"/>
        <v/>
      </c>
      <c r="BJ108" s="23" t="str">
        <f t="shared" si="103"/>
        <v/>
      </c>
      <c r="BK108" s="23" t="str">
        <f t="shared" si="103"/>
        <v/>
      </c>
      <c r="BL108" s="23" t="str">
        <f t="shared" si="103"/>
        <v/>
      </c>
      <c r="BM108" s="23" t="str">
        <f t="shared" si="103"/>
        <v/>
      </c>
      <c r="BN108" s="23" t="str">
        <f t="shared" si="103"/>
        <v/>
      </c>
      <c r="BO108" s="23" t="str">
        <f t="shared" si="103"/>
        <v/>
      </c>
      <c r="BP108" s="23" t="str">
        <f t="shared" si="103"/>
        <v/>
      </c>
      <c r="BQ108" s="23" t="str">
        <f t="shared" si="103"/>
        <v/>
      </c>
      <c r="BR108" s="23" t="str">
        <f t="shared" si="103"/>
        <v/>
      </c>
      <c r="BS108" s="23" t="str">
        <f t="shared" si="103"/>
        <v/>
      </c>
      <c r="BU108" s="29" t="s">
        <v>384</v>
      </c>
    </row>
    <row r="109" spans="1:73" ht="17" outlineLevel="1" x14ac:dyDescent="0.2">
      <c r="A109" s="6" t="s">
        <v>385</v>
      </c>
      <c r="B109" s="25" t="s">
        <v>386</v>
      </c>
      <c r="C109" s="6" t="s">
        <v>55</v>
      </c>
      <c r="D109" s="24" t="s">
        <v>128</v>
      </c>
      <c r="F109" s="6" t="s">
        <v>382</v>
      </c>
      <c r="G109" s="22">
        <v>14</v>
      </c>
      <c r="H109" s="22">
        <v>1</v>
      </c>
      <c r="I109" s="22">
        <f>MEDIAN($I$107,$J$107,$I$107+ROUND((G109-$G$107)/$H$107*($J$107-$I$107+1),0))</f>
        <v>14</v>
      </c>
      <c r="J109" s="22">
        <f>MEDIAN(I109,$J$107,$I$107+ROUND((G109+H109-$G$107)/$H$107*($J$107-$I$107+1),0)-1)</f>
        <v>14</v>
      </c>
      <c r="K109" s="23" t="str">
        <f t="shared" si="98"/>
        <v/>
      </c>
      <c r="L109" s="23" t="str">
        <f t="shared" si="98"/>
        <v/>
      </c>
      <c r="M109" s="23" t="str">
        <f t="shared" si="98"/>
        <v/>
      </c>
      <c r="N109" s="23" t="str">
        <f t="shared" si="98"/>
        <v/>
      </c>
      <c r="O109" s="23" t="str">
        <f t="shared" si="98"/>
        <v/>
      </c>
      <c r="P109" s="23" t="str">
        <f t="shared" si="98"/>
        <v/>
      </c>
      <c r="Q109" s="23" t="str">
        <f t="shared" si="98"/>
        <v/>
      </c>
      <c r="R109" s="23" t="str">
        <f t="shared" si="98"/>
        <v/>
      </c>
      <c r="S109" s="23" t="str">
        <f t="shared" si="98"/>
        <v/>
      </c>
      <c r="T109" s="23" t="str">
        <f t="shared" si="98"/>
        <v/>
      </c>
      <c r="U109" s="23" t="str">
        <f t="shared" si="99"/>
        <v/>
      </c>
      <c r="V109" s="23" t="str">
        <f t="shared" si="99"/>
        <v/>
      </c>
      <c r="W109" s="23" t="str">
        <f t="shared" si="99"/>
        <v/>
      </c>
      <c r="X109" s="23">
        <f t="shared" si="99"/>
        <v>1</v>
      </c>
      <c r="Y109" s="23" t="str">
        <f t="shared" si="99"/>
        <v/>
      </c>
      <c r="Z109" s="23" t="str">
        <f t="shared" si="99"/>
        <v/>
      </c>
      <c r="AA109" s="23" t="str">
        <f t="shared" si="99"/>
        <v/>
      </c>
      <c r="AB109" s="23" t="str">
        <f t="shared" si="99"/>
        <v/>
      </c>
      <c r="AC109" s="23" t="str">
        <f t="shared" si="99"/>
        <v/>
      </c>
      <c r="AD109" s="23" t="str">
        <f t="shared" si="99"/>
        <v/>
      </c>
      <c r="AE109" s="23" t="str">
        <f t="shared" si="100"/>
        <v/>
      </c>
      <c r="AF109" s="23" t="str">
        <f t="shared" si="100"/>
        <v/>
      </c>
      <c r="AG109" s="23" t="str">
        <f t="shared" si="100"/>
        <v/>
      </c>
      <c r="AH109" s="23" t="str">
        <f t="shared" si="100"/>
        <v/>
      </c>
      <c r="AI109" s="23" t="str">
        <f t="shared" si="100"/>
        <v/>
      </c>
      <c r="AJ109" s="23" t="str">
        <f t="shared" si="100"/>
        <v/>
      </c>
      <c r="AK109" s="23" t="str">
        <f t="shared" si="100"/>
        <v/>
      </c>
      <c r="AL109" s="23" t="str">
        <f t="shared" si="100"/>
        <v/>
      </c>
      <c r="AM109" s="23" t="str">
        <f t="shared" si="100"/>
        <v/>
      </c>
      <c r="AN109" s="23" t="str">
        <f t="shared" si="100"/>
        <v/>
      </c>
      <c r="AO109" s="23" t="str">
        <f t="shared" si="101"/>
        <v/>
      </c>
      <c r="AP109" s="23" t="str">
        <f t="shared" si="101"/>
        <v/>
      </c>
      <c r="AQ109" s="23" t="str">
        <f t="shared" si="101"/>
        <v/>
      </c>
      <c r="AR109" s="23" t="str">
        <f t="shared" si="101"/>
        <v/>
      </c>
      <c r="AS109" s="23" t="str">
        <f t="shared" si="101"/>
        <v/>
      </c>
      <c r="AT109" s="23" t="str">
        <f t="shared" si="101"/>
        <v/>
      </c>
      <c r="AU109" s="23" t="str">
        <f t="shared" si="101"/>
        <v/>
      </c>
      <c r="AV109" s="23" t="str">
        <f t="shared" si="101"/>
        <v/>
      </c>
      <c r="AW109" s="23" t="str">
        <f t="shared" si="101"/>
        <v/>
      </c>
      <c r="AX109" s="23" t="str">
        <f t="shared" si="101"/>
        <v/>
      </c>
      <c r="AY109" s="23" t="str">
        <f t="shared" si="102"/>
        <v/>
      </c>
      <c r="AZ109" s="23" t="str">
        <f t="shared" si="102"/>
        <v/>
      </c>
      <c r="BA109" s="23" t="str">
        <f t="shared" si="102"/>
        <v/>
      </c>
      <c r="BB109" s="23" t="str">
        <f t="shared" si="102"/>
        <v/>
      </c>
      <c r="BC109" s="23" t="str">
        <f t="shared" si="102"/>
        <v/>
      </c>
      <c r="BD109" s="23" t="str">
        <f t="shared" si="102"/>
        <v/>
      </c>
      <c r="BE109" s="23" t="str">
        <f t="shared" si="102"/>
        <v/>
      </c>
      <c r="BF109" s="23" t="str">
        <f t="shared" si="102"/>
        <v/>
      </c>
      <c r="BG109" s="23" t="str">
        <f t="shared" si="102"/>
        <v/>
      </c>
      <c r="BH109" s="23" t="str">
        <f t="shared" si="102"/>
        <v/>
      </c>
      <c r="BI109" s="23" t="str">
        <f t="shared" si="103"/>
        <v/>
      </c>
      <c r="BJ109" s="23" t="str">
        <f t="shared" si="103"/>
        <v/>
      </c>
      <c r="BK109" s="23" t="str">
        <f t="shared" si="103"/>
        <v/>
      </c>
      <c r="BL109" s="23" t="str">
        <f t="shared" si="103"/>
        <v/>
      </c>
      <c r="BM109" s="23" t="str">
        <f t="shared" si="103"/>
        <v/>
      </c>
      <c r="BN109" s="23" t="str">
        <f t="shared" si="103"/>
        <v/>
      </c>
      <c r="BO109" s="23" t="str">
        <f t="shared" si="103"/>
        <v/>
      </c>
      <c r="BP109" s="23" t="str">
        <f t="shared" si="103"/>
        <v/>
      </c>
      <c r="BQ109" s="23" t="str">
        <f t="shared" si="103"/>
        <v/>
      </c>
      <c r="BR109" s="23" t="str">
        <f t="shared" si="103"/>
        <v/>
      </c>
      <c r="BS109" s="23" t="str">
        <f t="shared" si="103"/>
        <v/>
      </c>
      <c r="BU109" s="29" t="s">
        <v>387</v>
      </c>
    </row>
    <row r="110" spans="1:73" ht="34" outlineLevel="1" x14ac:dyDescent="0.2">
      <c r="A110" s="6" t="s">
        <v>388</v>
      </c>
      <c r="B110" s="25" t="s">
        <v>389</v>
      </c>
      <c r="C110" s="6" t="s">
        <v>55</v>
      </c>
      <c r="D110" s="24" t="s">
        <v>128</v>
      </c>
      <c r="F110" s="6" t="s">
        <v>385</v>
      </c>
      <c r="G110" s="22">
        <v>15</v>
      </c>
      <c r="H110" s="22">
        <v>1</v>
      </c>
      <c r="I110" s="22">
        <f>MEDIAN($I$107,$J$107,$I$107+ROUND((G110-$G$107)/$H$107*($J$107-$I$107+1),0))</f>
        <v>15</v>
      </c>
      <c r="J110" s="22">
        <f>MEDIAN(I110,$J$107,$I$107+ROUND((G110+H110-$G$107)/$H$107*($J$107-$I$107+1),0)-1)</f>
        <v>15</v>
      </c>
      <c r="K110" s="23" t="str">
        <f t="shared" si="98"/>
        <v/>
      </c>
      <c r="L110" s="23" t="str">
        <f t="shared" si="98"/>
        <v/>
      </c>
      <c r="M110" s="23" t="str">
        <f t="shared" si="98"/>
        <v/>
      </c>
      <c r="N110" s="23" t="str">
        <f t="shared" si="98"/>
        <v/>
      </c>
      <c r="O110" s="23" t="str">
        <f t="shared" si="98"/>
        <v/>
      </c>
      <c r="P110" s="23" t="str">
        <f t="shared" si="98"/>
        <v/>
      </c>
      <c r="Q110" s="23" t="str">
        <f t="shared" si="98"/>
        <v/>
      </c>
      <c r="R110" s="23" t="str">
        <f t="shared" si="98"/>
        <v/>
      </c>
      <c r="S110" s="23" t="str">
        <f t="shared" si="98"/>
        <v/>
      </c>
      <c r="T110" s="23" t="str">
        <f t="shared" si="98"/>
        <v/>
      </c>
      <c r="U110" s="23" t="str">
        <f t="shared" si="99"/>
        <v/>
      </c>
      <c r="V110" s="23" t="str">
        <f t="shared" si="99"/>
        <v/>
      </c>
      <c r="W110" s="23" t="str">
        <f t="shared" si="99"/>
        <v/>
      </c>
      <c r="X110" s="23" t="str">
        <f t="shared" si="99"/>
        <v/>
      </c>
      <c r="Y110" s="23">
        <f t="shared" si="99"/>
        <v>1</v>
      </c>
      <c r="Z110" s="23" t="str">
        <f t="shared" si="99"/>
        <v/>
      </c>
      <c r="AA110" s="23" t="str">
        <f t="shared" si="99"/>
        <v/>
      </c>
      <c r="AB110" s="23" t="str">
        <f t="shared" si="99"/>
        <v/>
      </c>
      <c r="AC110" s="23" t="str">
        <f t="shared" si="99"/>
        <v/>
      </c>
      <c r="AD110" s="23" t="str">
        <f t="shared" si="99"/>
        <v/>
      </c>
      <c r="AE110" s="23" t="str">
        <f t="shared" si="100"/>
        <v/>
      </c>
      <c r="AF110" s="23" t="str">
        <f t="shared" si="100"/>
        <v/>
      </c>
      <c r="AG110" s="23" t="str">
        <f t="shared" si="100"/>
        <v/>
      </c>
      <c r="AH110" s="23" t="str">
        <f t="shared" si="100"/>
        <v/>
      </c>
      <c r="AI110" s="23" t="str">
        <f t="shared" si="100"/>
        <v/>
      </c>
      <c r="AJ110" s="23" t="str">
        <f t="shared" si="100"/>
        <v/>
      </c>
      <c r="AK110" s="23" t="str">
        <f t="shared" si="100"/>
        <v/>
      </c>
      <c r="AL110" s="23" t="str">
        <f t="shared" si="100"/>
        <v/>
      </c>
      <c r="AM110" s="23" t="str">
        <f t="shared" si="100"/>
        <v/>
      </c>
      <c r="AN110" s="23" t="str">
        <f t="shared" si="100"/>
        <v/>
      </c>
      <c r="AO110" s="23" t="str">
        <f t="shared" si="101"/>
        <v/>
      </c>
      <c r="AP110" s="23" t="str">
        <f t="shared" si="101"/>
        <v/>
      </c>
      <c r="AQ110" s="23" t="str">
        <f t="shared" si="101"/>
        <v/>
      </c>
      <c r="AR110" s="23" t="str">
        <f t="shared" si="101"/>
        <v/>
      </c>
      <c r="AS110" s="23" t="str">
        <f t="shared" si="101"/>
        <v/>
      </c>
      <c r="AT110" s="23" t="str">
        <f t="shared" si="101"/>
        <v/>
      </c>
      <c r="AU110" s="23" t="str">
        <f t="shared" si="101"/>
        <v/>
      </c>
      <c r="AV110" s="23" t="str">
        <f t="shared" si="101"/>
        <v/>
      </c>
      <c r="AW110" s="23" t="str">
        <f t="shared" si="101"/>
        <v/>
      </c>
      <c r="AX110" s="23" t="str">
        <f t="shared" si="101"/>
        <v/>
      </c>
      <c r="AY110" s="23" t="str">
        <f t="shared" si="102"/>
        <v/>
      </c>
      <c r="AZ110" s="23" t="str">
        <f t="shared" si="102"/>
        <v/>
      </c>
      <c r="BA110" s="23" t="str">
        <f t="shared" si="102"/>
        <v/>
      </c>
      <c r="BB110" s="23" t="str">
        <f t="shared" si="102"/>
        <v/>
      </c>
      <c r="BC110" s="23" t="str">
        <f t="shared" si="102"/>
        <v/>
      </c>
      <c r="BD110" s="23" t="str">
        <f t="shared" si="102"/>
        <v/>
      </c>
      <c r="BE110" s="23" t="str">
        <f t="shared" si="102"/>
        <v/>
      </c>
      <c r="BF110" s="23" t="str">
        <f t="shared" si="102"/>
        <v/>
      </c>
      <c r="BG110" s="23" t="str">
        <f t="shared" si="102"/>
        <v/>
      </c>
      <c r="BH110" s="23" t="str">
        <f t="shared" si="102"/>
        <v/>
      </c>
      <c r="BI110" s="23" t="str">
        <f t="shared" si="103"/>
        <v/>
      </c>
      <c r="BJ110" s="23" t="str">
        <f t="shared" si="103"/>
        <v/>
      </c>
      <c r="BK110" s="23" t="str">
        <f t="shared" si="103"/>
        <v/>
      </c>
      <c r="BL110" s="23" t="str">
        <f t="shared" si="103"/>
        <v/>
      </c>
      <c r="BM110" s="23" t="str">
        <f t="shared" si="103"/>
        <v/>
      </c>
      <c r="BN110" s="23" t="str">
        <f t="shared" si="103"/>
        <v/>
      </c>
      <c r="BO110" s="23" t="str">
        <f t="shared" si="103"/>
        <v/>
      </c>
      <c r="BP110" s="23" t="str">
        <f t="shared" si="103"/>
        <v/>
      </c>
      <c r="BQ110" s="23" t="str">
        <f t="shared" si="103"/>
        <v/>
      </c>
      <c r="BR110" s="23" t="str">
        <f t="shared" si="103"/>
        <v/>
      </c>
      <c r="BS110" s="23" t="str">
        <f t="shared" si="103"/>
        <v/>
      </c>
      <c r="BU110" s="29" t="s">
        <v>390</v>
      </c>
    </row>
    <row r="111" spans="1:73" x14ac:dyDescent="0.2">
      <c r="BU111" s="30"/>
    </row>
    <row r="112" spans="1:73" ht="17" x14ac:dyDescent="0.2">
      <c r="A112" s="19" t="s">
        <v>391</v>
      </c>
      <c r="B112" s="20" t="s">
        <v>392</v>
      </c>
      <c r="C112" s="19" t="s">
        <v>55</v>
      </c>
      <c r="D112" s="21" t="s">
        <v>128</v>
      </c>
      <c r="E112" s="19" t="s">
        <v>81</v>
      </c>
      <c r="F112" s="19"/>
      <c r="G112" s="22">
        <v>6</v>
      </c>
      <c r="H112" s="22">
        <v>10</v>
      </c>
      <c r="I112" s="22">
        <f>MIN(61,IF(G112&lt;=29,ROUND((G112-1)*(29+SlipWeeks)/29,0)+1,G112+SlipWeeks))</f>
        <v>6</v>
      </c>
      <c r="J112" s="22">
        <f>MIN(61,IF(G112+H112-1&lt;=29,MAX(ROUND((G112+H112-1)*(29+SlipWeeks)/29,0),I112),G112+H112-1+SlipWeeks))</f>
        <v>15</v>
      </c>
      <c r="K112" s="23" t="str">
        <f t="shared" ref="K112:T117" si="104">IF(AND(K$4&gt;=$I112,K$4&lt;=$J112),1,"")</f>
        <v/>
      </c>
      <c r="L112" s="23" t="str">
        <f t="shared" si="104"/>
        <v/>
      </c>
      <c r="M112" s="23" t="str">
        <f t="shared" si="104"/>
        <v/>
      </c>
      <c r="N112" s="23" t="str">
        <f t="shared" si="104"/>
        <v/>
      </c>
      <c r="O112" s="23" t="str">
        <f t="shared" si="104"/>
        <v/>
      </c>
      <c r="P112" s="23">
        <f t="shared" si="104"/>
        <v>1</v>
      </c>
      <c r="Q112" s="23">
        <f t="shared" si="104"/>
        <v>1</v>
      </c>
      <c r="R112" s="23">
        <f t="shared" si="104"/>
        <v>1</v>
      </c>
      <c r="S112" s="23">
        <f t="shared" si="104"/>
        <v>1</v>
      </c>
      <c r="T112" s="23">
        <f t="shared" si="104"/>
        <v>1</v>
      </c>
      <c r="U112" s="23">
        <f t="shared" ref="U112:AD117" si="105">IF(AND(U$4&gt;=$I112,U$4&lt;=$J112),1,"")</f>
        <v>1</v>
      </c>
      <c r="V112" s="23">
        <f t="shared" si="105"/>
        <v>1</v>
      </c>
      <c r="W112" s="23">
        <f t="shared" si="105"/>
        <v>1</v>
      </c>
      <c r="X112" s="23">
        <f t="shared" si="105"/>
        <v>1</v>
      </c>
      <c r="Y112" s="23">
        <f t="shared" si="105"/>
        <v>1</v>
      </c>
      <c r="Z112" s="23" t="str">
        <f t="shared" si="105"/>
        <v/>
      </c>
      <c r="AA112" s="23" t="str">
        <f t="shared" si="105"/>
        <v/>
      </c>
      <c r="AB112" s="23" t="str">
        <f t="shared" si="105"/>
        <v/>
      </c>
      <c r="AC112" s="23" t="str">
        <f t="shared" si="105"/>
        <v/>
      </c>
      <c r="AD112" s="23" t="str">
        <f t="shared" si="105"/>
        <v/>
      </c>
      <c r="AE112" s="23" t="str">
        <f t="shared" ref="AE112:AN117" si="106">IF(AND(AE$4&gt;=$I112,AE$4&lt;=$J112),1,"")</f>
        <v/>
      </c>
      <c r="AF112" s="23" t="str">
        <f t="shared" si="106"/>
        <v/>
      </c>
      <c r="AG112" s="23" t="str">
        <f t="shared" si="106"/>
        <v/>
      </c>
      <c r="AH112" s="23" t="str">
        <f t="shared" si="106"/>
        <v/>
      </c>
      <c r="AI112" s="23" t="str">
        <f t="shared" si="106"/>
        <v/>
      </c>
      <c r="AJ112" s="23" t="str">
        <f t="shared" si="106"/>
        <v/>
      </c>
      <c r="AK112" s="23" t="str">
        <f t="shared" si="106"/>
        <v/>
      </c>
      <c r="AL112" s="23" t="str">
        <f t="shared" si="106"/>
        <v/>
      </c>
      <c r="AM112" s="23" t="str">
        <f t="shared" si="106"/>
        <v/>
      </c>
      <c r="AN112" s="23" t="str">
        <f t="shared" si="106"/>
        <v/>
      </c>
      <c r="AO112" s="23" t="str">
        <f t="shared" ref="AO112:AX117" si="107">IF(AND(AO$4&gt;=$I112,AO$4&lt;=$J112),1,"")</f>
        <v/>
      </c>
      <c r="AP112" s="23" t="str">
        <f t="shared" si="107"/>
        <v/>
      </c>
      <c r="AQ112" s="23" t="str">
        <f t="shared" si="107"/>
        <v/>
      </c>
      <c r="AR112" s="23" t="str">
        <f t="shared" si="107"/>
        <v/>
      </c>
      <c r="AS112" s="23" t="str">
        <f t="shared" si="107"/>
        <v/>
      </c>
      <c r="AT112" s="23" t="str">
        <f t="shared" si="107"/>
        <v/>
      </c>
      <c r="AU112" s="23" t="str">
        <f t="shared" si="107"/>
        <v/>
      </c>
      <c r="AV112" s="23" t="str">
        <f t="shared" si="107"/>
        <v/>
      </c>
      <c r="AW112" s="23" t="str">
        <f t="shared" si="107"/>
        <v/>
      </c>
      <c r="AX112" s="23" t="str">
        <f t="shared" si="107"/>
        <v/>
      </c>
      <c r="AY112" s="23" t="str">
        <f t="shared" ref="AY112:BH117" si="108">IF(AND(AY$4&gt;=$I112,AY$4&lt;=$J112),1,"")</f>
        <v/>
      </c>
      <c r="AZ112" s="23" t="str">
        <f t="shared" si="108"/>
        <v/>
      </c>
      <c r="BA112" s="23" t="str">
        <f t="shared" si="108"/>
        <v/>
      </c>
      <c r="BB112" s="23" t="str">
        <f t="shared" si="108"/>
        <v/>
      </c>
      <c r="BC112" s="23" t="str">
        <f t="shared" si="108"/>
        <v/>
      </c>
      <c r="BD112" s="23" t="str">
        <f t="shared" si="108"/>
        <v/>
      </c>
      <c r="BE112" s="23" t="str">
        <f t="shared" si="108"/>
        <v/>
      </c>
      <c r="BF112" s="23" t="str">
        <f t="shared" si="108"/>
        <v/>
      </c>
      <c r="BG112" s="23" t="str">
        <f t="shared" si="108"/>
        <v/>
      </c>
      <c r="BH112" s="23" t="str">
        <f t="shared" si="108"/>
        <v/>
      </c>
      <c r="BI112" s="23" t="str">
        <f t="shared" ref="BI112:BS117" si="109">IF(AND(BI$4&gt;=$I112,BI$4&lt;=$J112),1,"")</f>
        <v/>
      </c>
      <c r="BJ112" s="23" t="str">
        <f t="shared" si="109"/>
        <v/>
      </c>
      <c r="BK112" s="23" t="str">
        <f t="shared" si="109"/>
        <v/>
      </c>
      <c r="BL112" s="23" t="str">
        <f t="shared" si="109"/>
        <v/>
      </c>
      <c r="BM112" s="23" t="str">
        <f t="shared" si="109"/>
        <v/>
      </c>
      <c r="BN112" s="23" t="str">
        <f t="shared" si="109"/>
        <v/>
      </c>
      <c r="BO112" s="23" t="str">
        <f t="shared" si="109"/>
        <v/>
      </c>
      <c r="BP112" s="23" t="str">
        <f t="shared" si="109"/>
        <v/>
      </c>
      <c r="BQ112" s="23" t="str">
        <f t="shared" si="109"/>
        <v/>
      </c>
      <c r="BR112" s="23" t="str">
        <f t="shared" si="109"/>
        <v/>
      </c>
      <c r="BS112" s="23" t="str">
        <f t="shared" si="109"/>
        <v/>
      </c>
      <c r="BT112" s="24" t="str">
        <f>IF(IF(G112+H112-1&lt;=29,MAX(ROUND((G112+H112-1)*(29+SlipWeeks)/29,0),$I112),G112+H112-1+SlipWeeks)&gt;61,"▶ clipped","")</f>
        <v/>
      </c>
      <c r="BU112" s="29" t="s">
        <v>393</v>
      </c>
    </row>
    <row r="113" spans="1:73" ht="17" outlineLevel="1" x14ac:dyDescent="0.2">
      <c r="A113" s="6" t="s">
        <v>394</v>
      </c>
      <c r="B113" s="25" t="s">
        <v>395</v>
      </c>
      <c r="C113" s="6" t="s">
        <v>55</v>
      </c>
      <c r="D113" s="24" t="s">
        <v>128</v>
      </c>
      <c r="F113" s="6"/>
      <c r="G113" s="22">
        <v>6</v>
      </c>
      <c r="H113" s="22">
        <v>2</v>
      </c>
      <c r="I113" s="22">
        <f>MEDIAN($I$112,$J$112,$I$112+ROUND((G113-$G$112)/$H$112*($J$112-$I$112+1),0))</f>
        <v>6</v>
      </c>
      <c r="J113" s="22">
        <f>MEDIAN(I113,$J$112,$I$112+ROUND((G113+H113-$G$112)/$H$112*($J$112-$I$112+1),0)-1)</f>
        <v>7</v>
      </c>
      <c r="K113" s="23" t="str">
        <f t="shared" si="104"/>
        <v/>
      </c>
      <c r="L113" s="23" t="str">
        <f t="shared" si="104"/>
        <v/>
      </c>
      <c r="M113" s="23" t="str">
        <f t="shared" si="104"/>
        <v/>
      </c>
      <c r="N113" s="23" t="str">
        <f t="shared" si="104"/>
        <v/>
      </c>
      <c r="O113" s="23" t="str">
        <f t="shared" si="104"/>
        <v/>
      </c>
      <c r="P113" s="23">
        <f t="shared" si="104"/>
        <v>1</v>
      </c>
      <c r="Q113" s="23">
        <f t="shared" si="104"/>
        <v>1</v>
      </c>
      <c r="R113" s="23" t="str">
        <f t="shared" si="104"/>
        <v/>
      </c>
      <c r="S113" s="23" t="str">
        <f t="shared" si="104"/>
        <v/>
      </c>
      <c r="T113" s="23" t="str">
        <f t="shared" si="104"/>
        <v/>
      </c>
      <c r="U113" s="23" t="str">
        <f t="shared" si="105"/>
        <v/>
      </c>
      <c r="V113" s="23" t="str">
        <f t="shared" si="105"/>
        <v/>
      </c>
      <c r="W113" s="23" t="str">
        <f t="shared" si="105"/>
        <v/>
      </c>
      <c r="X113" s="23" t="str">
        <f t="shared" si="105"/>
        <v/>
      </c>
      <c r="Y113" s="23" t="str">
        <f t="shared" si="105"/>
        <v/>
      </c>
      <c r="Z113" s="23" t="str">
        <f t="shared" si="105"/>
        <v/>
      </c>
      <c r="AA113" s="23" t="str">
        <f t="shared" si="105"/>
        <v/>
      </c>
      <c r="AB113" s="23" t="str">
        <f t="shared" si="105"/>
        <v/>
      </c>
      <c r="AC113" s="23" t="str">
        <f t="shared" si="105"/>
        <v/>
      </c>
      <c r="AD113" s="23" t="str">
        <f t="shared" si="105"/>
        <v/>
      </c>
      <c r="AE113" s="23" t="str">
        <f t="shared" si="106"/>
        <v/>
      </c>
      <c r="AF113" s="23" t="str">
        <f t="shared" si="106"/>
        <v/>
      </c>
      <c r="AG113" s="23" t="str">
        <f t="shared" si="106"/>
        <v/>
      </c>
      <c r="AH113" s="23" t="str">
        <f t="shared" si="106"/>
        <v/>
      </c>
      <c r="AI113" s="23" t="str">
        <f t="shared" si="106"/>
        <v/>
      </c>
      <c r="AJ113" s="23" t="str">
        <f t="shared" si="106"/>
        <v/>
      </c>
      <c r="AK113" s="23" t="str">
        <f t="shared" si="106"/>
        <v/>
      </c>
      <c r="AL113" s="23" t="str">
        <f t="shared" si="106"/>
        <v/>
      </c>
      <c r="AM113" s="23" t="str">
        <f t="shared" si="106"/>
        <v/>
      </c>
      <c r="AN113" s="23" t="str">
        <f t="shared" si="106"/>
        <v/>
      </c>
      <c r="AO113" s="23" t="str">
        <f t="shared" si="107"/>
        <v/>
      </c>
      <c r="AP113" s="23" t="str">
        <f t="shared" si="107"/>
        <v/>
      </c>
      <c r="AQ113" s="23" t="str">
        <f t="shared" si="107"/>
        <v/>
      </c>
      <c r="AR113" s="23" t="str">
        <f t="shared" si="107"/>
        <v/>
      </c>
      <c r="AS113" s="23" t="str">
        <f t="shared" si="107"/>
        <v/>
      </c>
      <c r="AT113" s="23" t="str">
        <f t="shared" si="107"/>
        <v/>
      </c>
      <c r="AU113" s="23" t="str">
        <f t="shared" si="107"/>
        <v/>
      </c>
      <c r="AV113" s="23" t="str">
        <f t="shared" si="107"/>
        <v/>
      </c>
      <c r="AW113" s="23" t="str">
        <f t="shared" si="107"/>
        <v/>
      </c>
      <c r="AX113" s="23" t="str">
        <f t="shared" si="107"/>
        <v/>
      </c>
      <c r="AY113" s="23" t="str">
        <f t="shared" si="108"/>
        <v/>
      </c>
      <c r="AZ113" s="23" t="str">
        <f t="shared" si="108"/>
        <v/>
      </c>
      <c r="BA113" s="23" t="str">
        <f t="shared" si="108"/>
        <v/>
      </c>
      <c r="BB113" s="23" t="str">
        <f t="shared" si="108"/>
        <v/>
      </c>
      <c r="BC113" s="23" t="str">
        <f t="shared" si="108"/>
        <v/>
      </c>
      <c r="BD113" s="23" t="str">
        <f t="shared" si="108"/>
        <v/>
      </c>
      <c r="BE113" s="23" t="str">
        <f t="shared" si="108"/>
        <v/>
      </c>
      <c r="BF113" s="23" t="str">
        <f t="shared" si="108"/>
        <v/>
      </c>
      <c r="BG113" s="23" t="str">
        <f t="shared" si="108"/>
        <v/>
      </c>
      <c r="BH113" s="23" t="str">
        <f t="shared" si="108"/>
        <v/>
      </c>
      <c r="BI113" s="23" t="str">
        <f t="shared" si="109"/>
        <v/>
      </c>
      <c r="BJ113" s="23" t="str">
        <f t="shared" si="109"/>
        <v/>
      </c>
      <c r="BK113" s="23" t="str">
        <f t="shared" si="109"/>
        <v/>
      </c>
      <c r="BL113" s="23" t="str">
        <f t="shared" si="109"/>
        <v/>
      </c>
      <c r="BM113" s="23" t="str">
        <f t="shared" si="109"/>
        <v/>
      </c>
      <c r="BN113" s="23" t="str">
        <f t="shared" si="109"/>
        <v/>
      </c>
      <c r="BO113" s="23" t="str">
        <f t="shared" si="109"/>
        <v/>
      </c>
      <c r="BP113" s="23" t="str">
        <f t="shared" si="109"/>
        <v/>
      </c>
      <c r="BQ113" s="23" t="str">
        <f t="shared" si="109"/>
        <v/>
      </c>
      <c r="BR113" s="23" t="str">
        <f t="shared" si="109"/>
        <v/>
      </c>
      <c r="BS113" s="23" t="str">
        <f t="shared" si="109"/>
        <v/>
      </c>
      <c r="BU113" s="29" t="s">
        <v>396</v>
      </c>
    </row>
    <row r="114" spans="1:73" ht="34" outlineLevel="1" x14ac:dyDescent="0.2">
      <c r="A114" s="6" t="s">
        <v>397</v>
      </c>
      <c r="B114" s="25" t="s">
        <v>398</v>
      </c>
      <c r="C114" s="6" t="s">
        <v>55</v>
      </c>
      <c r="D114" s="24" t="s">
        <v>128</v>
      </c>
      <c r="F114" s="6" t="s">
        <v>394</v>
      </c>
      <c r="G114" s="22">
        <v>8</v>
      </c>
      <c r="H114" s="22">
        <v>2</v>
      </c>
      <c r="I114" s="22">
        <f>MEDIAN($I$112,$J$112,$I$112+ROUND((G114-$G$112)/$H$112*($J$112-$I$112+1),0))</f>
        <v>8</v>
      </c>
      <c r="J114" s="22">
        <f>MEDIAN(I114,$J$112,$I$112+ROUND((G114+H114-$G$112)/$H$112*($J$112-$I$112+1),0)-1)</f>
        <v>9</v>
      </c>
      <c r="K114" s="23" t="str">
        <f t="shared" si="104"/>
        <v/>
      </c>
      <c r="L114" s="23" t="str">
        <f t="shared" si="104"/>
        <v/>
      </c>
      <c r="M114" s="23" t="str">
        <f t="shared" si="104"/>
        <v/>
      </c>
      <c r="N114" s="23" t="str">
        <f t="shared" si="104"/>
        <v/>
      </c>
      <c r="O114" s="23" t="str">
        <f t="shared" si="104"/>
        <v/>
      </c>
      <c r="P114" s="23" t="str">
        <f t="shared" si="104"/>
        <v/>
      </c>
      <c r="Q114" s="23" t="str">
        <f t="shared" si="104"/>
        <v/>
      </c>
      <c r="R114" s="23">
        <f t="shared" si="104"/>
        <v>1</v>
      </c>
      <c r="S114" s="23">
        <f t="shared" si="104"/>
        <v>1</v>
      </c>
      <c r="T114" s="23" t="str">
        <f t="shared" si="104"/>
        <v/>
      </c>
      <c r="U114" s="23" t="str">
        <f t="shared" si="105"/>
        <v/>
      </c>
      <c r="V114" s="23" t="str">
        <f t="shared" si="105"/>
        <v/>
      </c>
      <c r="W114" s="23" t="str">
        <f t="shared" si="105"/>
        <v/>
      </c>
      <c r="X114" s="23" t="str">
        <f t="shared" si="105"/>
        <v/>
      </c>
      <c r="Y114" s="23" t="str">
        <f t="shared" si="105"/>
        <v/>
      </c>
      <c r="Z114" s="23" t="str">
        <f t="shared" si="105"/>
        <v/>
      </c>
      <c r="AA114" s="23" t="str">
        <f t="shared" si="105"/>
        <v/>
      </c>
      <c r="AB114" s="23" t="str">
        <f t="shared" si="105"/>
        <v/>
      </c>
      <c r="AC114" s="23" t="str">
        <f t="shared" si="105"/>
        <v/>
      </c>
      <c r="AD114" s="23" t="str">
        <f t="shared" si="105"/>
        <v/>
      </c>
      <c r="AE114" s="23" t="str">
        <f t="shared" si="106"/>
        <v/>
      </c>
      <c r="AF114" s="23" t="str">
        <f t="shared" si="106"/>
        <v/>
      </c>
      <c r="AG114" s="23" t="str">
        <f t="shared" si="106"/>
        <v/>
      </c>
      <c r="AH114" s="23" t="str">
        <f t="shared" si="106"/>
        <v/>
      </c>
      <c r="AI114" s="23" t="str">
        <f t="shared" si="106"/>
        <v/>
      </c>
      <c r="AJ114" s="23" t="str">
        <f t="shared" si="106"/>
        <v/>
      </c>
      <c r="AK114" s="23" t="str">
        <f t="shared" si="106"/>
        <v/>
      </c>
      <c r="AL114" s="23" t="str">
        <f t="shared" si="106"/>
        <v/>
      </c>
      <c r="AM114" s="23" t="str">
        <f t="shared" si="106"/>
        <v/>
      </c>
      <c r="AN114" s="23" t="str">
        <f t="shared" si="106"/>
        <v/>
      </c>
      <c r="AO114" s="23" t="str">
        <f t="shared" si="107"/>
        <v/>
      </c>
      <c r="AP114" s="23" t="str">
        <f t="shared" si="107"/>
        <v/>
      </c>
      <c r="AQ114" s="23" t="str">
        <f t="shared" si="107"/>
        <v/>
      </c>
      <c r="AR114" s="23" t="str">
        <f t="shared" si="107"/>
        <v/>
      </c>
      <c r="AS114" s="23" t="str">
        <f t="shared" si="107"/>
        <v/>
      </c>
      <c r="AT114" s="23" t="str">
        <f t="shared" si="107"/>
        <v/>
      </c>
      <c r="AU114" s="23" t="str">
        <f t="shared" si="107"/>
        <v/>
      </c>
      <c r="AV114" s="23" t="str">
        <f t="shared" si="107"/>
        <v/>
      </c>
      <c r="AW114" s="23" t="str">
        <f t="shared" si="107"/>
        <v/>
      </c>
      <c r="AX114" s="23" t="str">
        <f t="shared" si="107"/>
        <v/>
      </c>
      <c r="AY114" s="23" t="str">
        <f t="shared" si="108"/>
        <v/>
      </c>
      <c r="AZ114" s="23" t="str">
        <f t="shared" si="108"/>
        <v/>
      </c>
      <c r="BA114" s="23" t="str">
        <f t="shared" si="108"/>
        <v/>
      </c>
      <c r="BB114" s="23" t="str">
        <f t="shared" si="108"/>
        <v/>
      </c>
      <c r="BC114" s="23" t="str">
        <f t="shared" si="108"/>
        <v/>
      </c>
      <c r="BD114" s="23" t="str">
        <f t="shared" si="108"/>
        <v/>
      </c>
      <c r="BE114" s="23" t="str">
        <f t="shared" si="108"/>
        <v/>
      </c>
      <c r="BF114" s="23" t="str">
        <f t="shared" si="108"/>
        <v/>
      </c>
      <c r="BG114" s="23" t="str">
        <f t="shared" si="108"/>
        <v/>
      </c>
      <c r="BH114" s="23" t="str">
        <f t="shared" si="108"/>
        <v/>
      </c>
      <c r="BI114" s="23" t="str">
        <f t="shared" si="109"/>
        <v/>
      </c>
      <c r="BJ114" s="23" t="str">
        <f t="shared" si="109"/>
        <v/>
      </c>
      <c r="BK114" s="23" t="str">
        <f t="shared" si="109"/>
        <v/>
      </c>
      <c r="BL114" s="23" t="str">
        <f t="shared" si="109"/>
        <v/>
      </c>
      <c r="BM114" s="23" t="str">
        <f t="shared" si="109"/>
        <v/>
      </c>
      <c r="BN114" s="23" t="str">
        <f t="shared" si="109"/>
        <v/>
      </c>
      <c r="BO114" s="23" t="str">
        <f t="shared" si="109"/>
        <v/>
      </c>
      <c r="BP114" s="23" t="str">
        <f t="shared" si="109"/>
        <v/>
      </c>
      <c r="BQ114" s="23" t="str">
        <f t="shared" si="109"/>
        <v/>
      </c>
      <c r="BR114" s="23" t="str">
        <f t="shared" si="109"/>
        <v/>
      </c>
      <c r="BS114" s="23" t="str">
        <f t="shared" si="109"/>
        <v/>
      </c>
      <c r="BU114" s="29" t="s">
        <v>399</v>
      </c>
    </row>
    <row r="115" spans="1:73" ht="17" outlineLevel="1" x14ac:dyDescent="0.2">
      <c r="A115" s="6" t="s">
        <v>400</v>
      </c>
      <c r="B115" s="25" t="s">
        <v>401</v>
      </c>
      <c r="C115" s="6" t="s">
        <v>55</v>
      </c>
      <c r="D115" s="24" t="s">
        <v>128</v>
      </c>
      <c r="F115" s="6" t="s">
        <v>397</v>
      </c>
      <c r="G115" s="22">
        <v>10</v>
      </c>
      <c r="H115" s="22">
        <v>2</v>
      </c>
      <c r="I115" s="22">
        <f>MEDIAN($I$112,$J$112,$I$112+ROUND((G115-$G$112)/$H$112*($J$112-$I$112+1),0))</f>
        <v>10</v>
      </c>
      <c r="J115" s="22">
        <f>MEDIAN(I115,$J$112,$I$112+ROUND((G115+H115-$G$112)/$H$112*($J$112-$I$112+1),0)-1)</f>
        <v>11</v>
      </c>
      <c r="K115" s="23" t="str">
        <f t="shared" si="104"/>
        <v/>
      </c>
      <c r="L115" s="23" t="str">
        <f t="shared" si="104"/>
        <v/>
      </c>
      <c r="M115" s="23" t="str">
        <f t="shared" si="104"/>
        <v/>
      </c>
      <c r="N115" s="23" t="str">
        <f t="shared" si="104"/>
        <v/>
      </c>
      <c r="O115" s="23" t="str">
        <f t="shared" si="104"/>
        <v/>
      </c>
      <c r="P115" s="23" t="str">
        <f t="shared" si="104"/>
        <v/>
      </c>
      <c r="Q115" s="23" t="str">
        <f t="shared" si="104"/>
        <v/>
      </c>
      <c r="R115" s="23" t="str">
        <f t="shared" si="104"/>
        <v/>
      </c>
      <c r="S115" s="23" t="str">
        <f t="shared" si="104"/>
        <v/>
      </c>
      <c r="T115" s="23">
        <f t="shared" si="104"/>
        <v>1</v>
      </c>
      <c r="U115" s="23">
        <f t="shared" si="105"/>
        <v>1</v>
      </c>
      <c r="V115" s="23" t="str">
        <f t="shared" si="105"/>
        <v/>
      </c>
      <c r="W115" s="23" t="str">
        <f t="shared" si="105"/>
        <v/>
      </c>
      <c r="X115" s="23" t="str">
        <f t="shared" si="105"/>
        <v/>
      </c>
      <c r="Y115" s="23" t="str">
        <f t="shared" si="105"/>
        <v/>
      </c>
      <c r="Z115" s="23" t="str">
        <f t="shared" si="105"/>
        <v/>
      </c>
      <c r="AA115" s="23" t="str">
        <f t="shared" si="105"/>
        <v/>
      </c>
      <c r="AB115" s="23" t="str">
        <f t="shared" si="105"/>
        <v/>
      </c>
      <c r="AC115" s="23" t="str">
        <f t="shared" si="105"/>
        <v/>
      </c>
      <c r="AD115" s="23" t="str">
        <f t="shared" si="105"/>
        <v/>
      </c>
      <c r="AE115" s="23" t="str">
        <f t="shared" si="106"/>
        <v/>
      </c>
      <c r="AF115" s="23" t="str">
        <f t="shared" si="106"/>
        <v/>
      </c>
      <c r="AG115" s="23" t="str">
        <f t="shared" si="106"/>
        <v/>
      </c>
      <c r="AH115" s="23" t="str">
        <f t="shared" si="106"/>
        <v/>
      </c>
      <c r="AI115" s="23" t="str">
        <f t="shared" si="106"/>
        <v/>
      </c>
      <c r="AJ115" s="23" t="str">
        <f t="shared" si="106"/>
        <v/>
      </c>
      <c r="AK115" s="23" t="str">
        <f t="shared" si="106"/>
        <v/>
      </c>
      <c r="AL115" s="23" t="str">
        <f t="shared" si="106"/>
        <v/>
      </c>
      <c r="AM115" s="23" t="str">
        <f t="shared" si="106"/>
        <v/>
      </c>
      <c r="AN115" s="23" t="str">
        <f t="shared" si="106"/>
        <v/>
      </c>
      <c r="AO115" s="23" t="str">
        <f t="shared" si="107"/>
        <v/>
      </c>
      <c r="AP115" s="23" t="str">
        <f t="shared" si="107"/>
        <v/>
      </c>
      <c r="AQ115" s="23" t="str">
        <f t="shared" si="107"/>
        <v/>
      </c>
      <c r="AR115" s="23" t="str">
        <f t="shared" si="107"/>
        <v/>
      </c>
      <c r="AS115" s="23" t="str">
        <f t="shared" si="107"/>
        <v/>
      </c>
      <c r="AT115" s="23" t="str">
        <f t="shared" si="107"/>
        <v/>
      </c>
      <c r="AU115" s="23" t="str">
        <f t="shared" si="107"/>
        <v/>
      </c>
      <c r="AV115" s="23" t="str">
        <f t="shared" si="107"/>
        <v/>
      </c>
      <c r="AW115" s="23" t="str">
        <f t="shared" si="107"/>
        <v/>
      </c>
      <c r="AX115" s="23" t="str">
        <f t="shared" si="107"/>
        <v/>
      </c>
      <c r="AY115" s="23" t="str">
        <f t="shared" si="108"/>
        <v/>
      </c>
      <c r="AZ115" s="23" t="str">
        <f t="shared" si="108"/>
        <v/>
      </c>
      <c r="BA115" s="23" t="str">
        <f t="shared" si="108"/>
        <v/>
      </c>
      <c r="BB115" s="23" t="str">
        <f t="shared" si="108"/>
        <v/>
      </c>
      <c r="BC115" s="23" t="str">
        <f t="shared" si="108"/>
        <v/>
      </c>
      <c r="BD115" s="23" t="str">
        <f t="shared" si="108"/>
        <v/>
      </c>
      <c r="BE115" s="23" t="str">
        <f t="shared" si="108"/>
        <v/>
      </c>
      <c r="BF115" s="23" t="str">
        <f t="shared" si="108"/>
        <v/>
      </c>
      <c r="BG115" s="23" t="str">
        <f t="shared" si="108"/>
        <v/>
      </c>
      <c r="BH115" s="23" t="str">
        <f t="shared" si="108"/>
        <v/>
      </c>
      <c r="BI115" s="23" t="str">
        <f t="shared" si="109"/>
        <v/>
      </c>
      <c r="BJ115" s="23" t="str">
        <f t="shared" si="109"/>
        <v/>
      </c>
      <c r="BK115" s="23" t="str">
        <f t="shared" si="109"/>
        <v/>
      </c>
      <c r="BL115" s="23" t="str">
        <f t="shared" si="109"/>
        <v/>
      </c>
      <c r="BM115" s="23" t="str">
        <f t="shared" si="109"/>
        <v/>
      </c>
      <c r="BN115" s="23" t="str">
        <f t="shared" si="109"/>
        <v/>
      </c>
      <c r="BO115" s="23" t="str">
        <f t="shared" si="109"/>
        <v/>
      </c>
      <c r="BP115" s="23" t="str">
        <f t="shared" si="109"/>
        <v/>
      </c>
      <c r="BQ115" s="23" t="str">
        <f t="shared" si="109"/>
        <v/>
      </c>
      <c r="BR115" s="23" t="str">
        <f t="shared" si="109"/>
        <v/>
      </c>
      <c r="BS115" s="23" t="str">
        <f t="shared" si="109"/>
        <v/>
      </c>
      <c r="BU115" s="29" t="s">
        <v>402</v>
      </c>
    </row>
    <row r="116" spans="1:73" ht="17" outlineLevel="1" x14ac:dyDescent="0.2">
      <c r="A116" s="6" t="s">
        <v>403</v>
      </c>
      <c r="B116" s="25" t="s">
        <v>404</v>
      </c>
      <c r="C116" s="6" t="s">
        <v>55</v>
      </c>
      <c r="D116" s="24" t="s">
        <v>128</v>
      </c>
      <c r="F116" s="6" t="s">
        <v>400</v>
      </c>
      <c r="G116" s="22">
        <v>12</v>
      </c>
      <c r="H116" s="22">
        <v>2</v>
      </c>
      <c r="I116" s="22">
        <f>MEDIAN($I$112,$J$112,$I$112+ROUND((G116-$G$112)/$H$112*($J$112-$I$112+1),0))</f>
        <v>12</v>
      </c>
      <c r="J116" s="22">
        <f>MEDIAN(I116,$J$112,$I$112+ROUND((G116+H116-$G$112)/$H$112*($J$112-$I$112+1),0)-1)</f>
        <v>13</v>
      </c>
      <c r="K116" s="23" t="str">
        <f t="shared" si="104"/>
        <v/>
      </c>
      <c r="L116" s="23" t="str">
        <f t="shared" si="104"/>
        <v/>
      </c>
      <c r="M116" s="23" t="str">
        <f t="shared" si="104"/>
        <v/>
      </c>
      <c r="N116" s="23" t="str">
        <f t="shared" si="104"/>
        <v/>
      </c>
      <c r="O116" s="23" t="str">
        <f t="shared" si="104"/>
        <v/>
      </c>
      <c r="P116" s="23" t="str">
        <f t="shared" si="104"/>
        <v/>
      </c>
      <c r="Q116" s="23" t="str">
        <f t="shared" si="104"/>
        <v/>
      </c>
      <c r="R116" s="23" t="str">
        <f t="shared" si="104"/>
        <v/>
      </c>
      <c r="S116" s="23" t="str">
        <f t="shared" si="104"/>
        <v/>
      </c>
      <c r="T116" s="23" t="str">
        <f t="shared" si="104"/>
        <v/>
      </c>
      <c r="U116" s="23" t="str">
        <f t="shared" si="105"/>
        <v/>
      </c>
      <c r="V116" s="23">
        <f t="shared" si="105"/>
        <v>1</v>
      </c>
      <c r="W116" s="23">
        <f t="shared" si="105"/>
        <v>1</v>
      </c>
      <c r="X116" s="23" t="str">
        <f t="shared" si="105"/>
        <v/>
      </c>
      <c r="Y116" s="23" t="str">
        <f t="shared" si="105"/>
        <v/>
      </c>
      <c r="Z116" s="23" t="str">
        <f t="shared" si="105"/>
        <v/>
      </c>
      <c r="AA116" s="23" t="str">
        <f t="shared" si="105"/>
        <v/>
      </c>
      <c r="AB116" s="23" t="str">
        <f t="shared" si="105"/>
        <v/>
      </c>
      <c r="AC116" s="23" t="str">
        <f t="shared" si="105"/>
        <v/>
      </c>
      <c r="AD116" s="23" t="str">
        <f t="shared" si="105"/>
        <v/>
      </c>
      <c r="AE116" s="23" t="str">
        <f t="shared" si="106"/>
        <v/>
      </c>
      <c r="AF116" s="23" t="str">
        <f t="shared" si="106"/>
        <v/>
      </c>
      <c r="AG116" s="23" t="str">
        <f t="shared" si="106"/>
        <v/>
      </c>
      <c r="AH116" s="23" t="str">
        <f t="shared" si="106"/>
        <v/>
      </c>
      <c r="AI116" s="23" t="str">
        <f t="shared" si="106"/>
        <v/>
      </c>
      <c r="AJ116" s="23" t="str">
        <f t="shared" si="106"/>
        <v/>
      </c>
      <c r="AK116" s="23" t="str">
        <f t="shared" si="106"/>
        <v/>
      </c>
      <c r="AL116" s="23" t="str">
        <f t="shared" si="106"/>
        <v/>
      </c>
      <c r="AM116" s="23" t="str">
        <f t="shared" si="106"/>
        <v/>
      </c>
      <c r="AN116" s="23" t="str">
        <f t="shared" si="106"/>
        <v/>
      </c>
      <c r="AO116" s="23" t="str">
        <f t="shared" si="107"/>
        <v/>
      </c>
      <c r="AP116" s="23" t="str">
        <f t="shared" si="107"/>
        <v/>
      </c>
      <c r="AQ116" s="23" t="str">
        <f t="shared" si="107"/>
        <v/>
      </c>
      <c r="AR116" s="23" t="str">
        <f t="shared" si="107"/>
        <v/>
      </c>
      <c r="AS116" s="23" t="str">
        <f t="shared" si="107"/>
        <v/>
      </c>
      <c r="AT116" s="23" t="str">
        <f t="shared" si="107"/>
        <v/>
      </c>
      <c r="AU116" s="23" t="str">
        <f t="shared" si="107"/>
        <v/>
      </c>
      <c r="AV116" s="23" t="str">
        <f t="shared" si="107"/>
        <v/>
      </c>
      <c r="AW116" s="23" t="str">
        <f t="shared" si="107"/>
        <v/>
      </c>
      <c r="AX116" s="23" t="str">
        <f t="shared" si="107"/>
        <v/>
      </c>
      <c r="AY116" s="23" t="str">
        <f t="shared" si="108"/>
        <v/>
      </c>
      <c r="AZ116" s="23" t="str">
        <f t="shared" si="108"/>
        <v/>
      </c>
      <c r="BA116" s="23" t="str">
        <f t="shared" si="108"/>
        <v/>
      </c>
      <c r="BB116" s="23" t="str">
        <f t="shared" si="108"/>
        <v/>
      </c>
      <c r="BC116" s="23" t="str">
        <f t="shared" si="108"/>
        <v/>
      </c>
      <c r="BD116" s="23" t="str">
        <f t="shared" si="108"/>
        <v/>
      </c>
      <c r="BE116" s="23" t="str">
        <f t="shared" si="108"/>
        <v/>
      </c>
      <c r="BF116" s="23" t="str">
        <f t="shared" si="108"/>
        <v/>
      </c>
      <c r="BG116" s="23" t="str">
        <f t="shared" si="108"/>
        <v/>
      </c>
      <c r="BH116" s="23" t="str">
        <f t="shared" si="108"/>
        <v/>
      </c>
      <c r="BI116" s="23" t="str">
        <f t="shared" si="109"/>
        <v/>
      </c>
      <c r="BJ116" s="23" t="str">
        <f t="shared" si="109"/>
        <v/>
      </c>
      <c r="BK116" s="23" t="str">
        <f t="shared" si="109"/>
        <v/>
      </c>
      <c r="BL116" s="23" t="str">
        <f t="shared" si="109"/>
        <v/>
      </c>
      <c r="BM116" s="23" t="str">
        <f t="shared" si="109"/>
        <v/>
      </c>
      <c r="BN116" s="23" t="str">
        <f t="shared" si="109"/>
        <v/>
      </c>
      <c r="BO116" s="23" t="str">
        <f t="shared" si="109"/>
        <v/>
      </c>
      <c r="BP116" s="23" t="str">
        <f t="shared" si="109"/>
        <v/>
      </c>
      <c r="BQ116" s="23" t="str">
        <f t="shared" si="109"/>
        <v/>
      </c>
      <c r="BR116" s="23" t="str">
        <f t="shared" si="109"/>
        <v/>
      </c>
      <c r="BS116" s="23" t="str">
        <f t="shared" si="109"/>
        <v/>
      </c>
      <c r="BU116" s="29" t="s">
        <v>405</v>
      </c>
    </row>
    <row r="117" spans="1:73" ht="34" outlineLevel="1" x14ac:dyDescent="0.2">
      <c r="A117" s="6" t="s">
        <v>406</v>
      </c>
      <c r="B117" s="25" t="s">
        <v>407</v>
      </c>
      <c r="C117" s="6" t="s">
        <v>55</v>
      </c>
      <c r="D117" s="24" t="s">
        <v>128</v>
      </c>
      <c r="F117" s="6" t="s">
        <v>403</v>
      </c>
      <c r="G117" s="22">
        <v>14</v>
      </c>
      <c r="H117" s="22">
        <v>2</v>
      </c>
      <c r="I117" s="22">
        <f>MEDIAN($I$112,$J$112,$I$112+ROUND((G117-$G$112)/$H$112*($J$112-$I$112+1),0))</f>
        <v>14</v>
      </c>
      <c r="J117" s="22">
        <f>MEDIAN(I117,$J$112,$I$112+ROUND((G117+H117-$G$112)/$H$112*($J$112-$I$112+1),0)-1)</f>
        <v>15</v>
      </c>
      <c r="K117" s="23" t="str">
        <f t="shared" si="104"/>
        <v/>
      </c>
      <c r="L117" s="23" t="str">
        <f t="shared" si="104"/>
        <v/>
      </c>
      <c r="M117" s="23" t="str">
        <f t="shared" si="104"/>
        <v/>
      </c>
      <c r="N117" s="23" t="str">
        <f t="shared" si="104"/>
        <v/>
      </c>
      <c r="O117" s="23" t="str">
        <f t="shared" si="104"/>
        <v/>
      </c>
      <c r="P117" s="23" t="str">
        <f t="shared" si="104"/>
        <v/>
      </c>
      <c r="Q117" s="23" t="str">
        <f t="shared" si="104"/>
        <v/>
      </c>
      <c r="R117" s="23" t="str">
        <f t="shared" si="104"/>
        <v/>
      </c>
      <c r="S117" s="23" t="str">
        <f t="shared" si="104"/>
        <v/>
      </c>
      <c r="T117" s="23" t="str">
        <f t="shared" si="104"/>
        <v/>
      </c>
      <c r="U117" s="23" t="str">
        <f t="shared" si="105"/>
        <v/>
      </c>
      <c r="V117" s="23" t="str">
        <f t="shared" si="105"/>
        <v/>
      </c>
      <c r="W117" s="23" t="str">
        <f t="shared" si="105"/>
        <v/>
      </c>
      <c r="X117" s="23">
        <f t="shared" si="105"/>
        <v>1</v>
      </c>
      <c r="Y117" s="23">
        <f t="shared" si="105"/>
        <v>1</v>
      </c>
      <c r="Z117" s="23" t="str">
        <f t="shared" si="105"/>
        <v/>
      </c>
      <c r="AA117" s="23" t="str">
        <f t="shared" si="105"/>
        <v/>
      </c>
      <c r="AB117" s="23" t="str">
        <f t="shared" si="105"/>
        <v/>
      </c>
      <c r="AC117" s="23" t="str">
        <f t="shared" si="105"/>
        <v/>
      </c>
      <c r="AD117" s="23" t="str">
        <f t="shared" si="105"/>
        <v/>
      </c>
      <c r="AE117" s="23" t="str">
        <f t="shared" si="106"/>
        <v/>
      </c>
      <c r="AF117" s="23" t="str">
        <f t="shared" si="106"/>
        <v/>
      </c>
      <c r="AG117" s="23" t="str">
        <f t="shared" si="106"/>
        <v/>
      </c>
      <c r="AH117" s="23" t="str">
        <f t="shared" si="106"/>
        <v/>
      </c>
      <c r="AI117" s="23" t="str">
        <f t="shared" si="106"/>
        <v/>
      </c>
      <c r="AJ117" s="23" t="str">
        <f t="shared" si="106"/>
        <v/>
      </c>
      <c r="AK117" s="23" t="str">
        <f t="shared" si="106"/>
        <v/>
      </c>
      <c r="AL117" s="23" t="str">
        <f t="shared" si="106"/>
        <v/>
      </c>
      <c r="AM117" s="23" t="str">
        <f t="shared" si="106"/>
        <v/>
      </c>
      <c r="AN117" s="23" t="str">
        <f t="shared" si="106"/>
        <v/>
      </c>
      <c r="AO117" s="23" t="str">
        <f t="shared" si="107"/>
        <v/>
      </c>
      <c r="AP117" s="23" t="str">
        <f t="shared" si="107"/>
        <v/>
      </c>
      <c r="AQ117" s="23" t="str">
        <f t="shared" si="107"/>
        <v/>
      </c>
      <c r="AR117" s="23" t="str">
        <f t="shared" si="107"/>
        <v/>
      </c>
      <c r="AS117" s="23" t="str">
        <f t="shared" si="107"/>
        <v/>
      </c>
      <c r="AT117" s="23" t="str">
        <f t="shared" si="107"/>
        <v/>
      </c>
      <c r="AU117" s="23" t="str">
        <f t="shared" si="107"/>
        <v/>
      </c>
      <c r="AV117" s="23" t="str">
        <f t="shared" si="107"/>
        <v/>
      </c>
      <c r="AW117" s="23" t="str">
        <f t="shared" si="107"/>
        <v/>
      </c>
      <c r="AX117" s="23" t="str">
        <f t="shared" si="107"/>
        <v/>
      </c>
      <c r="AY117" s="23" t="str">
        <f t="shared" si="108"/>
        <v/>
      </c>
      <c r="AZ117" s="23" t="str">
        <f t="shared" si="108"/>
        <v/>
      </c>
      <c r="BA117" s="23" t="str">
        <f t="shared" si="108"/>
        <v/>
      </c>
      <c r="BB117" s="23" t="str">
        <f t="shared" si="108"/>
        <v/>
      </c>
      <c r="BC117" s="23" t="str">
        <f t="shared" si="108"/>
        <v/>
      </c>
      <c r="BD117" s="23" t="str">
        <f t="shared" si="108"/>
        <v/>
      </c>
      <c r="BE117" s="23" t="str">
        <f t="shared" si="108"/>
        <v/>
      </c>
      <c r="BF117" s="23" t="str">
        <f t="shared" si="108"/>
        <v/>
      </c>
      <c r="BG117" s="23" t="str">
        <f t="shared" si="108"/>
        <v/>
      </c>
      <c r="BH117" s="23" t="str">
        <f t="shared" si="108"/>
        <v/>
      </c>
      <c r="BI117" s="23" t="str">
        <f t="shared" si="109"/>
        <v/>
      </c>
      <c r="BJ117" s="23" t="str">
        <f t="shared" si="109"/>
        <v/>
      </c>
      <c r="BK117" s="23" t="str">
        <f t="shared" si="109"/>
        <v/>
      </c>
      <c r="BL117" s="23" t="str">
        <f t="shared" si="109"/>
        <v/>
      </c>
      <c r="BM117" s="23" t="str">
        <f t="shared" si="109"/>
        <v/>
      </c>
      <c r="BN117" s="23" t="str">
        <f t="shared" si="109"/>
        <v/>
      </c>
      <c r="BO117" s="23" t="str">
        <f t="shared" si="109"/>
        <v/>
      </c>
      <c r="BP117" s="23" t="str">
        <f t="shared" si="109"/>
        <v/>
      </c>
      <c r="BQ117" s="23" t="str">
        <f t="shared" si="109"/>
        <v/>
      </c>
      <c r="BR117" s="23" t="str">
        <f t="shared" si="109"/>
        <v/>
      </c>
      <c r="BS117" s="23" t="str">
        <f t="shared" si="109"/>
        <v/>
      </c>
      <c r="BU117" s="29" t="s">
        <v>408</v>
      </c>
    </row>
    <row r="118" spans="1:73" x14ac:dyDescent="0.2">
      <c r="BU118" s="30"/>
    </row>
    <row r="119" spans="1:73" ht="17" x14ac:dyDescent="0.2">
      <c r="A119" s="19" t="s">
        <v>409</v>
      </c>
      <c r="B119" s="20" t="s">
        <v>410</v>
      </c>
      <c r="C119" s="19" t="s">
        <v>57</v>
      </c>
      <c r="D119" s="21" t="s">
        <v>128</v>
      </c>
      <c r="E119" s="19"/>
      <c r="F119" s="19"/>
      <c r="G119" s="22">
        <v>6</v>
      </c>
      <c r="H119" s="22">
        <v>10</v>
      </c>
      <c r="I119" s="22">
        <f>MIN(61,IF(G119&lt;=29,ROUND((G119-1)*(29+SlipWeeks)/29,0)+1,G119+SlipWeeks))</f>
        <v>6</v>
      </c>
      <c r="J119" s="22">
        <f>MIN(61,IF(G119+H119-1&lt;=29,MAX(ROUND((G119+H119-1)*(29+SlipWeeks)/29,0),I119),G119+H119-1+SlipWeeks))</f>
        <v>15</v>
      </c>
      <c r="K119" s="23" t="str">
        <f t="shared" ref="K119:T124" si="110">IF(AND(K$4&gt;=$I119,K$4&lt;=$J119),1,"")</f>
        <v/>
      </c>
      <c r="L119" s="23" t="str">
        <f t="shared" si="110"/>
        <v/>
      </c>
      <c r="M119" s="23" t="str">
        <f t="shared" si="110"/>
        <v/>
      </c>
      <c r="N119" s="23" t="str">
        <f t="shared" si="110"/>
        <v/>
      </c>
      <c r="O119" s="23" t="str">
        <f t="shared" si="110"/>
        <v/>
      </c>
      <c r="P119" s="23">
        <f t="shared" si="110"/>
        <v>1</v>
      </c>
      <c r="Q119" s="23">
        <f t="shared" si="110"/>
        <v>1</v>
      </c>
      <c r="R119" s="23">
        <f t="shared" si="110"/>
        <v>1</v>
      </c>
      <c r="S119" s="23">
        <f t="shared" si="110"/>
        <v>1</v>
      </c>
      <c r="T119" s="23">
        <f t="shared" si="110"/>
        <v>1</v>
      </c>
      <c r="U119" s="23">
        <f t="shared" ref="U119:AD124" si="111">IF(AND(U$4&gt;=$I119,U$4&lt;=$J119),1,"")</f>
        <v>1</v>
      </c>
      <c r="V119" s="23">
        <f t="shared" si="111"/>
        <v>1</v>
      </c>
      <c r="W119" s="23">
        <f t="shared" si="111"/>
        <v>1</v>
      </c>
      <c r="X119" s="23">
        <f t="shared" si="111"/>
        <v>1</v>
      </c>
      <c r="Y119" s="23">
        <f t="shared" si="111"/>
        <v>1</v>
      </c>
      <c r="Z119" s="23" t="str">
        <f t="shared" si="111"/>
        <v/>
      </c>
      <c r="AA119" s="23" t="str">
        <f t="shared" si="111"/>
        <v/>
      </c>
      <c r="AB119" s="23" t="str">
        <f t="shared" si="111"/>
        <v/>
      </c>
      <c r="AC119" s="23" t="str">
        <f t="shared" si="111"/>
        <v/>
      </c>
      <c r="AD119" s="23" t="str">
        <f t="shared" si="111"/>
        <v/>
      </c>
      <c r="AE119" s="23" t="str">
        <f t="shared" ref="AE119:AN124" si="112">IF(AND(AE$4&gt;=$I119,AE$4&lt;=$J119),1,"")</f>
        <v/>
      </c>
      <c r="AF119" s="23" t="str">
        <f t="shared" si="112"/>
        <v/>
      </c>
      <c r="AG119" s="23" t="str">
        <f t="shared" si="112"/>
        <v/>
      </c>
      <c r="AH119" s="23" t="str">
        <f t="shared" si="112"/>
        <v/>
      </c>
      <c r="AI119" s="23" t="str">
        <f t="shared" si="112"/>
        <v/>
      </c>
      <c r="AJ119" s="23" t="str">
        <f t="shared" si="112"/>
        <v/>
      </c>
      <c r="AK119" s="23" t="str">
        <f t="shared" si="112"/>
        <v/>
      </c>
      <c r="AL119" s="23" t="str">
        <f t="shared" si="112"/>
        <v/>
      </c>
      <c r="AM119" s="23" t="str">
        <f t="shared" si="112"/>
        <v/>
      </c>
      <c r="AN119" s="23" t="str">
        <f t="shared" si="112"/>
        <v/>
      </c>
      <c r="AO119" s="23" t="str">
        <f t="shared" ref="AO119:AX124" si="113">IF(AND(AO$4&gt;=$I119,AO$4&lt;=$J119),1,"")</f>
        <v/>
      </c>
      <c r="AP119" s="23" t="str">
        <f t="shared" si="113"/>
        <v/>
      </c>
      <c r="AQ119" s="23" t="str">
        <f t="shared" si="113"/>
        <v/>
      </c>
      <c r="AR119" s="23" t="str">
        <f t="shared" si="113"/>
        <v/>
      </c>
      <c r="AS119" s="23" t="str">
        <f t="shared" si="113"/>
        <v/>
      </c>
      <c r="AT119" s="23" t="str">
        <f t="shared" si="113"/>
        <v/>
      </c>
      <c r="AU119" s="23" t="str">
        <f t="shared" si="113"/>
        <v/>
      </c>
      <c r="AV119" s="23" t="str">
        <f t="shared" si="113"/>
        <v/>
      </c>
      <c r="AW119" s="23" t="str">
        <f t="shared" si="113"/>
        <v/>
      </c>
      <c r="AX119" s="23" t="str">
        <f t="shared" si="113"/>
        <v/>
      </c>
      <c r="AY119" s="23" t="str">
        <f t="shared" ref="AY119:BH124" si="114">IF(AND(AY$4&gt;=$I119,AY$4&lt;=$J119),1,"")</f>
        <v/>
      </c>
      <c r="AZ119" s="23" t="str">
        <f t="shared" si="114"/>
        <v/>
      </c>
      <c r="BA119" s="23" t="str">
        <f t="shared" si="114"/>
        <v/>
      </c>
      <c r="BB119" s="23" t="str">
        <f t="shared" si="114"/>
        <v/>
      </c>
      <c r="BC119" s="23" t="str">
        <f t="shared" si="114"/>
        <v/>
      </c>
      <c r="BD119" s="23" t="str">
        <f t="shared" si="114"/>
        <v/>
      </c>
      <c r="BE119" s="23" t="str">
        <f t="shared" si="114"/>
        <v/>
      </c>
      <c r="BF119" s="23" t="str">
        <f t="shared" si="114"/>
        <v/>
      </c>
      <c r="BG119" s="23" t="str">
        <f t="shared" si="114"/>
        <v/>
      </c>
      <c r="BH119" s="23" t="str">
        <f t="shared" si="114"/>
        <v/>
      </c>
      <c r="BI119" s="23" t="str">
        <f t="shared" ref="BI119:BS124" si="115">IF(AND(BI$4&gt;=$I119,BI$4&lt;=$J119),1,"")</f>
        <v/>
      </c>
      <c r="BJ119" s="23" t="str">
        <f t="shared" si="115"/>
        <v/>
      </c>
      <c r="BK119" s="23" t="str">
        <f t="shared" si="115"/>
        <v/>
      </c>
      <c r="BL119" s="23" t="str">
        <f t="shared" si="115"/>
        <v/>
      </c>
      <c r="BM119" s="23" t="str">
        <f t="shared" si="115"/>
        <v/>
      </c>
      <c r="BN119" s="23" t="str">
        <f t="shared" si="115"/>
        <v/>
      </c>
      <c r="BO119" s="23" t="str">
        <f t="shared" si="115"/>
        <v/>
      </c>
      <c r="BP119" s="23" t="str">
        <f t="shared" si="115"/>
        <v/>
      </c>
      <c r="BQ119" s="23" t="str">
        <f t="shared" si="115"/>
        <v/>
      </c>
      <c r="BR119" s="23" t="str">
        <f t="shared" si="115"/>
        <v/>
      </c>
      <c r="BS119" s="23" t="str">
        <f t="shared" si="115"/>
        <v/>
      </c>
      <c r="BT119" s="24" t="str">
        <f>IF(IF(G119+H119-1&lt;=29,MAX(ROUND((G119+H119-1)*(29+SlipWeeks)/29,0),$I119),G119+H119-1+SlipWeeks)&gt;61,"▶ clipped","")</f>
        <v/>
      </c>
      <c r="BU119" s="29" t="s">
        <v>411</v>
      </c>
    </row>
    <row r="120" spans="1:73" ht="51" outlineLevel="1" x14ac:dyDescent="0.2">
      <c r="A120" s="6" t="s">
        <v>412</v>
      </c>
      <c r="B120" s="25" t="s">
        <v>413</v>
      </c>
      <c r="C120" s="6" t="s">
        <v>57</v>
      </c>
      <c r="D120" s="24" t="s">
        <v>128</v>
      </c>
      <c r="F120" s="6"/>
      <c r="G120" s="22">
        <v>6</v>
      </c>
      <c r="H120" s="22">
        <v>2</v>
      </c>
      <c r="I120" s="22">
        <f>MEDIAN($I$119,$J$119,$I$119+ROUND((G120-$G$119)/$H$119*($J$119-$I$119+1),0))</f>
        <v>6</v>
      </c>
      <c r="J120" s="22">
        <f>MEDIAN(I120,$J$119,$I$119+ROUND((G120+H120-$G$119)/$H$119*($J$119-$I$119+1),0)-1)</f>
        <v>7</v>
      </c>
      <c r="K120" s="23" t="str">
        <f t="shared" si="110"/>
        <v/>
      </c>
      <c r="L120" s="23" t="str">
        <f t="shared" si="110"/>
        <v/>
      </c>
      <c r="M120" s="23" t="str">
        <f t="shared" si="110"/>
        <v/>
      </c>
      <c r="N120" s="23" t="str">
        <f t="shared" si="110"/>
        <v/>
      </c>
      <c r="O120" s="23" t="str">
        <f t="shared" si="110"/>
        <v/>
      </c>
      <c r="P120" s="23">
        <f t="shared" si="110"/>
        <v>1</v>
      </c>
      <c r="Q120" s="23">
        <f t="shared" si="110"/>
        <v>1</v>
      </c>
      <c r="R120" s="23" t="str">
        <f t="shared" si="110"/>
        <v/>
      </c>
      <c r="S120" s="23" t="str">
        <f t="shared" si="110"/>
        <v/>
      </c>
      <c r="T120" s="23" t="str">
        <f t="shared" si="110"/>
        <v/>
      </c>
      <c r="U120" s="23" t="str">
        <f t="shared" si="111"/>
        <v/>
      </c>
      <c r="V120" s="23" t="str">
        <f t="shared" si="111"/>
        <v/>
      </c>
      <c r="W120" s="23" t="str">
        <f t="shared" si="111"/>
        <v/>
      </c>
      <c r="X120" s="23" t="str">
        <f t="shared" si="111"/>
        <v/>
      </c>
      <c r="Y120" s="23" t="str">
        <f t="shared" si="111"/>
        <v/>
      </c>
      <c r="Z120" s="23" t="str">
        <f t="shared" si="111"/>
        <v/>
      </c>
      <c r="AA120" s="23" t="str">
        <f t="shared" si="111"/>
        <v/>
      </c>
      <c r="AB120" s="23" t="str">
        <f t="shared" si="111"/>
        <v/>
      </c>
      <c r="AC120" s="23" t="str">
        <f t="shared" si="111"/>
        <v/>
      </c>
      <c r="AD120" s="23" t="str">
        <f t="shared" si="111"/>
        <v/>
      </c>
      <c r="AE120" s="23" t="str">
        <f t="shared" si="112"/>
        <v/>
      </c>
      <c r="AF120" s="23" t="str">
        <f t="shared" si="112"/>
        <v/>
      </c>
      <c r="AG120" s="23" t="str">
        <f t="shared" si="112"/>
        <v/>
      </c>
      <c r="AH120" s="23" t="str">
        <f t="shared" si="112"/>
        <v/>
      </c>
      <c r="AI120" s="23" t="str">
        <f t="shared" si="112"/>
        <v/>
      </c>
      <c r="AJ120" s="23" t="str">
        <f t="shared" si="112"/>
        <v/>
      </c>
      <c r="AK120" s="23" t="str">
        <f t="shared" si="112"/>
        <v/>
      </c>
      <c r="AL120" s="23" t="str">
        <f t="shared" si="112"/>
        <v/>
      </c>
      <c r="AM120" s="23" t="str">
        <f t="shared" si="112"/>
        <v/>
      </c>
      <c r="AN120" s="23" t="str">
        <f t="shared" si="112"/>
        <v/>
      </c>
      <c r="AO120" s="23" t="str">
        <f t="shared" si="113"/>
        <v/>
      </c>
      <c r="AP120" s="23" t="str">
        <f t="shared" si="113"/>
        <v/>
      </c>
      <c r="AQ120" s="23" t="str">
        <f t="shared" si="113"/>
        <v/>
      </c>
      <c r="AR120" s="23" t="str">
        <f t="shared" si="113"/>
        <v/>
      </c>
      <c r="AS120" s="23" t="str">
        <f t="shared" si="113"/>
        <v/>
      </c>
      <c r="AT120" s="23" t="str">
        <f t="shared" si="113"/>
        <v/>
      </c>
      <c r="AU120" s="23" t="str">
        <f t="shared" si="113"/>
        <v/>
      </c>
      <c r="AV120" s="23" t="str">
        <f t="shared" si="113"/>
        <v/>
      </c>
      <c r="AW120" s="23" t="str">
        <f t="shared" si="113"/>
        <v/>
      </c>
      <c r="AX120" s="23" t="str">
        <f t="shared" si="113"/>
        <v/>
      </c>
      <c r="AY120" s="23" t="str">
        <f t="shared" si="114"/>
        <v/>
      </c>
      <c r="AZ120" s="23" t="str">
        <f t="shared" si="114"/>
        <v/>
      </c>
      <c r="BA120" s="23" t="str">
        <f t="shared" si="114"/>
        <v/>
      </c>
      <c r="BB120" s="23" t="str">
        <f t="shared" si="114"/>
        <v/>
      </c>
      <c r="BC120" s="23" t="str">
        <f t="shared" si="114"/>
        <v/>
      </c>
      <c r="BD120" s="23" t="str">
        <f t="shared" si="114"/>
        <v/>
      </c>
      <c r="BE120" s="23" t="str">
        <f t="shared" si="114"/>
        <v/>
      </c>
      <c r="BF120" s="23" t="str">
        <f t="shared" si="114"/>
        <v/>
      </c>
      <c r="BG120" s="23" t="str">
        <f t="shared" si="114"/>
        <v/>
      </c>
      <c r="BH120" s="23" t="str">
        <f t="shared" si="114"/>
        <v/>
      </c>
      <c r="BI120" s="23" t="str">
        <f t="shared" si="115"/>
        <v/>
      </c>
      <c r="BJ120" s="23" t="str">
        <f t="shared" si="115"/>
        <v/>
      </c>
      <c r="BK120" s="23" t="str">
        <f t="shared" si="115"/>
        <v/>
      </c>
      <c r="BL120" s="23" t="str">
        <f t="shared" si="115"/>
        <v/>
      </c>
      <c r="BM120" s="23" t="str">
        <f t="shared" si="115"/>
        <v/>
      </c>
      <c r="BN120" s="23" t="str">
        <f t="shared" si="115"/>
        <v/>
      </c>
      <c r="BO120" s="23" t="str">
        <f t="shared" si="115"/>
        <v/>
      </c>
      <c r="BP120" s="23" t="str">
        <f t="shared" si="115"/>
        <v/>
      </c>
      <c r="BQ120" s="23" t="str">
        <f t="shared" si="115"/>
        <v/>
      </c>
      <c r="BR120" s="23" t="str">
        <f t="shared" si="115"/>
        <v/>
      </c>
      <c r="BS120" s="23" t="str">
        <f t="shared" si="115"/>
        <v/>
      </c>
      <c r="BU120" s="29" t="s">
        <v>414</v>
      </c>
    </row>
    <row r="121" spans="1:73" ht="51" outlineLevel="1" x14ac:dyDescent="0.2">
      <c r="A121" s="6" t="s">
        <v>415</v>
      </c>
      <c r="B121" s="25" t="s">
        <v>416</v>
      </c>
      <c r="C121" s="6" t="s">
        <v>57</v>
      </c>
      <c r="D121" s="24" t="s">
        <v>128</v>
      </c>
      <c r="F121" s="6" t="s">
        <v>412</v>
      </c>
      <c r="G121" s="22">
        <v>8</v>
      </c>
      <c r="H121" s="22">
        <v>2</v>
      </c>
      <c r="I121" s="22">
        <f>MEDIAN($I$119,$J$119,$I$119+ROUND((G121-$G$119)/$H$119*($J$119-$I$119+1),0))</f>
        <v>8</v>
      </c>
      <c r="J121" s="22">
        <f>MEDIAN(I121,$J$119,$I$119+ROUND((G121+H121-$G$119)/$H$119*($J$119-$I$119+1),0)-1)</f>
        <v>9</v>
      </c>
      <c r="K121" s="23" t="str">
        <f t="shared" si="110"/>
        <v/>
      </c>
      <c r="L121" s="23" t="str">
        <f t="shared" si="110"/>
        <v/>
      </c>
      <c r="M121" s="23" t="str">
        <f t="shared" si="110"/>
        <v/>
      </c>
      <c r="N121" s="23" t="str">
        <f t="shared" si="110"/>
        <v/>
      </c>
      <c r="O121" s="23" t="str">
        <f t="shared" si="110"/>
        <v/>
      </c>
      <c r="P121" s="23" t="str">
        <f t="shared" si="110"/>
        <v/>
      </c>
      <c r="Q121" s="23" t="str">
        <f t="shared" si="110"/>
        <v/>
      </c>
      <c r="R121" s="23">
        <f t="shared" si="110"/>
        <v>1</v>
      </c>
      <c r="S121" s="23">
        <f t="shared" si="110"/>
        <v>1</v>
      </c>
      <c r="T121" s="23" t="str">
        <f t="shared" si="110"/>
        <v/>
      </c>
      <c r="U121" s="23" t="str">
        <f t="shared" si="111"/>
        <v/>
      </c>
      <c r="V121" s="23" t="str">
        <f t="shared" si="111"/>
        <v/>
      </c>
      <c r="W121" s="23" t="str">
        <f t="shared" si="111"/>
        <v/>
      </c>
      <c r="X121" s="23" t="str">
        <f t="shared" si="111"/>
        <v/>
      </c>
      <c r="Y121" s="23" t="str">
        <f t="shared" si="111"/>
        <v/>
      </c>
      <c r="Z121" s="23" t="str">
        <f t="shared" si="111"/>
        <v/>
      </c>
      <c r="AA121" s="23" t="str">
        <f t="shared" si="111"/>
        <v/>
      </c>
      <c r="AB121" s="23" t="str">
        <f t="shared" si="111"/>
        <v/>
      </c>
      <c r="AC121" s="23" t="str">
        <f t="shared" si="111"/>
        <v/>
      </c>
      <c r="AD121" s="23" t="str">
        <f t="shared" si="111"/>
        <v/>
      </c>
      <c r="AE121" s="23" t="str">
        <f t="shared" si="112"/>
        <v/>
      </c>
      <c r="AF121" s="23" t="str">
        <f t="shared" si="112"/>
        <v/>
      </c>
      <c r="AG121" s="23" t="str">
        <f t="shared" si="112"/>
        <v/>
      </c>
      <c r="AH121" s="23" t="str">
        <f t="shared" si="112"/>
        <v/>
      </c>
      <c r="AI121" s="23" t="str">
        <f t="shared" si="112"/>
        <v/>
      </c>
      <c r="AJ121" s="23" t="str">
        <f t="shared" si="112"/>
        <v/>
      </c>
      <c r="AK121" s="23" t="str">
        <f t="shared" si="112"/>
        <v/>
      </c>
      <c r="AL121" s="23" t="str">
        <f t="shared" si="112"/>
        <v/>
      </c>
      <c r="AM121" s="23" t="str">
        <f t="shared" si="112"/>
        <v/>
      </c>
      <c r="AN121" s="23" t="str">
        <f t="shared" si="112"/>
        <v/>
      </c>
      <c r="AO121" s="23" t="str">
        <f t="shared" si="113"/>
        <v/>
      </c>
      <c r="AP121" s="23" t="str">
        <f t="shared" si="113"/>
        <v/>
      </c>
      <c r="AQ121" s="23" t="str">
        <f t="shared" si="113"/>
        <v/>
      </c>
      <c r="AR121" s="23" t="str">
        <f t="shared" si="113"/>
        <v/>
      </c>
      <c r="AS121" s="23" t="str">
        <f t="shared" si="113"/>
        <v/>
      </c>
      <c r="AT121" s="23" t="str">
        <f t="shared" si="113"/>
        <v/>
      </c>
      <c r="AU121" s="23" t="str">
        <f t="shared" si="113"/>
        <v/>
      </c>
      <c r="AV121" s="23" t="str">
        <f t="shared" si="113"/>
        <v/>
      </c>
      <c r="AW121" s="23" t="str">
        <f t="shared" si="113"/>
        <v/>
      </c>
      <c r="AX121" s="23" t="str">
        <f t="shared" si="113"/>
        <v/>
      </c>
      <c r="AY121" s="23" t="str">
        <f t="shared" si="114"/>
        <v/>
      </c>
      <c r="AZ121" s="23" t="str">
        <f t="shared" si="114"/>
        <v/>
      </c>
      <c r="BA121" s="23" t="str">
        <f t="shared" si="114"/>
        <v/>
      </c>
      <c r="BB121" s="23" t="str">
        <f t="shared" si="114"/>
        <v/>
      </c>
      <c r="BC121" s="23" t="str">
        <f t="shared" si="114"/>
        <v/>
      </c>
      <c r="BD121" s="23" t="str">
        <f t="shared" si="114"/>
        <v/>
      </c>
      <c r="BE121" s="23" t="str">
        <f t="shared" si="114"/>
        <v/>
      </c>
      <c r="BF121" s="23" t="str">
        <f t="shared" si="114"/>
        <v/>
      </c>
      <c r="BG121" s="23" t="str">
        <f t="shared" si="114"/>
        <v/>
      </c>
      <c r="BH121" s="23" t="str">
        <f t="shared" si="114"/>
        <v/>
      </c>
      <c r="BI121" s="23" t="str">
        <f t="shared" si="115"/>
        <v/>
      </c>
      <c r="BJ121" s="23" t="str">
        <f t="shared" si="115"/>
        <v/>
      </c>
      <c r="BK121" s="23" t="str">
        <f t="shared" si="115"/>
        <v/>
      </c>
      <c r="BL121" s="23" t="str">
        <f t="shared" si="115"/>
        <v/>
      </c>
      <c r="BM121" s="23" t="str">
        <f t="shared" si="115"/>
        <v/>
      </c>
      <c r="BN121" s="23" t="str">
        <f t="shared" si="115"/>
        <v/>
      </c>
      <c r="BO121" s="23" t="str">
        <f t="shared" si="115"/>
        <v/>
      </c>
      <c r="BP121" s="23" t="str">
        <f t="shared" si="115"/>
        <v/>
      </c>
      <c r="BQ121" s="23" t="str">
        <f t="shared" si="115"/>
        <v/>
      </c>
      <c r="BR121" s="23" t="str">
        <f t="shared" si="115"/>
        <v/>
      </c>
      <c r="BS121" s="23" t="str">
        <f t="shared" si="115"/>
        <v/>
      </c>
      <c r="BU121" s="29" t="s">
        <v>417</v>
      </c>
    </row>
    <row r="122" spans="1:73" ht="34" outlineLevel="1" x14ac:dyDescent="0.2">
      <c r="A122" s="6" t="s">
        <v>418</v>
      </c>
      <c r="B122" s="25" t="s">
        <v>419</v>
      </c>
      <c r="C122" s="6" t="s">
        <v>57</v>
      </c>
      <c r="D122" s="24" t="s">
        <v>128</v>
      </c>
      <c r="F122" s="6" t="s">
        <v>415</v>
      </c>
      <c r="G122" s="22">
        <v>10</v>
      </c>
      <c r="H122" s="22">
        <v>2</v>
      </c>
      <c r="I122" s="22">
        <f>MEDIAN($I$119,$J$119,$I$119+ROUND((G122-$G$119)/$H$119*($J$119-$I$119+1),0))</f>
        <v>10</v>
      </c>
      <c r="J122" s="22">
        <f>MEDIAN(I122,$J$119,$I$119+ROUND((G122+H122-$G$119)/$H$119*($J$119-$I$119+1),0)-1)</f>
        <v>11</v>
      </c>
      <c r="K122" s="23" t="str">
        <f t="shared" si="110"/>
        <v/>
      </c>
      <c r="L122" s="23" t="str">
        <f t="shared" si="110"/>
        <v/>
      </c>
      <c r="M122" s="23" t="str">
        <f t="shared" si="110"/>
        <v/>
      </c>
      <c r="N122" s="23" t="str">
        <f t="shared" si="110"/>
        <v/>
      </c>
      <c r="O122" s="23" t="str">
        <f t="shared" si="110"/>
        <v/>
      </c>
      <c r="P122" s="23" t="str">
        <f t="shared" si="110"/>
        <v/>
      </c>
      <c r="Q122" s="23" t="str">
        <f t="shared" si="110"/>
        <v/>
      </c>
      <c r="R122" s="23" t="str">
        <f t="shared" si="110"/>
        <v/>
      </c>
      <c r="S122" s="23" t="str">
        <f t="shared" si="110"/>
        <v/>
      </c>
      <c r="T122" s="23">
        <f t="shared" si="110"/>
        <v>1</v>
      </c>
      <c r="U122" s="23">
        <f t="shared" si="111"/>
        <v>1</v>
      </c>
      <c r="V122" s="23" t="str">
        <f t="shared" si="111"/>
        <v/>
      </c>
      <c r="W122" s="23" t="str">
        <f t="shared" si="111"/>
        <v/>
      </c>
      <c r="X122" s="23" t="str">
        <f t="shared" si="111"/>
        <v/>
      </c>
      <c r="Y122" s="23" t="str">
        <f t="shared" si="111"/>
        <v/>
      </c>
      <c r="Z122" s="23" t="str">
        <f t="shared" si="111"/>
        <v/>
      </c>
      <c r="AA122" s="23" t="str">
        <f t="shared" si="111"/>
        <v/>
      </c>
      <c r="AB122" s="23" t="str">
        <f t="shared" si="111"/>
        <v/>
      </c>
      <c r="AC122" s="23" t="str">
        <f t="shared" si="111"/>
        <v/>
      </c>
      <c r="AD122" s="23" t="str">
        <f t="shared" si="111"/>
        <v/>
      </c>
      <c r="AE122" s="23" t="str">
        <f t="shared" si="112"/>
        <v/>
      </c>
      <c r="AF122" s="23" t="str">
        <f t="shared" si="112"/>
        <v/>
      </c>
      <c r="AG122" s="23" t="str">
        <f t="shared" si="112"/>
        <v/>
      </c>
      <c r="AH122" s="23" t="str">
        <f t="shared" si="112"/>
        <v/>
      </c>
      <c r="AI122" s="23" t="str">
        <f t="shared" si="112"/>
        <v/>
      </c>
      <c r="AJ122" s="23" t="str">
        <f t="shared" si="112"/>
        <v/>
      </c>
      <c r="AK122" s="23" t="str">
        <f t="shared" si="112"/>
        <v/>
      </c>
      <c r="AL122" s="23" t="str">
        <f t="shared" si="112"/>
        <v/>
      </c>
      <c r="AM122" s="23" t="str">
        <f t="shared" si="112"/>
        <v/>
      </c>
      <c r="AN122" s="23" t="str">
        <f t="shared" si="112"/>
        <v/>
      </c>
      <c r="AO122" s="23" t="str">
        <f t="shared" si="113"/>
        <v/>
      </c>
      <c r="AP122" s="23" t="str">
        <f t="shared" si="113"/>
        <v/>
      </c>
      <c r="AQ122" s="23" t="str">
        <f t="shared" si="113"/>
        <v/>
      </c>
      <c r="AR122" s="23" t="str">
        <f t="shared" si="113"/>
        <v/>
      </c>
      <c r="AS122" s="23" t="str">
        <f t="shared" si="113"/>
        <v/>
      </c>
      <c r="AT122" s="23" t="str">
        <f t="shared" si="113"/>
        <v/>
      </c>
      <c r="AU122" s="23" t="str">
        <f t="shared" si="113"/>
        <v/>
      </c>
      <c r="AV122" s="23" t="str">
        <f t="shared" si="113"/>
        <v/>
      </c>
      <c r="AW122" s="23" t="str">
        <f t="shared" si="113"/>
        <v/>
      </c>
      <c r="AX122" s="23" t="str">
        <f t="shared" si="113"/>
        <v/>
      </c>
      <c r="AY122" s="23" t="str">
        <f t="shared" si="114"/>
        <v/>
      </c>
      <c r="AZ122" s="23" t="str">
        <f t="shared" si="114"/>
        <v/>
      </c>
      <c r="BA122" s="23" t="str">
        <f t="shared" si="114"/>
        <v/>
      </c>
      <c r="BB122" s="23" t="str">
        <f t="shared" si="114"/>
        <v/>
      </c>
      <c r="BC122" s="23" t="str">
        <f t="shared" si="114"/>
        <v/>
      </c>
      <c r="BD122" s="23" t="str">
        <f t="shared" si="114"/>
        <v/>
      </c>
      <c r="BE122" s="23" t="str">
        <f t="shared" si="114"/>
        <v/>
      </c>
      <c r="BF122" s="23" t="str">
        <f t="shared" si="114"/>
        <v/>
      </c>
      <c r="BG122" s="23" t="str">
        <f t="shared" si="114"/>
        <v/>
      </c>
      <c r="BH122" s="23" t="str">
        <f t="shared" si="114"/>
        <v/>
      </c>
      <c r="BI122" s="23" t="str">
        <f t="shared" si="115"/>
        <v/>
      </c>
      <c r="BJ122" s="23" t="str">
        <f t="shared" si="115"/>
        <v/>
      </c>
      <c r="BK122" s="23" t="str">
        <f t="shared" si="115"/>
        <v/>
      </c>
      <c r="BL122" s="23" t="str">
        <f t="shared" si="115"/>
        <v/>
      </c>
      <c r="BM122" s="23" t="str">
        <f t="shared" si="115"/>
        <v/>
      </c>
      <c r="BN122" s="23" t="str">
        <f t="shared" si="115"/>
        <v/>
      </c>
      <c r="BO122" s="23" t="str">
        <f t="shared" si="115"/>
        <v/>
      </c>
      <c r="BP122" s="23" t="str">
        <f t="shared" si="115"/>
        <v/>
      </c>
      <c r="BQ122" s="23" t="str">
        <f t="shared" si="115"/>
        <v/>
      </c>
      <c r="BR122" s="23" t="str">
        <f t="shared" si="115"/>
        <v/>
      </c>
      <c r="BS122" s="23" t="str">
        <f t="shared" si="115"/>
        <v/>
      </c>
      <c r="BU122" s="29" t="s">
        <v>420</v>
      </c>
    </row>
    <row r="123" spans="1:73" ht="51" outlineLevel="1" x14ac:dyDescent="0.2">
      <c r="A123" s="6" t="s">
        <v>421</v>
      </c>
      <c r="B123" s="25" t="s">
        <v>422</v>
      </c>
      <c r="C123" s="6" t="s">
        <v>57</v>
      </c>
      <c r="D123" s="24" t="s">
        <v>128</v>
      </c>
      <c r="F123" s="6" t="s">
        <v>418</v>
      </c>
      <c r="G123" s="22">
        <v>12</v>
      </c>
      <c r="H123" s="22">
        <v>2</v>
      </c>
      <c r="I123" s="22">
        <f>MEDIAN($I$119,$J$119,$I$119+ROUND((G123-$G$119)/$H$119*($J$119-$I$119+1),0))</f>
        <v>12</v>
      </c>
      <c r="J123" s="22">
        <f>MEDIAN(I123,$J$119,$I$119+ROUND((G123+H123-$G$119)/$H$119*($J$119-$I$119+1),0)-1)</f>
        <v>13</v>
      </c>
      <c r="K123" s="23" t="str">
        <f t="shared" si="110"/>
        <v/>
      </c>
      <c r="L123" s="23" t="str">
        <f t="shared" si="110"/>
        <v/>
      </c>
      <c r="M123" s="23" t="str">
        <f t="shared" si="110"/>
        <v/>
      </c>
      <c r="N123" s="23" t="str">
        <f t="shared" si="110"/>
        <v/>
      </c>
      <c r="O123" s="23" t="str">
        <f t="shared" si="110"/>
        <v/>
      </c>
      <c r="P123" s="23" t="str">
        <f t="shared" si="110"/>
        <v/>
      </c>
      <c r="Q123" s="23" t="str">
        <f t="shared" si="110"/>
        <v/>
      </c>
      <c r="R123" s="23" t="str">
        <f t="shared" si="110"/>
        <v/>
      </c>
      <c r="S123" s="23" t="str">
        <f t="shared" si="110"/>
        <v/>
      </c>
      <c r="T123" s="23" t="str">
        <f t="shared" si="110"/>
        <v/>
      </c>
      <c r="U123" s="23" t="str">
        <f t="shared" si="111"/>
        <v/>
      </c>
      <c r="V123" s="23">
        <f t="shared" si="111"/>
        <v>1</v>
      </c>
      <c r="W123" s="23">
        <f t="shared" si="111"/>
        <v>1</v>
      </c>
      <c r="X123" s="23" t="str">
        <f t="shared" si="111"/>
        <v/>
      </c>
      <c r="Y123" s="23" t="str">
        <f t="shared" si="111"/>
        <v/>
      </c>
      <c r="Z123" s="23" t="str">
        <f t="shared" si="111"/>
        <v/>
      </c>
      <c r="AA123" s="23" t="str">
        <f t="shared" si="111"/>
        <v/>
      </c>
      <c r="AB123" s="23" t="str">
        <f t="shared" si="111"/>
        <v/>
      </c>
      <c r="AC123" s="23" t="str">
        <f t="shared" si="111"/>
        <v/>
      </c>
      <c r="AD123" s="23" t="str">
        <f t="shared" si="111"/>
        <v/>
      </c>
      <c r="AE123" s="23" t="str">
        <f t="shared" si="112"/>
        <v/>
      </c>
      <c r="AF123" s="23" t="str">
        <f t="shared" si="112"/>
        <v/>
      </c>
      <c r="AG123" s="23" t="str">
        <f t="shared" si="112"/>
        <v/>
      </c>
      <c r="AH123" s="23" t="str">
        <f t="shared" si="112"/>
        <v/>
      </c>
      <c r="AI123" s="23" t="str">
        <f t="shared" si="112"/>
        <v/>
      </c>
      <c r="AJ123" s="23" t="str">
        <f t="shared" si="112"/>
        <v/>
      </c>
      <c r="AK123" s="23" t="str">
        <f t="shared" si="112"/>
        <v/>
      </c>
      <c r="AL123" s="23" t="str">
        <f t="shared" si="112"/>
        <v/>
      </c>
      <c r="AM123" s="23" t="str">
        <f t="shared" si="112"/>
        <v/>
      </c>
      <c r="AN123" s="23" t="str">
        <f t="shared" si="112"/>
        <v/>
      </c>
      <c r="AO123" s="23" t="str">
        <f t="shared" si="113"/>
        <v/>
      </c>
      <c r="AP123" s="23" t="str">
        <f t="shared" si="113"/>
        <v/>
      </c>
      <c r="AQ123" s="23" t="str">
        <f t="shared" si="113"/>
        <v/>
      </c>
      <c r="AR123" s="23" t="str">
        <f t="shared" si="113"/>
        <v/>
      </c>
      <c r="AS123" s="23" t="str">
        <f t="shared" si="113"/>
        <v/>
      </c>
      <c r="AT123" s="23" t="str">
        <f t="shared" si="113"/>
        <v/>
      </c>
      <c r="AU123" s="23" t="str">
        <f t="shared" si="113"/>
        <v/>
      </c>
      <c r="AV123" s="23" t="str">
        <f t="shared" si="113"/>
        <v/>
      </c>
      <c r="AW123" s="23" t="str">
        <f t="shared" si="113"/>
        <v/>
      </c>
      <c r="AX123" s="23" t="str">
        <f t="shared" si="113"/>
        <v/>
      </c>
      <c r="AY123" s="23" t="str">
        <f t="shared" si="114"/>
        <v/>
      </c>
      <c r="AZ123" s="23" t="str">
        <f t="shared" si="114"/>
        <v/>
      </c>
      <c r="BA123" s="23" t="str">
        <f t="shared" si="114"/>
        <v/>
      </c>
      <c r="BB123" s="23" t="str">
        <f t="shared" si="114"/>
        <v/>
      </c>
      <c r="BC123" s="23" t="str">
        <f t="shared" si="114"/>
        <v/>
      </c>
      <c r="BD123" s="23" t="str">
        <f t="shared" si="114"/>
        <v/>
      </c>
      <c r="BE123" s="23" t="str">
        <f t="shared" si="114"/>
        <v/>
      </c>
      <c r="BF123" s="23" t="str">
        <f t="shared" si="114"/>
        <v/>
      </c>
      <c r="BG123" s="23" t="str">
        <f t="shared" si="114"/>
        <v/>
      </c>
      <c r="BH123" s="23" t="str">
        <f t="shared" si="114"/>
        <v/>
      </c>
      <c r="BI123" s="23" t="str">
        <f t="shared" si="115"/>
        <v/>
      </c>
      <c r="BJ123" s="23" t="str">
        <f t="shared" si="115"/>
        <v/>
      </c>
      <c r="BK123" s="23" t="str">
        <f t="shared" si="115"/>
        <v/>
      </c>
      <c r="BL123" s="23" t="str">
        <f t="shared" si="115"/>
        <v/>
      </c>
      <c r="BM123" s="23" t="str">
        <f t="shared" si="115"/>
        <v/>
      </c>
      <c r="BN123" s="23" t="str">
        <f t="shared" si="115"/>
        <v/>
      </c>
      <c r="BO123" s="23" t="str">
        <f t="shared" si="115"/>
        <v/>
      </c>
      <c r="BP123" s="23" t="str">
        <f t="shared" si="115"/>
        <v/>
      </c>
      <c r="BQ123" s="23" t="str">
        <f t="shared" si="115"/>
        <v/>
      </c>
      <c r="BR123" s="23" t="str">
        <f t="shared" si="115"/>
        <v/>
      </c>
      <c r="BS123" s="23" t="str">
        <f t="shared" si="115"/>
        <v/>
      </c>
      <c r="BU123" s="29" t="s">
        <v>423</v>
      </c>
    </row>
    <row r="124" spans="1:73" ht="34" outlineLevel="1" x14ac:dyDescent="0.2">
      <c r="A124" s="6" t="s">
        <v>424</v>
      </c>
      <c r="B124" s="25" t="s">
        <v>425</v>
      </c>
      <c r="C124" s="6" t="s">
        <v>57</v>
      </c>
      <c r="D124" s="24" t="s">
        <v>128</v>
      </c>
      <c r="F124" s="6" t="s">
        <v>421</v>
      </c>
      <c r="G124" s="22">
        <v>14</v>
      </c>
      <c r="H124" s="22">
        <v>2</v>
      </c>
      <c r="I124" s="22">
        <f>MEDIAN($I$119,$J$119,$I$119+ROUND((G124-$G$119)/$H$119*($J$119-$I$119+1),0))</f>
        <v>14</v>
      </c>
      <c r="J124" s="22">
        <f>MEDIAN(I124,$J$119,$I$119+ROUND((G124+H124-$G$119)/$H$119*($J$119-$I$119+1),0)-1)</f>
        <v>15</v>
      </c>
      <c r="K124" s="23" t="str">
        <f t="shared" si="110"/>
        <v/>
      </c>
      <c r="L124" s="23" t="str">
        <f t="shared" si="110"/>
        <v/>
      </c>
      <c r="M124" s="23" t="str">
        <f t="shared" si="110"/>
        <v/>
      </c>
      <c r="N124" s="23" t="str">
        <f t="shared" si="110"/>
        <v/>
      </c>
      <c r="O124" s="23" t="str">
        <f t="shared" si="110"/>
        <v/>
      </c>
      <c r="P124" s="23" t="str">
        <f t="shared" si="110"/>
        <v/>
      </c>
      <c r="Q124" s="23" t="str">
        <f t="shared" si="110"/>
        <v/>
      </c>
      <c r="R124" s="23" t="str">
        <f t="shared" si="110"/>
        <v/>
      </c>
      <c r="S124" s="23" t="str">
        <f t="shared" si="110"/>
        <v/>
      </c>
      <c r="T124" s="23" t="str">
        <f t="shared" si="110"/>
        <v/>
      </c>
      <c r="U124" s="23" t="str">
        <f t="shared" si="111"/>
        <v/>
      </c>
      <c r="V124" s="23" t="str">
        <f t="shared" si="111"/>
        <v/>
      </c>
      <c r="W124" s="23" t="str">
        <f t="shared" si="111"/>
        <v/>
      </c>
      <c r="X124" s="23">
        <f t="shared" si="111"/>
        <v>1</v>
      </c>
      <c r="Y124" s="23">
        <f t="shared" si="111"/>
        <v>1</v>
      </c>
      <c r="Z124" s="23" t="str">
        <f t="shared" si="111"/>
        <v/>
      </c>
      <c r="AA124" s="23" t="str">
        <f t="shared" si="111"/>
        <v/>
      </c>
      <c r="AB124" s="23" t="str">
        <f t="shared" si="111"/>
        <v/>
      </c>
      <c r="AC124" s="23" t="str">
        <f t="shared" si="111"/>
        <v/>
      </c>
      <c r="AD124" s="23" t="str">
        <f t="shared" si="111"/>
        <v/>
      </c>
      <c r="AE124" s="23" t="str">
        <f t="shared" si="112"/>
        <v/>
      </c>
      <c r="AF124" s="23" t="str">
        <f t="shared" si="112"/>
        <v/>
      </c>
      <c r="AG124" s="23" t="str">
        <f t="shared" si="112"/>
        <v/>
      </c>
      <c r="AH124" s="23" t="str">
        <f t="shared" si="112"/>
        <v/>
      </c>
      <c r="AI124" s="23" t="str">
        <f t="shared" si="112"/>
        <v/>
      </c>
      <c r="AJ124" s="23" t="str">
        <f t="shared" si="112"/>
        <v/>
      </c>
      <c r="AK124" s="23" t="str">
        <f t="shared" si="112"/>
        <v/>
      </c>
      <c r="AL124" s="23" t="str">
        <f t="shared" si="112"/>
        <v/>
      </c>
      <c r="AM124" s="23" t="str">
        <f t="shared" si="112"/>
        <v/>
      </c>
      <c r="AN124" s="23" t="str">
        <f t="shared" si="112"/>
        <v/>
      </c>
      <c r="AO124" s="23" t="str">
        <f t="shared" si="113"/>
        <v/>
      </c>
      <c r="AP124" s="23" t="str">
        <f t="shared" si="113"/>
        <v/>
      </c>
      <c r="AQ124" s="23" t="str">
        <f t="shared" si="113"/>
        <v/>
      </c>
      <c r="AR124" s="23" t="str">
        <f t="shared" si="113"/>
        <v/>
      </c>
      <c r="AS124" s="23" t="str">
        <f t="shared" si="113"/>
        <v/>
      </c>
      <c r="AT124" s="23" t="str">
        <f t="shared" si="113"/>
        <v/>
      </c>
      <c r="AU124" s="23" t="str">
        <f t="shared" si="113"/>
        <v/>
      </c>
      <c r="AV124" s="23" t="str">
        <f t="shared" si="113"/>
        <v/>
      </c>
      <c r="AW124" s="23" t="str">
        <f t="shared" si="113"/>
        <v/>
      </c>
      <c r="AX124" s="23" t="str">
        <f t="shared" si="113"/>
        <v/>
      </c>
      <c r="AY124" s="23" t="str">
        <f t="shared" si="114"/>
        <v/>
      </c>
      <c r="AZ124" s="23" t="str">
        <f t="shared" si="114"/>
        <v/>
      </c>
      <c r="BA124" s="23" t="str">
        <f t="shared" si="114"/>
        <v/>
      </c>
      <c r="BB124" s="23" t="str">
        <f t="shared" si="114"/>
        <v/>
      </c>
      <c r="BC124" s="23" t="str">
        <f t="shared" si="114"/>
        <v/>
      </c>
      <c r="BD124" s="23" t="str">
        <f t="shared" si="114"/>
        <v/>
      </c>
      <c r="BE124" s="23" t="str">
        <f t="shared" si="114"/>
        <v/>
      </c>
      <c r="BF124" s="23" t="str">
        <f t="shared" si="114"/>
        <v/>
      </c>
      <c r="BG124" s="23" t="str">
        <f t="shared" si="114"/>
        <v/>
      </c>
      <c r="BH124" s="23" t="str">
        <f t="shared" si="114"/>
        <v/>
      </c>
      <c r="BI124" s="23" t="str">
        <f t="shared" si="115"/>
        <v/>
      </c>
      <c r="BJ124" s="23" t="str">
        <f t="shared" si="115"/>
        <v/>
      </c>
      <c r="BK124" s="23" t="str">
        <f t="shared" si="115"/>
        <v/>
      </c>
      <c r="BL124" s="23" t="str">
        <f t="shared" si="115"/>
        <v/>
      </c>
      <c r="BM124" s="23" t="str">
        <f t="shared" si="115"/>
        <v/>
      </c>
      <c r="BN124" s="23" t="str">
        <f t="shared" si="115"/>
        <v/>
      </c>
      <c r="BO124" s="23" t="str">
        <f t="shared" si="115"/>
        <v/>
      </c>
      <c r="BP124" s="23" t="str">
        <f t="shared" si="115"/>
        <v/>
      </c>
      <c r="BQ124" s="23" t="str">
        <f t="shared" si="115"/>
        <v/>
      </c>
      <c r="BR124" s="23" t="str">
        <f t="shared" si="115"/>
        <v/>
      </c>
      <c r="BS124" s="23" t="str">
        <f t="shared" si="115"/>
        <v/>
      </c>
      <c r="BU124" s="29" t="s">
        <v>426</v>
      </c>
    </row>
    <row r="125" spans="1:73" x14ac:dyDescent="0.2">
      <c r="BU125" s="30"/>
    </row>
    <row r="126" spans="1:73" ht="17" x14ac:dyDescent="0.2">
      <c r="A126" s="19" t="s">
        <v>427</v>
      </c>
      <c r="B126" s="20" t="s">
        <v>428</v>
      </c>
      <c r="C126" s="19" t="s">
        <v>56</v>
      </c>
      <c r="D126" s="21" t="s">
        <v>117</v>
      </c>
      <c r="E126" s="19" t="s">
        <v>72</v>
      </c>
      <c r="F126" s="19"/>
      <c r="G126" s="22">
        <v>16</v>
      </c>
      <c r="H126" s="22">
        <v>6</v>
      </c>
      <c r="I126" s="22">
        <f>MIN(61,IF(G126&lt;=29,ROUND((G126-1)*(29+SlipWeeks)/29,0)+1,G126+SlipWeeks))</f>
        <v>16</v>
      </c>
      <c r="J126" s="22">
        <f>MIN(61,IF(G126+H126-1&lt;=29,MAX(ROUND((G126+H126-1)*(29+SlipWeeks)/29,0),I126),G126+H126-1+SlipWeeks))</f>
        <v>21</v>
      </c>
      <c r="K126" s="23" t="str">
        <f t="shared" ref="K126:T131" si="116">IF(AND(K$4&gt;=$I126,K$4&lt;=$J126),1,"")</f>
        <v/>
      </c>
      <c r="L126" s="23" t="str">
        <f t="shared" si="116"/>
        <v/>
      </c>
      <c r="M126" s="23" t="str">
        <f t="shared" si="116"/>
        <v/>
      </c>
      <c r="N126" s="23" t="str">
        <f t="shared" si="116"/>
        <v/>
      </c>
      <c r="O126" s="23" t="str">
        <f t="shared" si="116"/>
        <v/>
      </c>
      <c r="P126" s="23" t="str">
        <f t="shared" si="116"/>
        <v/>
      </c>
      <c r="Q126" s="23" t="str">
        <f t="shared" si="116"/>
        <v/>
      </c>
      <c r="R126" s="23" t="str">
        <f t="shared" si="116"/>
        <v/>
      </c>
      <c r="S126" s="23" t="str">
        <f t="shared" si="116"/>
        <v/>
      </c>
      <c r="T126" s="23" t="str">
        <f t="shared" si="116"/>
        <v/>
      </c>
      <c r="U126" s="23" t="str">
        <f t="shared" ref="U126:AD131" si="117">IF(AND(U$4&gt;=$I126,U$4&lt;=$J126),1,"")</f>
        <v/>
      </c>
      <c r="V126" s="23" t="str">
        <f t="shared" si="117"/>
        <v/>
      </c>
      <c r="W126" s="23" t="str">
        <f t="shared" si="117"/>
        <v/>
      </c>
      <c r="X126" s="23" t="str">
        <f t="shared" si="117"/>
        <v/>
      </c>
      <c r="Y126" s="23" t="str">
        <f t="shared" si="117"/>
        <v/>
      </c>
      <c r="Z126" s="23">
        <f t="shared" si="117"/>
        <v>1</v>
      </c>
      <c r="AA126" s="23">
        <f t="shared" si="117"/>
        <v>1</v>
      </c>
      <c r="AB126" s="23">
        <f t="shared" si="117"/>
        <v>1</v>
      </c>
      <c r="AC126" s="23">
        <f t="shared" si="117"/>
        <v>1</v>
      </c>
      <c r="AD126" s="23">
        <f t="shared" si="117"/>
        <v>1</v>
      </c>
      <c r="AE126" s="23">
        <f t="shared" ref="AE126:AN131" si="118">IF(AND(AE$4&gt;=$I126,AE$4&lt;=$J126),1,"")</f>
        <v>1</v>
      </c>
      <c r="AF126" s="23" t="str">
        <f t="shared" si="118"/>
        <v/>
      </c>
      <c r="AG126" s="23" t="str">
        <f t="shared" si="118"/>
        <v/>
      </c>
      <c r="AH126" s="23" t="str">
        <f t="shared" si="118"/>
        <v/>
      </c>
      <c r="AI126" s="23" t="str">
        <f t="shared" si="118"/>
        <v/>
      </c>
      <c r="AJ126" s="23" t="str">
        <f t="shared" si="118"/>
        <v/>
      </c>
      <c r="AK126" s="23" t="str">
        <f t="shared" si="118"/>
        <v/>
      </c>
      <c r="AL126" s="23" t="str">
        <f t="shared" si="118"/>
        <v/>
      </c>
      <c r="AM126" s="23" t="str">
        <f t="shared" si="118"/>
        <v/>
      </c>
      <c r="AN126" s="23" t="str">
        <f t="shared" si="118"/>
        <v/>
      </c>
      <c r="AO126" s="23" t="str">
        <f t="shared" ref="AO126:AX131" si="119">IF(AND(AO$4&gt;=$I126,AO$4&lt;=$J126),1,"")</f>
        <v/>
      </c>
      <c r="AP126" s="23" t="str">
        <f t="shared" si="119"/>
        <v/>
      </c>
      <c r="AQ126" s="23" t="str">
        <f t="shared" si="119"/>
        <v/>
      </c>
      <c r="AR126" s="23" t="str">
        <f t="shared" si="119"/>
        <v/>
      </c>
      <c r="AS126" s="23" t="str">
        <f t="shared" si="119"/>
        <v/>
      </c>
      <c r="AT126" s="23" t="str">
        <f t="shared" si="119"/>
        <v/>
      </c>
      <c r="AU126" s="23" t="str">
        <f t="shared" si="119"/>
        <v/>
      </c>
      <c r="AV126" s="23" t="str">
        <f t="shared" si="119"/>
        <v/>
      </c>
      <c r="AW126" s="23" t="str">
        <f t="shared" si="119"/>
        <v/>
      </c>
      <c r="AX126" s="23" t="str">
        <f t="shared" si="119"/>
        <v/>
      </c>
      <c r="AY126" s="23" t="str">
        <f t="shared" ref="AY126:BH131" si="120">IF(AND(AY$4&gt;=$I126,AY$4&lt;=$J126),1,"")</f>
        <v/>
      </c>
      <c r="AZ126" s="23" t="str">
        <f t="shared" si="120"/>
        <v/>
      </c>
      <c r="BA126" s="23" t="str">
        <f t="shared" si="120"/>
        <v/>
      </c>
      <c r="BB126" s="23" t="str">
        <f t="shared" si="120"/>
        <v/>
      </c>
      <c r="BC126" s="23" t="str">
        <f t="shared" si="120"/>
        <v/>
      </c>
      <c r="BD126" s="23" t="str">
        <f t="shared" si="120"/>
        <v/>
      </c>
      <c r="BE126" s="23" t="str">
        <f t="shared" si="120"/>
        <v/>
      </c>
      <c r="BF126" s="23" t="str">
        <f t="shared" si="120"/>
        <v/>
      </c>
      <c r="BG126" s="23" t="str">
        <f t="shared" si="120"/>
        <v/>
      </c>
      <c r="BH126" s="23" t="str">
        <f t="shared" si="120"/>
        <v/>
      </c>
      <c r="BI126" s="23" t="str">
        <f t="shared" ref="BI126:BS131" si="121">IF(AND(BI$4&gt;=$I126,BI$4&lt;=$J126),1,"")</f>
        <v/>
      </c>
      <c r="BJ126" s="23" t="str">
        <f t="shared" si="121"/>
        <v/>
      </c>
      <c r="BK126" s="23" t="str">
        <f t="shared" si="121"/>
        <v/>
      </c>
      <c r="BL126" s="23" t="str">
        <f t="shared" si="121"/>
        <v/>
      </c>
      <c r="BM126" s="23" t="str">
        <f t="shared" si="121"/>
        <v/>
      </c>
      <c r="BN126" s="23" t="str">
        <f t="shared" si="121"/>
        <v/>
      </c>
      <c r="BO126" s="23" t="str">
        <f t="shared" si="121"/>
        <v/>
      </c>
      <c r="BP126" s="23" t="str">
        <f t="shared" si="121"/>
        <v/>
      </c>
      <c r="BQ126" s="23" t="str">
        <f t="shared" si="121"/>
        <v/>
      </c>
      <c r="BR126" s="23" t="str">
        <f t="shared" si="121"/>
        <v/>
      </c>
      <c r="BS126" s="23" t="str">
        <f t="shared" si="121"/>
        <v/>
      </c>
      <c r="BT126" s="24" t="str">
        <f>IF(IF(G126+H126-1&lt;=29,MAX(ROUND((G126+H126-1)*(29+SlipWeeks)/29,0),$I126),G126+H126-1+SlipWeeks)&gt;61,"▶ clipped","")</f>
        <v/>
      </c>
      <c r="BU126" s="29" t="s">
        <v>429</v>
      </c>
    </row>
    <row r="127" spans="1:73" ht="17" outlineLevel="1" x14ac:dyDescent="0.2">
      <c r="A127" s="6" t="s">
        <v>430</v>
      </c>
      <c r="B127" s="25" t="s">
        <v>431</v>
      </c>
      <c r="C127" s="6" t="s">
        <v>56</v>
      </c>
      <c r="D127" s="24" t="s">
        <v>128</v>
      </c>
      <c r="F127" s="6"/>
      <c r="G127" s="22">
        <v>16</v>
      </c>
      <c r="H127" s="22">
        <v>2</v>
      </c>
      <c r="I127" s="22">
        <f>MEDIAN($I$126,$J$126,$I$126+ROUND((G127-$G$126)/$H$126*($J$126-$I$126+1),0))</f>
        <v>16</v>
      </c>
      <c r="J127" s="22">
        <f>MEDIAN(I127,$J$126,$I$126+ROUND((G127+H127-$G$126)/$H$126*($J$126-$I$126+1),0)-1)</f>
        <v>17</v>
      </c>
      <c r="K127" s="23" t="str">
        <f t="shared" si="116"/>
        <v/>
      </c>
      <c r="L127" s="23" t="str">
        <f t="shared" si="116"/>
        <v/>
      </c>
      <c r="M127" s="23" t="str">
        <f t="shared" si="116"/>
        <v/>
      </c>
      <c r="N127" s="23" t="str">
        <f t="shared" si="116"/>
        <v/>
      </c>
      <c r="O127" s="23" t="str">
        <f t="shared" si="116"/>
        <v/>
      </c>
      <c r="P127" s="23" t="str">
        <f t="shared" si="116"/>
        <v/>
      </c>
      <c r="Q127" s="23" t="str">
        <f t="shared" si="116"/>
        <v/>
      </c>
      <c r="R127" s="23" t="str">
        <f t="shared" si="116"/>
        <v/>
      </c>
      <c r="S127" s="23" t="str">
        <f t="shared" si="116"/>
        <v/>
      </c>
      <c r="T127" s="23" t="str">
        <f t="shared" si="116"/>
        <v/>
      </c>
      <c r="U127" s="23" t="str">
        <f t="shared" si="117"/>
        <v/>
      </c>
      <c r="V127" s="23" t="str">
        <f t="shared" si="117"/>
        <v/>
      </c>
      <c r="W127" s="23" t="str">
        <f t="shared" si="117"/>
        <v/>
      </c>
      <c r="X127" s="23" t="str">
        <f t="shared" si="117"/>
        <v/>
      </c>
      <c r="Y127" s="23" t="str">
        <f t="shared" si="117"/>
        <v/>
      </c>
      <c r="Z127" s="23">
        <f t="shared" si="117"/>
        <v>1</v>
      </c>
      <c r="AA127" s="23">
        <f t="shared" si="117"/>
        <v>1</v>
      </c>
      <c r="AB127" s="23" t="str">
        <f t="shared" si="117"/>
        <v/>
      </c>
      <c r="AC127" s="23" t="str">
        <f t="shared" si="117"/>
        <v/>
      </c>
      <c r="AD127" s="23" t="str">
        <f t="shared" si="117"/>
        <v/>
      </c>
      <c r="AE127" s="23" t="str">
        <f t="shared" si="118"/>
        <v/>
      </c>
      <c r="AF127" s="23" t="str">
        <f t="shared" si="118"/>
        <v/>
      </c>
      <c r="AG127" s="23" t="str">
        <f t="shared" si="118"/>
        <v/>
      </c>
      <c r="AH127" s="23" t="str">
        <f t="shared" si="118"/>
        <v/>
      </c>
      <c r="AI127" s="23" t="str">
        <f t="shared" si="118"/>
        <v/>
      </c>
      <c r="AJ127" s="23" t="str">
        <f t="shared" si="118"/>
        <v/>
      </c>
      <c r="AK127" s="23" t="str">
        <f t="shared" si="118"/>
        <v/>
      </c>
      <c r="AL127" s="23" t="str">
        <f t="shared" si="118"/>
        <v/>
      </c>
      <c r="AM127" s="23" t="str">
        <f t="shared" si="118"/>
        <v/>
      </c>
      <c r="AN127" s="23" t="str">
        <f t="shared" si="118"/>
        <v/>
      </c>
      <c r="AO127" s="23" t="str">
        <f t="shared" si="119"/>
        <v/>
      </c>
      <c r="AP127" s="23" t="str">
        <f t="shared" si="119"/>
        <v/>
      </c>
      <c r="AQ127" s="23" t="str">
        <f t="shared" si="119"/>
        <v/>
      </c>
      <c r="AR127" s="23" t="str">
        <f t="shared" si="119"/>
        <v/>
      </c>
      <c r="AS127" s="23" t="str">
        <f t="shared" si="119"/>
        <v/>
      </c>
      <c r="AT127" s="23" t="str">
        <f t="shared" si="119"/>
        <v/>
      </c>
      <c r="AU127" s="23" t="str">
        <f t="shared" si="119"/>
        <v/>
      </c>
      <c r="AV127" s="23" t="str">
        <f t="shared" si="119"/>
        <v/>
      </c>
      <c r="AW127" s="23" t="str">
        <f t="shared" si="119"/>
        <v/>
      </c>
      <c r="AX127" s="23" t="str">
        <f t="shared" si="119"/>
        <v/>
      </c>
      <c r="AY127" s="23" t="str">
        <f t="shared" si="120"/>
        <v/>
      </c>
      <c r="AZ127" s="23" t="str">
        <f t="shared" si="120"/>
        <v/>
      </c>
      <c r="BA127" s="23" t="str">
        <f t="shared" si="120"/>
        <v/>
      </c>
      <c r="BB127" s="23" t="str">
        <f t="shared" si="120"/>
        <v/>
      </c>
      <c r="BC127" s="23" t="str">
        <f t="shared" si="120"/>
        <v/>
      </c>
      <c r="BD127" s="23" t="str">
        <f t="shared" si="120"/>
        <v/>
      </c>
      <c r="BE127" s="23" t="str">
        <f t="shared" si="120"/>
        <v/>
      </c>
      <c r="BF127" s="23" t="str">
        <f t="shared" si="120"/>
        <v/>
      </c>
      <c r="BG127" s="23" t="str">
        <f t="shared" si="120"/>
        <v/>
      </c>
      <c r="BH127" s="23" t="str">
        <f t="shared" si="120"/>
        <v/>
      </c>
      <c r="BI127" s="23" t="str">
        <f t="shared" si="121"/>
        <v/>
      </c>
      <c r="BJ127" s="23" t="str">
        <f t="shared" si="121"/>
        <v/>
      </c>
      <c r="BK127" s="23" t="str">
        <f t="shared" si="121"/>
        <v/>
      </c>
      <c r="BL127" s="23" t="str">
        <f t="shared" si="121"/>
        <v/>
      </c>
      <c r="BM127" s="23" t="str">
        <f t="shared" si="121"/>
        <v/>
      </c>
      <c r="BN127" s="23" t="str">
        <f t="shared" si="121"/>
        <v/>
      </c>
      <c r="BO127" s="23" t="str">
        <f t="shared" si="121"/>
        <v/>
      </c>
      <c r="BP127" s="23" t="str">
        <f t="shared" si="121"/>
        <v/>
      </c>
      <c r="BQ127" s="23" t="str">
        <f t="shared" si="121"/>
        <v/>
      </c>
      <c r="BR127" s="23" t="str">
        <f t="shared" si="121"/>
        <v/>
      </c>
      <c r="BS127" s="23" t="str">
        <f t="shared" si="121"/>
        <v/>
      </c>
      <c r="BU127" s="29" t="s">
        <v>432</v>
      </c>
    </row>
    <row r="128" spans="1:73" ht="17" outlineLevel="1" x14ac:dyDescent="0.2">
      <c r="A128" s="6" t="s">
        <v>433</v>
      </c>
      <c r="B128" s="25" t="s">
        <v>434</v>
      </c>
      <c r="C128" s="6" t="s">
        <v>56</v>
      </c>
      <c r="D128" s="24" t="s">
        <v>128</v>
      </c>
      <c r="F128" s="6" t="s">
        <v>430</v>
      </c>
      <c r="G128" s="22">
        <v>18</v>
      </c>
      <c r="H128" s="22">
        <v>1</v>
      </c>
      <c r="I128" s="22">
        <f>MEDIAN($I$126,$J$126,$I$126+ROUND((G128-$G$126)/$H$126*($J$126-$I$126+1),0))</f>
        <v>18</v>
      </c>
      <c r="J128" s="22">
        <f>MEDIAN(I128,$J$126,$I$126+ROUND((G128+H128-$G$126)/$H$126*($J$126-$I$126+1),0)-1)</f>
        <v>18</v>
      </c>
      <c r="K128" s="23" t="str">
        <f t="shared" si="116"/>
        <v/>
      </c>
      <c r="L128" s="23" t="str">
        <f t="shared" si="116"/>
        <v/>
      </c>
      <c r="M128" s="23" t="str">
        <f t="shared" si="116"/>
        <v/>
      </c>
      <c r="N128" s="23" t="str">
        <f t="shared" si="116"/>
        <v/>
      </c>
      <c r="O128" s="23" t="str">
        <f t="shared" si="116"/>
        <v/>
      </c>
      <c r="P128" s="23" t="str">
        <f t="shared" si="116"/>
        <v/>
      </c>
      <c r="Q128" s="23" t="str">
        <f t="shared" si="116"/>
        <v/>
      </c>
      <c r="R128" s="23" t="str">
        <f t="shared" si="116"/>
        <v/>
      </c>
      <c r="S128" s="23" t="str">
        <f t="shared" si="116"/>
        <v/>
      </c>
      <c r="T128" s="23" t="str">
        <f t="shared" si="116"/>
        <v/>
      </c>
      <c r="U128" s="23" t="str">
        <f t="shared" si="117"/>
        <v/>
      </c>
      <c r="V128" s="23" t="str">
        <f t="shared" si="117"/>
        <v/>
      </c>
      <c r="W128" s="23" t="str">
        <f t="shared" si="117"/>
        <v/>
      </c>
      <c r="X128" s="23" t="str">
        <f t="shared" si="117"/>
        <v/>
      </c>
      <c r="Y128" s="23" t="str">
        <f t="shared" si="117"/>
        <v/>
      </c>
      <c r="Z128" s="23" t="str">
        <f t="shared" si="117"/>
        <v/>
      </c>
      <c r="AA128" s="23" t="str">
        <f t="shared" si="117"/>
        <v/>
      </c>
      <c r="AB128" s="23">
        <f t="shared" si="117"/>
        <v>1</v>
      </c>
      <c r="AC128" s="23" t="str">
        <f t="shared" si="117"/>
        <v/>
      </c>
      <c r="AD128" s="23" t="str">
        <f t="shared" si="117"/>
        <v/>
      </c>
      <c r="AE128" s="23" t="str">
        <f t="shared" si="118"/>
        <v/>
      </c>
      <c r="AF128" s="23" t="str">
        <f t="shared" si="118"/>
        <v/>
      </c>
      <c r="AG128" s="23" t="str">
        <f t="shared" si="118"/>
        <v/>
      </c>
      <c r="AH128" s="23" t="str">
        <f t="shared" si="118"/>
        <v/>
      </c>
      <c r="AI128" s="23" t="str">
        <f t="shared" si="118"/>
        <v/>
      </c>
      <c r="AJ128" s="23" t="str">
        <f t="shared" si="118"/>
        <v/>
      </c>
      <c r="AK128" s="23" t="str">
        <f t="shared" si="118"/>
        <v/>
      </c>
      <c r="AL128" s="23" t="str">
        <f t="shared" si="118"/>
        <v/>
      </c>
      <c r="AM128" s="23" t="str">
        <f t="shared" si="118"/>
        <v/>
      </c>
      <c r="AN128" s="23" t="str">
        <f t="shared" si="118"/>
        <v/>
      </c>
      <c r="AO128" s="23" t="str">
        <f t="shared" si="119"/>
        <v/>
      </c>
      <c r="AP128" s="23" t="str">
        <f t="shared" si="119"/>
        <v/>
      </c>
      <c r="AQ128" s="23" t="str">
        <f t="shared" si="119"/>
        <v/>
      </c>
      <c r="AR128" s="23" t="str">
        <f t="shared" si="119"/>
        <v/>
      </c>
      <c r="AS128" s="23" t="str">
        <f t="shared" si="119"/>
        <v/>
      </c>
      <c r="AT128" s="23" t="str">
        <f t="shared" si="119"/>
        <v/>
      </c>
      <c r="AU128" s="23" t="str">
        <f t="shared" si="119"/>
        <v/>
      </c>
      <c r="AV128" s="23" t="str">
        <f t="shared" si="119"/>
        <v/>
      </c>
      <c r="AW128" s="23" t="str">
        <f t="shared" si="119"/>
        <v/>
      </c>
      <c r="AX128" s="23" t="str">
        <f t="shared" si="119"/>
        <v/>
      </c>
      <c r="AY128" s="23" t="str">
        <f t="shared" si="120"/>
        <v/>
      </c>
      <c r="AZ128" s="23" t="str">
        <f t="shared" si="120"/>
        <v/>
      </c>
      <c r="BA128" s="23" t="str">
        <f t="shared" si="120"/>
        <v/>
      </c>
      <c r="BB128" s="23" t="str">
        <f t="shared" si="120"/>
        <v/>
      </c>
      <c r="BC128" s="23" t="str">
        <f t="shared" si="120"/>
        <v/>
      </c>
      <c r="BD128" s="23" t="str">
        <f t="shared" si="120"/>
        <v/>
      </c>
      <c r="BE128" s="23" t="str">
        <f t="shared" si="120"/>
        <v/>
      </c>
      <c r="BF128" s="23" t="str">
        <f t="shared" si="120"/>
        <v/>
      </c>
      <c r="BG128" s="23" t="str">
        <f t="shared" si="120"/>
        <v/>
      </c>
      <c r="BH128" s="23" t="str">
        <f t="shared" si="120"/>
        <v/>
      </c>
      <c r="BI128" s="23" t="str">
        <f t="shared" si="121"/>
        <v/>
      </c>
      <c r="BJ128" s="23" t="str">
        <f t="shared" si="121"/>
        <v/>
      </c>
      <c r="BK128" s="23" t="str">
        <f t="shared" si="121"/>
        <v/>
      </c>
      <c r="BL128" s="23" t="str">
        <f t="shared" si="121"/>
        <v/>
      </c>
      <c r="BM128" s="23" t="str">
        <f t="shared" si="121"/>
        <v/>
      </c>
      <c r="BN128" s="23" t="str">
        <f t="shared" si="121"/>
        <v/>
      </c>
      <c r="BO128" s="23" t="str">
        <f t="shared" si="121"/>
        <v/>
      </c>
      <c r="BP128" s="23" t="str">
        <f t="shared" si="121"/>
        <v/>
      </c>
      <c r="BQ128" s="23" t="str">
        <f t="shared" si="121"/>
        <v/>
      </c>
      <c r="BR128" s="23" t="str">
        <f t="shared" si="121"/>
        <v/>
      </c>
      <c r="BS128" s="23" t="str">
        <f t="shared" si="121"/>
        <v/>
      </c>
      <c r="BU128" s="29" t="s">
        <v>435</v>
      </c>
    </row>
    <row r="129" spans="1:73" ht="17" outlineLevel="1" x14ac:dyDescent="0.2">
      <c r="A129" s="6" t="s">
        <v>436</v>
      </c>
      <c r="B129" s="25" t="s">
        <v>437</v>
      </c>
      <c r="C129" s="6" t="s">
        <v>56</v>
      </c>
      <c r="D129" s="24" t="s">
        <v>128</v>
      </c>
      <c r="F129" s="6" t="s">
        <v>433</v>
      </c>
      <c r="G129" s="22">
        <v>19</v>
      </c>
      <c r="H129" s="22">
        <v>1</v>
      </c>
      <c r="I129" s="22">
        <f>MEDIAN($I$126,$J$126,$I$126+ROUND((G129-$G$126)/$H$126*($J$126-$I$126+1),0))</f>
        <v>19</v>
      </c>
      <c r="J129" s="22">
        <f>MEDIAN(I129,$J$126,$I$126+ROUND((G129+H129-$G$126)/$H$126*($J$126-$I$126+1),0)-1)</f>
        <v>19</v>
      </c>
      <c r="K129" s="23" t="str">
        <f t="shared" si="116"/>
        <v/>
      </c>
      <c r="L129" s="23" t="str">
        <f t="shared" si="116"/>
        <v/>
      </c>
      <c r="M129" s="23" t="str">
        <f t="shared" si="116"/>
        <v/>
      </c>
      <c r="N129" s="23" t="str">
        <f t="shared" si="116"/>
        <v/>
      </c>
      <c r="O129" s="23" t="str">
        <f t="shared" si="116"/>
        <v/>
      </c>
      <c r="P129" s="23" t="str">
        <f t="shared" si="116"/>
        <v/>
      </c>
      <c r="Q129" s="23" t="str">
        <f t="shared" si="116"/>
        <v/>
      </c>
      <c r="R129" s="23" t="str">
        <f t="shared" si="116"/>
        <v/>
      </c>
      <c r="S129" s="23" t="str">
        <f t="shared" si="116"/>
        <v/>
      </c>
      <c r="T129" s="23" t="str">
        <f t="shared" si="116"/>
        <v/>
      </c>
      <c r="U129" s="23" t="str">
        <f t="shared" si="117"/>
        <v/>
      </c>
      <c r="V129" s="23" t="str">
        <f t="shared" si="117"/>
        <v/>
      </c>
      <c r="W129" s="23" t="str">
        <f t="shared" si="117"/>
        <v/>
      </c>
      <c r="X129" s="23" t="str">
        <f t="shared" si="117"/>
        <v/>
      </c>
      <c r="Y129" s="23" t="str">
        <f t="shared" si="117"/>
        <v/>
      </c>
      <c r="Z129" s="23" t="str">
        <f t="shared" si="117"/>
        <v/>
      </c>
      <c r="AA129" s="23" t="str">
        <f t="shared" si="117"/>
        <v/>
      </c>
      <c r="AB129" s="23" t="str">
        <f t="shared" si="117"/>
        <v/>
      </c>
      <c r="AC129" s="23">
        <f t="shared" si="117"/>
        <v>1</v>
      </c>
      <c r="AD129" s="23" t="str">
        <f t="shared" si="117"/>
        <v/>
      </c>
      <c r="AE129" s="23" t="str">
        <f t="shared" si="118"/>
        <v/>
      </c>
      <c r="AF129" s="23" t="str">
        <f t="shared" si="118"/>
        <v/>
      </c>
      <c r="AG129" s="23" t="str">
        <f t="shared" si="118"/>
        <v/>
      </c>
      <c r="AH129" s="23" t="str">
        <f t="shared" si="118"/>
        <v/>
      </c>
      <c r="AI129" s="23" t="str">
        <f t="shared" si="118"/>
        <v/>
      </c>
      <c r="AJ129" s="23" t="str">
        <f t="shared" si="118"/>
        <v/>
      </c>
      <c r="AK129" s="23" t="str">
        <f t="shared" si="118"/>
        <v/>
      </c>
      <c r="AL129" s="23" t="str">
        <f t="shared" si="118"/>
        <v/>
      </c>
      <c r="AM129" s="23" t="str">
        <f t="shared" si="118"/>
        <v/>
      </c>
      <c r="AN129" s="23" t="str">
        <f t="shared" si="118"/>
        <v/>
      </c>
      <c r="AO129" s="23" t="str">
        <f t="shared" si="119"/>
        <v/>
      </c>
      <c r="AP129" s="23" t="str">
        <f t="shared" si="119"/>
        <v/>
      </c>
      <c r="AQ129" s="23" t="str">
        <f t="shared" si="119"/>
        <v/>
      </c>
      <c r="AR129" s="23" t="str">
        <f t="shared" si="119"/>
        <v/>
      </c>
      <c r="AS129" s="23" t="str">
        <f t="shared" si="119"/>
        <v/>
      </c>
      <c r="AT129" s="23" t="str">
        <f t="shared" si="119"/>
        <v/>
      </c>
      <c r="AU129" s="23" t="str">
        <f t="shared" si="119"/>
        <v/>
      </c>
      <c r="AV129" s="23" t="str">
        <f t="shared" si="119"/>
        <v/>
      </c>
      <c r="AW129" s="23" t="str">
        <f t="shared" si="119"/>
        <v/>
      </c>
      <c r="AX129" s="23" t="str">
        <f t="shared" si="119"/>
        <v/>
      </c>
      <c r="AY129" s="23" t="str">
        <f t="shared" si="120"/>
        <v/>
      </c>
      <c r="AZ129" s="23" t="str">
        <f t="shared" si="120"/>
        <v/>
      </c>
      <c r="BA129" s="23" t="str">
        <f t="shared" si="120"/>
        <v/>
      </c>
      <c r="BB129" s="23" t="str">
        <f t="shared" si="120"/>
        <v/>
      </c>
      <c r="BC129" s="23" t="str">
        <f t="shared" si="120"/>
        <v/>
      </c>
      <c r="BD129" s="23" t="str">
        <f t="shared" si="120"/>
        <v/>
      </c>
      <c r="BE129" s="23" t="str">
        <f t="shared" si="120"/>
        <v/>
      </c>
      <c r="BF129" s="23" t="str">
        <f t="shared" si="120"/>
        <v/>
      </c>
      <c r="BG129" s="23" t="str">
        <f t="shared" si="120"/>
        <v/>
      </c>
      <c r="BH129" s="23" t="str">
        <f t="shared" si="120"/>
        <v/>
      </c>
      <c r="BI129" s="23" t="str">
        <f t="shared" si="121"/>
        <v/>
      </c>
      <c r="BJ129" s="23" t="str">
        <f t="shared" si="121"/>
        <v/>
      </c>
      <c r="BK129" s="23" t="str">
        <f t="shared" si="121"/>
        <v/>
      </c>
      <c r="BL129" s="23" t="str">
        <f t="shared" si="121"/>
        <v/>
      </c>
      <c r="BM129" s="23" t="str">
        <f t="shared" si="121"/>
        <v/>
      </c>
      <c r="BN129" s="23" t="str">
        <f t="shared" si="121"/>
        <v/>
      </c>
      <c r="BO129" s="23" t="str">
        <f t="shared" si="121"/>
        <v/>
      </c>
      <c r="BP129" s="23" t="str">
        <f t="shared" si="121"/>
        <v/>
      </c>
      <c r="BQ129" s="23" t="str">
        <f t="shared" si="121"/>
        <v/>
      </c>
      <c r="BR129" s="23" t="str">
        <f t="shared" si="121"/>
        <v/>
      </c>
      <c r="BS129" s="23" t="str">
        <f t="shared" si="121"/>
        <v/>
      </c>
      <c r="BU129" s="29" t="s">
        <v>438</v>
      </c>
    </row>
    <row r="130" spans="1:73" ht="17" outlineLevel="1" x14ac:dyDescent="0.2">
      <c r="A130" s="6" t="s">
        <v>439</v>
      </c>
      <c r="B130" s="25" t="s">
        <v>440</v>
      </c>
      <c r="C130" s="6" t="s">
        <v>56</v>
      </c>
      <c r="D130" s="24" t="s">
        <v>128</v>
      </c>
      <c r="F130" s="6" t="s">
        <v>436</v>
      </c>
      <c r="G130" s="22">
        <v>20</v>
      </c>
      <c r="H130" s="22">
        <v>1</v>
      </c>
      <c r="I130" s="22">
        <f>MEDIAN($I$126,$J$126,$I$126+ROUND((G130-$G$126)/$H$126*($J$126-$I$126+1),0))</f>
        <v>20</v>
      </c>
      <c r="J130" s="22">
        <f>MEDIAN(I130,$J$126,$I$126+ROUND((G130+H130-$G$126)/$H$126*($J$126-$I$126+1),0)-1)</f>
        <v>20</v>
      </c>
      <c r="K130" s="23" t="str">
        <f t="shared" si="116"/>
        <v/>
      </c>
      <c r="L130" s="23" t="str">
        <f t="shared" si="116"/>
        <v/>
      </c>
      <c r="M130" s="23" t="str">
        <f t="shared" si="116"/>
        <v/>
      </c>
      <c r="N130" s="23" t="str">
        <f t="shared" si="116"/>
        <v/>
      </c>
      <c r="O130" s="23" t="str">
        <f t="shared" si="116"/>
        <v/>
      </c>
      <c r="P130" s="23" t="str">
        <f t="shared" si="116"/>
        <v/>
      </c>
      <c r="Q130" s="23" t="str">
        <f t="shared" si="116"/>
        <v/>
      </c>
      <c r="R130" s="23" t="str">
        <f t="shared" si="116"/>
        <v/>
      </c>
      <c r="S130" s="23" t="str">
        <f t="shared" si="116"/>
        <v/>
      </c>
      <c r="T130" s="23" t="str">
        <f t="shared" si="116"/>
        <v/>
      </c>
      <c r="U130" s="23" t="str">
        <f t="shared" si="117"/>
        <v/>
      </c>
      <c r="V130" s="23" t="str">
        <f t="shared" si="117"/>
        <v/>
      </c>
      <c r="W130" s="23" t="str">
        <f t="shared" si="117"/>
        <v/>
      </c>
      <c r="X130" s="23" t="str">
        <f t="shared" si="117"/>
        <v/>
      </c>
      <c r="Y130" s="23" t="str">
        <f t="shared" si="117"/>
        <v/>
      </c>
      <c r="Z130" s="23" t="str">
        <f t="shared" si="117"/>
        <v/>
      </c>
      <c r="AA130" s="23" t="str">
        <f t="shared" si="117"/>
        <v/>
      </c>
      <c r="AB130" s="23" t="str">
        <f t="shared" si="117"/>
        <v/>
      </c>
      <c r="AC130" s="23" t="str">
        <f t="shared" si="117"/>
        <v/>
      </c>
      <c r="AD130" s="23">
        <f t="shared" si="117"/>
        <v>1</v>
      </c>
      <c r="AE130" s="23" t="str">
        <f t="shared" si="118"/>
        <v/>
      </c>
      <c r="AF130" s="23" t="str">
        <f t="shared" si="118"/>
        <v/>
      </c>
      <c r="AG130" s="23" t="str">
        <f t="shared" si="118"/>
        <v/>
      </c>
      <c r="AH130" s="23" t="str">
        <f t="shared" si="118"/>
        <v/>
      </c>
      <c r="AI130" s="23" t="str">
        <f t="shared" si="118"/>
        <v/>
      </c>
      <c r="AJ130" s="23" t="str">
        <f t="shared" si="118"/>
        <v/>
      </c>
      <c r="AK130" s="23" t="str">
        <f t="shared" si="118"/>
        <v/>
      </c>
      <c r="AL130" s="23" t="str">
        <f t="shared" si="118"/>
        <v/>
      </c>
      <c r="AM130" s="23" t="str">
        <f t="shared" si="118"/>
        <v/>
      </c>
      <c r="AN130" s="23" t="str">
        <f t="shared" si="118"/>
        <v/>
      </c>
      <c r="AO130" s="23" t="str">
        <f t="shared" si="119"/>
        <v/>
      </c>
      <c r="AP130" s="23" t="str">
        <f t="shared" si="119"/>
        <v/>
      </c>
      <c r="AQ130" s="23" t="str">
        <f t="shared" si="119"/>
        <v/>
      </c>
      <c r="AR130" s="23" t="str">
        <f t="shared" si="119"/>
        <v/>
      </c>
      <c r="AS130" s="23" t="str">
        <f t="shared" si="119"/>
        <v/>
      </c>
      <c r="AT130" s="23" t="str">
        <f t="shared" si="119"/>
        <v/>
      </c>
      <c r="AU130" s="23" t="str">
        <f t="shared" si="119"/>
        <v/>
      </c>
      <c r="AV130" s="23" t="str">
        <f t="shared" si="119"/>
        <v/>
      </c>
      <c r="AW130" s="23" t="str">
        <f t="shared" si="119"/>
        <v/>
      </c>
      <c r="AX130" s="23" t="str">
        <f t="shared" si="119"/>
        <v/>
      </c>
      <c r="AY130" s="23" t="str">
        <f t="shared" si="120"/>
        <v/>
      </c>
      <c r="AZ130" s="23" t="str">
        <f t="shared" si="120"/>
        <v/>
      </c>
      <c r="BA130" s="23" t="str">
        <f t="shared" si="120"/>
        <v/>
      </c>
      <c r="BB130" s="23" t="str">
        <f t="shared" si="120"/>
        <v/>
      </c>
      <c r="BC130" s="23" t="str">
        <f t="shared" si="120"/>
        <v/>
      </c>
      <c r="BD130" s="23" t="str">
        <f t="shared" si="120"/>
        <v/>
      </c>
      <c r="BE130" s="23" t="str">
        <f t="shared" si="120"/>
        <v/>
      </c>
      <c r="BF130" s="23" t="str">
        <f t="shared" si="120"/>
        <v/>
      </c>
      <c r="BG130" s="23" t="str">
        <f t="shared" si="120"/>
        <v/>
      </c>
      <c r="BH130" s="23" t="str">
        <f t="shared" si="120"/>
        <v/>
      </c>
      <c r="BI130" s="23" t="str">
        <f t="shared" si="121"/>
        <v/>
      </c>
      <c r="BJ130" s="23" t="str">
        <f t="shared" si="121"/>
        <v/>
      </c>
      <c r="BK130" s="23" t="str">
        <f t="shared" si="121"/>
        <v/>
      </c>
      <c r="BL130" s="23" t="str">
        <f t="shared" si="121"/>
        <v/>
      </c>
      <c r="BM130" s="23" t="str">
        <f t="shared" si="121"/>
        <v/>
      </c>
      <c r="BN130" s="23" t="str">
        <f t="shared" si="121"/>
        <v/>
      </c>
      <c r="BO130" s="23" t="str">
        <f t="shared" si="121"/>
        <v/>
      </c>
      <c r="BP130" s="23" t="str">
        <f t="shared" si="121"/>
        <v/>
      </c>
      <c r="BQ130" s="23" t="str">
        <f t="shared" si="121"/>
        <v/>
      </c>
      <c r="BR130" s="23" t="str">
        <f t="shared" si="121"/>
        <v/>
      </c>
      <c r="BS130" s="23" t="str">
        <f t="shared" si="121"/>
        <v/>
      </c>
      <c r="BU130" s="29" t="s">
        <v>441</v>
      </c>
    </row>
    <row r="131" spans="1:73" ht="34" outlineLevel="1" x14ac:dyDescent="0.2">
      <c r="A131" s="6" t="s">
        <v>442</v>
      </c>
      <c r="B131" s="25" t="s">
        <v>443</v>
      </c>
      <c r="C131" s="6" t="s">
        <v>56</v>
      </c>
      <c r="D131" s="24" t="s">
        <v>128</v>
      </c>
      <c r="F131" s="6" t="s">
        <v>439</v>
      </c>
      <c r="G131" s="22">
        <v>21</v>
      </c>
      <c r="H131" s="22">
        <v>1</v>
      </c>
      <c r="I131" s="22">
        <f>MEDIAN($I$126,$J$126,$I$126+ROUND((G131-$G$126)/$H$126*($J$126-$I$126+1),0))</f>
        <v>21</v>
      </c>
      <c r="J131" s="22">
        <f>MEDIAN(I131,$J$126,$I$126+ROUND((G131+H131-$G$126)/$H$126*($J$126-$I$126+1),0)-1)</f>
        <v>21</v>
      </c>
      <c r="K131" s="23" t="str">
        <f t="shared" si="116"/>
        <v/>
      </c>
      <c r="L131" s="23" t="str">
        <f t="shared" si="116"/>
        <v/>
      </c>
      <c r="M131" s="23" t="str">
        <f t="shared" si="116"/>
        <v/>
      </c>
      <c r="N131" s="23" t="str">
        <f t="shared" si="116"/>
        <v/>
      </c>
      <c r="O131" s="23" t="str">
        <f t="shared" si="116"/>
        <v/>
      </c>
      <c r="P131" s="23" t="str">
        <f t="shared" si="116"/>
        <v/>
      </c>
      <c r="Q131" s="23" t="str">
        <f t="shared" si="116"/>
        <v/>
      </c>
      <c r="R131" s="23" t="str">
        <f t="shared" si="116"/>
        <v/>
      </c>
      <c r="S131" s="23" t="str">
        <f t="shared" si="116"/>
        <v/>
      </c>
      <c r="T131" s="23" t="str">
        <f t="shared" si="116"/>
        <v/>
      </c>
      <c r="U131" s="23" t="str">
        <f t="shared" si="117"/>
        <v/>
      </c>
      <c r="V131" s="23" t="str">
        <f t="shared" si="117"/>
        <v/>
      </c>
      <c r="W131" s="23" t="str">
        <f t="shared" si="117"/>
        <v/>
      </c>
      <c r="X131" s="23" t="str">
        <f t="shared" si="117"/>
        <v/>
      </c>
      <c r="Y131" s="23" t="str">
        <f t="shared" si="117"/>
        <v/>
      </c>
      <c r="Z131" s="23" t="str">
        <f t="shared" si="117"/>
        <v/>
      </c>
      <c r="AA131" s="23" t="str">
        <f t="shared" si="117"/>
        <v/>
      </c>
      <c r="AB131" s="23" t="str">
        <f t="shared" si="117"/>
        <v/>
      </c>
      <c r="AC131" s="23" t="str">
        <f t="shared" si="117"/>
        <v/>
      </c>
      <c r="AD131" s="23" t="str">
        <f t="shared" si="117"/>
        <v/>
      </c>
      <c r="AE131" s="23">
        <f t="shared" si="118"/>
        <v>1</v>
      </c>
      <c r="AF131" s="23" t="str">
        <f t="shared" si="118"/>
        <v/>
      </c>
      <c r="AG131" s="23" t="str">
        <f t="shared" si="118"/>
        <v/>
      </c>
      <c r="AH131" s="23" t="str">
        <f t="shared" si="118"/>
        <v/>
      </c>
      <c r="AI131" s="23" t="str">
        <f t="shared" si="118"/>
        <v/>
      </c>
      <c r="AJ131" s="23" t="str">
        <f t="shared" si="118"/>
        <v/>
      </c>
      <c r="AK131" s="23" t="str">
        <f t="shared" si="118"/>
        <v/>
      </c>
      <c r="AL131" s="23" t="str">
        <f t="shared" si="118"/>
        <v/>
      </c>
      <c r="AM131" s="23" t="str">
        <f t="shared" si="118"/>
        <v/>
      </c>
      <c r="AN131" s="23" t="str">
        <f t="shared" si="118"/>
        <v/>
      </c>
      <c r="AO131" s="23" t="str">
        <f t="shared" si="119"/>
        <v/>
      </c>
      <c r="AP131" s="23" t="str">
        <f t="shared" si="119"/>
        <v/>
      </c>
      <c r="AQ131" s="23" t="str">
        <f t="shared" si="119"/>
        <v/>
      </c>
      <c r="AR131" s="23" t="str">
        <f t="shared" si="119"/>
        <v/>
      </c>
      <c r="AS131" s="23" t="str">
        <f t="shared" si="119"/>
        <v/>
      </c>
      <c r="AT131" s="23" t="str">
        <f t="shared" si="119"/>
        <v/>
      </c>
      <c r="AU131" s="23" t="str">
        <f t="shared" si="119"/>
        <v/>
      </c>
      <c r="AV131" s="23" t="str">
        <f t="shared" si="119"/>
        <v/>
      </c>
      <c r="AW131" s="23" t="str">
        <f t="shared" si="119"/>
        <v/>
      </c>
      <c r="AX131" s="23" t="str">
        <f t="shared" si="119"/>
        <v/>
      </c>
      <c r="AY131" s="23" t="str">
        <f t="shared" si="120"/>
        <v/>
      </c>
      <c r="AZ131" s="23" t="str">
        <f t="shared" si="120"/>
        <v/>
      </c>
      <c r="BA131" s="23" t="str">
        <f t="shared" si="120"/>
        <v/>
      </c>
      <c r="BB131" s="23" t="str">
        <f t="shared" si="120"/>
        <v/>
      </c>
      <c r="BC131" s="23" t="str">
        <f t="shared" si="120"/>
        <v/>
      </c>
      <c r="BD131" s="23" t="str">
        <f t="shared" si="120"/>
        <v/>
      </c>
      <c r="BE131" s="23" t="str">
        <f t="shared" si="120"/>
        <v/>
      </c>
      <c r="BF131" s="23" t="str">
        <f t="shared" si="120"/>
        <v/>
      </c>
      <c r="BG131" s="23" t="str">
        <f t="shared" si="120"/>
        <v/>
      </c>
      <c r="BH131" s="23" t="str">
        <f t="shared" si="120"/>
        <v/>
      </c>
      <c r="BI131" s="23" t="str">
        <f t="shared" si="121"/>
        <v/>
      </c>
      <c r="BJ131" s="23" t="str">
        <f t="shared" si="121"/>
        <v/>
      </c>
      <c r="BK131" s="23" t="str">
        <f t="shared" si="121"/>
        <v/>
      </c>
      <c r="BL131" s="23" t="str">
        <f t="shared" si="121"/>
        <v/>
      </c>
      <c r="BM131" s="23" t="str">
        <f t="shared" si="121"/>
        <v/>
      </c>
      <c r="BN131" s="23" t="str">
        <f t="shared" si="121"/>
        <v/>
      </c>
      <c r="BO131" s="23" t="str">
        <f t="shared" si="121"/>
        <v/>
      </c>
      <c r="BP131" s="23" t="str">
        <f t="shared" si="121"/>
        <v/>
      </c>
      <c r="BQ131" s="23" t="str">
        <f t="shared" si="121"/>
        <v/>
      </c>
      <c r="BR131" s="23" t="str">
        <f t="shared" si="121"/>
        <v/>
      </c>
      <c r="BS131" s="23" t="str">
        <f t="shared" si="121"/>
        <v/>
      </c>
      <c r="BU131" s="29" t="s">
        <v>444</v>
      </c>
    </row>
    <row r="132" spans="1:73" x14ac:dyDescent="0.2">
      <c r="BU132" s="30"/>
    </row>
    <row r="133" spans="1:73" ht="17" x14ac:dyDescent="0.2">
      <c r="A133" s="19" t="s">
        <v>445</v>
      </c>
      <c r="B133" s="20" t="s">
        <v>446</v>
      </c>
      <c r="C133" s="19" t="s">
        <v>56</v>
      </c>
      <c r="D133" s="21" t="s">
        <v>117</v>
      </c>
      <c r="E133" s="19"/>
      <c r="F133" s="19"/>
      <c r="G133" s="22">
        <v>16</v>
      </c>
      <c r="H133" s="22">
        <v>6</v>
      </c>
      <c r="I133" s="22">
        <f>MIN(61,IF(G133&lt;=29,ROUND((G133-1)*(29+SlipWeeks)/29,0)+1,G133+SlipWeeks))</f>
        <v>16</v>
      </c>
      <c r="J133" s="22">
        <f>MIN(61,IF(G133+H133-1&lt;=29,MAX(ROUND((G133+H133-1)*(29+SlipWeeks)/29,0),I133),G133+H133-1+SlipWeeks))</f>
        <v>21</v>
      </c>
      <c r="K133" s="23" t="str">
        <f t="shared" ref="K133:T138" si="122">IF(AND(K$4&gt;=$I133,K$4&lt;=$J133),1,"")</f>
        <v/>
      </c>
      <c r="L133" s="23" t="str">
        <f t="shared" si="122"/>
        <v/>
      </c>
      <c r="M133" s="23" t="str">
        <f t="shared" si="122"/>
        <v/>
      </c>
      <c r="N133" s="23" t="str">
        <f t="shared" si="122"/>
        <v/>
      </c>
      <c r="O133" s="23" t="str">
        <f t="shared" si="122"/>
        <v/>
      </c>
      <c r="P133" s="23" t="str">
        <f t="shared" si="122"/>
        <v/>
      </c>
      <c r="Q133" s="23" t="str">
        <f t="shared" si="122"/>
        <v/>
      </c>
      <c r="R133" s="23" t="str">
        <f t="shared" si="122"/>
        <v/>
      </c>
      <c r="S133" s="23" t="str">
        <f t="shared" si="122"/>
        <v/>
      </c>
      <c r="T133" s="23" t="str">
        <f t="shared" si="122"/>
        <v/>
      </c>
      <c r="U133" s="23" t="str">
        <f t="shared" ref="U133:AD138" si="123">IF(AND(U$4&gt;=$I133,U$4&lt;=$J133),1,"")</f>
        <v/>
      </c>
      <c r="V133" s="23" t="str">
        <f t="shared" si="123"/>
        <v/>
      </c>
      <c r="W133" s="23" t="str">
        <f t="shared" si="123"/>
        <v/>
      </c>
      <c r="X133" s="23" t="str">
        <f t="shared" si="123"/>
        <v/>
      </c>
      <c r="Y133" s="23" t="str">
        <f t="shared" si="123"/>
        <v/>
      </c>
      <c r="Z133" s="23">
        <f t="shared" si="123"/>
        <v>1</v>
      </c>
      <c r="AA133" s="23">
        <f t="shared" si="123"/>
        <v>1</v>
      </c>
      <c r="AB133" s="23">
        <f t="shared" si="123"/>
        <v>1</v>
      </c>
      <c r="AC133" s="23">
        <f t="shared" si="123"/>
        <v>1</v>
      </c>
      <c r="AD133" s="23">
        <f t="shared" si="123"/>
        <v>1</v>
      </c>
      <c r="AE133" s="23">
        <f t="shared" ref="AE133:AN138" si="124">IF(AND(AE$4&gt;=$I133,AE$4&lt;=$J133),1,"")</f>
        <v>1</v>
      </c>
      <c r="AF133" s="23" t="str">
        <f t="shared" si="124"/>
        <v/>
      </c>
      <c r="AG133" s="23" t="str">
        <f t="shared" si="124"/>
        <v/>
      </c>
      <c r="AH133" s="23" t="str">
        <f t="shared" si="124"/>
        <v/>
      </c>
      <c r="AI133" s="23" t="str">
        <f t="shared" si="124"/>
        <v/>
      </c>
      <c r="AJ133" s="23" t="str">
        <f t="shared" si="124"/>
        <v/>
      </c>
      <c r="AK133" s="23" t="str">
        <f t="shared" si="124"/>
        <v/>
      </c>
      <c r="AL133" s="23" t="str">
        <f t="shared" si="124"/>
        <v/>
      </c>
      <c r="AM133" s="23" t="str">
        <f t="shared" si="124"/>
        <v/>
      </c>
      <c r="AN133" s="23" t="str">
        <f t="shared" si="124"/>
        <v/>
      </c>
      <c r="AO133" s="23" t="str">
        <f t="shared" ref="AO133:AX138" si="125">IF(AND(AO$4&gt;=$I133,AO$4&lt;=$J133),1,"")</f>
        <v/>
      </c>
      <c r="AP133" s="23" t="str">
        <f t="shared" si="125"/>
        <v/>
      </c>
      <c r="AQ133" s="23" t="str">
        <f t="shared" si="125"/>
        <v/>
      </c>
      <c r="AR133" s="23" t="str">
        <f t="shared" si="125"/>
        <v/>
      </c>
      <c r="AS133" s="23" t="str">
        <f t="shared" si="125"/>
        <v/>
      </c>
      <c r="AT133" s="23" t="str">
        <f t="shared" si="125"/>
        <v/>
      </c>
      <c r="AU133" s="23" t="str">
        <f t="shared" si="125"/>
        <v/>
      </c>
      <c r="AV133" s="23" t="str">
        <f t="shared" si="125"/>
        <v/>
      </c>
      <c r="AW133" s="23" t="str">
        <f t="shared" si="125"/>
        <v/>
      </c>
      <c r="AX133" s="23" t="str">
        <f t="shared" si="125"/>
        <v/>
      </c>
      <c r="AY133" s="23" t="str">
        <f t="shared" ref="AY133:BH138" si="126">IF(AND(AY$4&gt;=$I133,AY$4&lt;=$J133),1,"")</f>
        <v/>
      </c>
      <c r="AZ133" s="23" t="str">
        <f t="shared" si="126"/>
        <v/>
      </c>
      <c r="BA133" s="23" t="str">
        <f t="shared" si="126"/>
        <v/>
      </c>
      <c r="BB133" s="23" t="str">
        <f t="shared" si="126"/>
        <v/>
      </c>
      <c r="BC133" s="23" t="str">
        <f t="shared" si="126"/>
        <v/>
      </c>
      <c r="BD133" s="23" t="str">
        <f t="shared" si="126"/>
        <v/>
      </c>
      <c r="BE133" s="23" t="str">
        <f t="shared" si="126"/>
        <v/>
      </c>
      <c r="BF133" s="23" t="str">
        <f t="shared" si="126"/>
        <v/>
      </c>
      <c r="BG133" s="23" t="str">
        <f t="shared" si="126"/>
        <v/>
      </c>
      <c r="BH133" s="23" t="str">
        <f t="shared" si="126"/>
        <v/>
      </c>
      <c r="BI133" s="23" t="str">
        <f t="shared" ref="BI133:BS138" si="127">IF(AND(BI$4&gt;=$I133,BI$4&lt;=$J133),1,"")</f>
        <v/>
      </c>
      <c r="BJ133" s="23" t="str">
        <f t="shared" si="127"/>
        <v/>
      </c>
      <c r="BK133" s="23" t="str">
        <f t="shared" si="127"/>
        <v/>
      </c>
      <c r="BL133" s="23" t="str">
        <f t="shared" si="127"/>
        <v/>
      </c>
      <c r="BM133" s="23" t="str">
        <f t="shared" si="127"/>
        <v/>
      </c>
      <c r="BN133" s="23" t="str">
        <f t="shared" si="127"/>
        <v/>
      </c>
      <c r="BO133" s="23" t="str">
        <f t="shared" si="127"/>
        <v/>
      </c>
      <c r="BP133" s="23" t="str">
        <f t="shared" si="127"/>
        <v/>
      </c>
      <c r="BQ133" s="23" t="str">
        <f t="shared" si="127"/>
        <v/>
      </c>
      <c r="BR133" s="23" t="str">
        <f t="shared" si="127"/>
        <v/>
      </c>
      <c r="BS133" s="23" t="str">
        <f t="shared" si="127"/>
        <v/>
      </c>
      <c r="BT133" s="24" t="str">
        <f>IF(IF(G133+H133-1&lt;=29,MAX(ROUND((G133+H133-1)*(29+SlipWeeks)/29,0),$I133),G133+H133-1+SlipWeeks)&gt;61,"▶ clipped","")</f>
        <v/>
      </c>
      <c r="BU133" s="29" t="s">
        <v>447</v>
      </c>
    </row>
    <row r="134" spans="1:73" ht="17" outlineLevel="1" x14ac:dyDescent="0.2">
      <c r="A134" s="6" t="s">
        <v>448</v>
      </c>
      <c r="B134" s="25" t="s">
        <v>449</v>
      </c>
      <c r="C134" s="6" t="s">
        <v>56</v>
      </c>
      <c r="D134" s="24" t="s">
        <v>128</v>
      </c>
      <c r="F134" s="6"/>
      <c r="G134" s="22">
        <v>16</v>
      </c>
      <c r="H134" s="22">
        <v>2</v>
      </c>
      <c r="I134" s="22">
        <f>MEDIAN($I$133,$J$133,$I$133+ROUND((G134-$G$133)/$H$133*($J$133-$I$133+1),0))</f>
        <v>16</v>
      </c>
      <c r="J134" s="22">
        <f>MEDIAN(I134,$J$133,$I$133+ROUND((G134+H134-$G$133)/$H$133*($J$133-$I$133+1),0)-1)</f>
        <v>17</v>
      </c>
      <c r="K134" s="23" t="str">
        <f t="shared" si="122"/>
        <v/>
      </c>
      <c r="L134" s="23" t="str">
        <f t="shared" si="122"/>
        <v/>
      </c>
      <c r="M134" s="23" t="str">
        <f t="shared" si="122"/>
        <v/>
      </c>
      <c r="N134" s="23" t="str">
        <f t="shared" si="122"/>
        <v/>
      </c>
      <c r="O134" s="23" t="str">
        <f t="shared" si="122"/>
        <v/>
      </c>
      <c r="P134" s="23" t="str">
        <f t="shared" si="122"/>
        <v/>
      </c>
      <c r="Q134" s="23" t="str">
        <f t="shared" si="122"/>
        <v/>
      </c>
      <c r="R134" s="23" t="str">
        <f t="shared" si="122"/>
        <v/>
      </c>
      <c r="S134" s="23" t="str">
        <f t="shared" si="122"/>
        <v/>
      </c>
      <c r="T134" s="23" t="str">
        <f t="shared" si="122"/>
        <v/>
      </c>
      <c r="U134" s="23" t="str">
        <f t="shared" si="123"/>
        <v/>
      </c>
      <c r="V134" s="23" t="str">
        <f t="shared" si="123"/>
        <v/>
      </c>
      <c r="W134" s="23" t="str">
        <f t="shared" si="123"/>
        <v/>
      </c>
      <c r="X134" s="23" t="str">
        <f t="shared" si="123"/>
        <v/>
      </c>
      <c r="Y134" s="23" t="str">
        <f t="shared" si="123"/>
        <v/>
      </c>
      <c r="Z134" s="23">
        <f t="shared" si="123"/>
        <v>1</v>
      </c>
      <c r="AA134" s="23">
        <f t="shared" si="123"/>
        <v>1</v>
      </c>
      <c r="AB134" s="23" t="str">
        <f t="shared" si="123"/>
        <v/>
      </c>
      <c r="AC134" s="23" t="str">
        <f t="shared" si="123"/>
        <v/>
      </c>
      <c r="AD134" s="23" t="str">
        <f t="shared" si="123"/>
        <v/>
      </c>
      <c r="AE134" s="23" t="str">
        <f t="shared" si="124"/>
        <v/>
      </c>
      <c r="AF134" s="23" t="str">
        <f t="shared" si="124"/>
        <v/>
      </c>
      <c r="AG134" s="23" t="str">
        <f t="shared" si="124"/>
        <v/>
      </c>
      <c r="AH134" s="23" t="str">
        <f t="shared" si="124"/>
        <v/>
      </c>
      <c r="AI134" s="23" t="str">
        <f t="shared" si="124"/>
        <v/>
      </c>
      <c r="AJ134" s="23" t="str">
        <f t="shared" si="124"/>
        <v/>
      </c>
      <c r="AK134" s="23" t="str">
        <f t="shared" si="124"/>
        <v/>
      </c>
      <c r="AL134" s="23" t="str">
        <f t="shared" si="124"/>
        <v/>
      </c>
      <c r="AM134" s="23" t="str">
        <f t="shared" si="124"/>
        <v/>
      </c>
      <c r="AN134" s="23" t="str">
        <f t="shared" si="124"/>
        <v/>
      </c>
      <c r="AO134" s="23" t="str">
        <f t="shared" si="125"/>
        <v/>
      </c>
      <c r="AP134" s="23" t="str">
        <f t="shared" si="125"/>
        <v/>
      </c>
      <c r="AQ134" s="23" t="str">
        <f t="shared" si="125"/>
        <v/>
      </c>
      <c r="AR134" s="23" t="str">
        <f t="shared" si="125"/>
        <v/>
      </c>
      <c r="AS134" s="23" t="str">
        <f t="shared" si="125"/>
        <v/>
      </c>
      <c r="AT134" s="23" t="str">
        <f t="shared" si="125"/>
        <v/>
      </c>
      <c r="AU134" s="23" t="str">
        <f t="shared" si="125"/>
        <v/>
      </c>
      <c r="AV134" s="23" t="str">
        <f t="shared" si="125"/>
        <v/>
      </c>
      <c r="AW134" s="23" t="str">
        <f t="shared" si="125"/>
        <v/>
      </c>
      <c r="AX134" s="23" t="str">
        <f t="shared" si="125"/>
        <v/>
      </c>
      <c r="AY134" s="23" t="str">
        <f t="shared" si="126"/>
        <v/>
      </c>
      <c r="AZ134" s="23" t="str">
        <f t="shared" si="126"/>
        <v/>
      </c>
      <c r="BA134" s="23" t="str">
        <f t="shared" si="126"/>
        <v/>
      </c>
      <c r="BB134" s="23" t="str">
        <f t="shared" si="126"/>
        <v/>
      </c>
      <c r="BC134" s="23" t="str">
        <f t="shared" si="126"/>
        <v/>
      </c>
      <c r="BD134" s="23" t="str">
        <f t="shared" si="126"/>
        <v/>
      </c>
      <c r="BE134" s="23" t="str">
        <f t="shared" si="126"/>
        <v/>
      </c>
      <c r="BF134" s="23" t="str">
        <f t="shared" si="126"/>
        <v/>
      </c>
      <c r="BG134" s="23" t="str">
        <f t="shared" si="126"/>
        <v/>
      </c>
      <c r="BH134" s="23" t="str">
        <f t="shared" si="126"/>
        <v/>
      </c>
      <c r="BI134" s="23" t="str">
        <f t="shared" si="127"/>
        <v/>
      </c>
      <c r="BJ134" s="23" t="str">
        <f t="shared" si="127"/>
        <v/>
      </c>
      <c r="BK134" s="23" t="str">
        <f t="shared" si="127"/>
        <v/>
      </c>
      <c r="BL134" s="23" t="str">
        <f t="shared" si="127"/>
        <v/>
      </c>
      <c r="BM134" s="23" t="str">
        <f t="shared" si="127"/>
        <v/>
      </c>
      <c r="BN134" s="23" t="str">
        <f t="shared" si="127"/>
        <v/>
      </c>
      <c r="BO134" s="23" t="str">
        <f t="shared" si="127"/>
        <v/>
      </c>
      <c r="BP134" s="23" t="str">
        <f t="shared" si="127"/>
        <v/>
      </c>
      <c r="BQ134" s="23" t="str">
        <f t="shared" si="127"/>
        <v/>
      </c>
      <c r="BR134" s="23" t="str">
        <f t="shared" si="127"/>
        <v/>
      </c>
      <c r="BS134" s="23" t="str">
        <f t="shared" si="127"/>
        <v/>
      </c>
      <c r="BU134" s="29" t="s">
        <v>450</v>
      </c>
    </row>
    <row r="135" spans="1:73" ht="17" outlineLevel="1" x14ac:dyDescent="0.2">
      <c r="A135" s="6" t="s">
        <v>451</v>
      </c>
      <c r="B135" s="25" t="s">
        <v>452</v>
      </c>
      <c r="C135" s="6" t="s">
        <v>56</v>
      </c>
      <c r="D135" s="24" t="s">
        <v>128</v>
      </c>
      <c r="F135" s="6" t="s">
        <v>448</v>
      </c>
      <c r="G135" s="22">
        <v>18</v>
      </c>
      <c r="H135" s="22">
        <v>1</v>
      </c>
      <c r="I135" s="22">
        <f>MEDIAN($I$133,$J$133,$I$133+ROUND((G135-$G$133)/$H$133*($J$133-$I$133+1),0))</f>
        <v>18</v>
      </c>
      <c r="J135" s="22">
        <f>MEDIAN(I135,$J$133,$I$133+ROUND((G135+H135-$G$133)/$H$133*($J$133-$I$133+1),0)-1)</f>
        <v>18</v>
      </c>
      <c r="K135" s="23" t="str">
        <f t="shared" si="122"/>
        <v/>
      </c>
      <c r="L135" s="23" t="str">
        <f t="shared" si="122"/>
        <v/>
      </c>
      <c r="M135" s="23" t="str">
        <f t="shared" si="122"/>
        <v/>
      </c>
      <c r="N135" s="23" t="str">
        <f t="shared" si="122"/>
        <v/>
      </c>
      <c r="O135" s="23" t="str">
        <f t="shared" si="122"/>
        <v/>
      </c>
      <c r="P135" s="23" t="str">
        <f t="shared" si="122"/>
        <v/>
      </c>
      <c r="Q135" s="23" t="str">
        <f t="shared" si="122"/>
        <v/>
      </c>
      <c r="R135" s="23" t="str">
        <f t="shared" si="122"/>
        <v/>
      </c>
      <c r="S135" s="23" t="str">
        <f t="shared" si="122"/>
        <v/>
      </c>
      <c r="T135" s="23" t="str">
        <f t="shared" si="122"/>
        <v/>
      </c>
      <c r="U135" s="23" t="str">
        <f t="shared" si="123"/>
        <v/>
      </c>
      <c r="V135" s="23" t="str">
        <f t="shared" si="123"/>
        <v/>
      </c>
      <c r="W135" s="23" t="str">
        <f t="shared" si="123"/>
        <v/>
      </c>
      <c r="X135" s="23" t="str">
        <f t="shared" si="123"/>
        <v/>
      </c>
      <c r="Y135" s="23" t="str">
        <f t="shared" si="123"/>
        <v/>
      </c>
      <c r="Z135" s="23" t="str">
        <f t="shared" si="123"/>
        <v/>
      </c>
      <c r="AA135" s="23" t="str">
        <f t="shared" si="123"/>
        <v/>
      </c>
      <c r="AB135" s="23">
        <f t="shared" si="123"/>
        <v>1</v>
      </c>
      <c r="AC135" s="23" t="str">
        <f t="shared" si="123"/>
        <v/>
      </c>
      <c r="AD135" s="23" t="str">
        <f t="shared" si="123"/>
        <v/>
      </c>
      <c r="AE135" s="23" t="str">
        <f t="shared" si="124"/>
        <v/>
      </c>
      <c r="AF135" s="23" t="str">
        <f t="shared" si="124"/>
        <v/>
      </c>
      <c r="AG135" s="23" t="str">
        <f t="shared" si="124"/>
        <v/>
      </c>
      <c r="AH135" s="23" t="str">
        <f t="shared" si="124"/>
        <v/>
      </c>
      <c r="AI135" s="23" t="str">
        <f t="shared" si="124"/>
        <v/>
      </c>
      <c r="AJ135" s="23" t="str">
        <f t="shared" si="124"/>
        <v/>
      </c>
      <c r="AK135" s="23" t="str">
        <f t="shared" si="124"/>
        <v/>
      </c>
      <c r="AL135" s="23" t="str">
        <f t="shared" si="124"/>
        <v/>
      </c>
      <c r="AM135" s="23" t="str">
        <f t="shared" si="124"/>
        <v/>
      </c>
      <c r="AN135" s="23" t="str">
        <f t="shared" si="124"/>
        <v/>
      </c>
      <c r="AO135" s="23" t="str">
        <f t="shared" si="125"/>
        <v/>
      </c>
      <c r="AP135" s="23" t="str">
        <f t="shared" si="125"/>
        <v/>
      </c>
      <c r="AQ135" s="23" t="str">
        <f t="shared" si="125"/>
        <v/>
      </c>
      <c r="AR135" s="23" t="str">
        <f t="shared" si="125"/>
        <v/>
      </c>
      <c r="AS135" s="23" t="str">
        <f t="shared" si="125"/>
        <v/>
      </c>
      <c r="AT135" s="23" t="str">
        <f t="shared" si="125"/>
        <v/>
      </c>
      <c r="AU135" s="23" t="str">
        <f t="shared" si="125"/>
        <v/>
      </c>
      <c r="AV135" s="23" t="str">
        <f t="shared" si="125"/>
        <v/>
      </c>
      <c r="AW135" s="23" t="str">
        <f t="shared" si="125"/>
        <v/>
      </c>
      <c r="AX135" s="23" t="str">
        <f t="shared" si="125"/>
        <v/>
      </c>
      <c r="AY135" s="23" t="str">
        <f t="shared" si="126"/>
        <v/>
      </c>
      <c r="AZ135" s="23" t="str">
        <f t="shared" si="126"/>
        <v/>
      </c>
      <c r="BA135" s="23" t="str">
        <f t="shared" si="126"/>
        <v/>
      </c>
      <c r="BB135" s="23" t="str">
        <f t="shared" si="126"/>
        <v/>
      </c>
      <c r="BC135" s="23" t="str">
        <f t="shared" si="126"/>
        <v/>
      </c>
      <c r="BD135" s="23" t="str">
        <f t="shared" si="126"/>
        <v/>
      </c>
      <c r="BE135" s="23" t="str">
        <f t="shared" si="126"/>
        <v/>
      </c>
      <c r="BF135" s="23" t="str">
        <f t="shared" si="126"/>
        <v/>
      </c>
      <c r="BG135" s="23" t="str">
        <f t="shared" si="126"/>
        <v/>
      </c>
      <c r="BH135" s="23" t="str">
        <f t="shared" si="126"/>
        <v/>
      </c>
      <c r="BI135" s="23" t="str">
        <f t="shared" si="127"/>
        <v/>
      </c>
      <c r="BJ135" s="23" t="str">
        <f t="shared" si="127"/>
        <v/>
      </c>
      <c r="BK135" s="23" t="str">
        <f t="shared" si="127"/>
        <v/>
      </c>
      <c r="BL135" s="23" t="str">
        <f t="shared" si="127"/>
        <v/>
      </c>
      <c r="BM135" s="23" t="str">
        <f t="shared" si="127"/>
        <v/>
      </c>
      <c r="BN135" s="23" t="str">
        <f t="shared" si="127"/>
        <v/>
      </c>
      <c r="BO135" s="23" t="str">
        <f t="shared" si="127"/>
        <v/>
      </c>
      <c r="BP135" s="23" t="str">
        <f t="shared" si="127"/>
        <v/>
      </c>
      <c r="BQ135" s="23" t="str">
        <f t="shared" si="127"/>
        <v/>
      </c>
      <c r="BR135" s="23" t="str">
        <f t="shared" si="127"/>
        <v/>
      </c>
      <c r="BS135" s="23" t="str">
        <f t="shared" si="127"/>
        <v/>
      </c>
      <c r="BU135" s="29" t="s">
        <v>453</v>
      </c>
    </row>
    <row r="136" spans="1:73" ht="17" outlineLevel="1" x14ac:dyDescent="0.2">
      <c r="A136" s="6" t="s">
        <v>454</v>
      </c>
      <c r="B136" s="25" t="s">
        <v>455</v>
      </c>
      <c r="C136" s="6" t="s">
        <v>56</v>
      </c>
      <c r="D136" s="24" t="s">
        <v>128</v>
      </c>
      <c r="F136" s="6" t="s">
        <v>451</v>
      </c>
      <c r="G136" s="22">
        <v>19</v>
      </c>
      <c r="H136" s="22">
        <v>1</v>
      </c>
      <c r="I136" s="22">
        <f>MEDIAN($I$133,$J$133,$I$133+ROUND((G136-$G$133)/$H$133*($J$133-$I$133+1),0))</f>
        <v>19</v>
      </c>
      <c r="J136" s="22">
        <f>MEDIAN(I136,$J$133,$I$133+ROUND((G136+H136-$G$133)/$H$133*($J$133-$I$133+1),0)-1)</f>
        <v>19</v>
      </c>
      <c r="K136" s="23" t="str">
        <f t="shared" si="122"/>
        <v/>
      </c>
      <c r="L136" s="23" t="str">
        <f t="shared" si="122"/>
        <v/>
      </c>
      <c r="M136" s="23" t="str">
        <f t="shared" si="122"/>
        <v/>
      </c>
      <c r="N136" s="23" t="str">
        <f t="shared" si="122"/>
        <v/>
      </c>
      <c r="O136" s="23" t="str">
        <f t="shared" si="122"/>
        <v/>
      </c>
      <c r="P136" s="23" t="str">
        <f t="shared" si="122"/>
        <v/>
      </c>
      <c r="Q136" s="23" t="str">
        <f t="shared" si="122"/>
        <v/>
      </c>
      <c r="R136" s="23" t="str">
        <f t="shared" si="122"/>
        <v/>
      </c>
      <c r="S136" s="23" t="str">
        <f t="shared" si="122"/>
        <v/>
      </c>
      <c r="T136" s="23" t="str">
        <f t="shared" si="122"/>
        <v/>
      </c>
      <c r="U136" s="23" t="str">
        <f t="shared" si="123"/>
        <v/>
      </c>
      <c r="V136" s="23" t="str">
        <f t="shared" si="123"/>
        <v/>
      </c>
      <c r="W136" s="23" t="str">
        <f t="shared" si="123"/>
        <v/>
      </c>
      <c r="X136" s="23" t="str">
        <f t="shared" si="123"/>
        <v/>
      </c>
      <c r="Y136" s="23" t="str">
        <f t="shared" si="123"/>
        <v/>
      </c>
      <c r="Z136" s="23" t="str">
        <f t="shared" si="123"/>
        <v/>
      </c>
      <c r="AA136" s="23" t="str">
        <f t="shared" si="123"/>
        <v/>
      </c>
      <c r="AB136" s="23" t="str">
        <f t="shared" si="123"/>
        <v/>
      </c>
      <c r="AC136" s="23">
        <f t="shared" si="123"/>
        <v>1</v>
      </c>
      <c r="AD136" s="23" t="str">
        <f t="shared" si="123"/>
        <v/>
      </c>
      <c r="AE136" s="23" t="str">
        <f t="shared" si="124"/>
        <v/>
      </c>
      <c r="AF136" s="23" t="str">
        <f t="shared" si="124"/>
        <v/>
      </c>
      <c r="AG136" s="23" t="str">
        <f t="shared" si="124"/>
        <v/>
      </c>
      <c r="AH136" s="23" t="str">
        <f t="shared" si="124"/>
        <v/>
      </c>
      <c r="AI136" s="23" t="str">
        <f t="shared" si="124"/>
        <v/>
      </c>
      <c r="AJ136" s="23" t="str">
        <f t="shared" si="124"/>
        <v/>
      </c>
      <c r="AK136" s="23" t="str">
        <f t="shared" si="124"/>
        <v/>
      </c>
      <c r="AL136" s="23" t="str">
        <f t="shared" si="124"/>
        <v/>
      </c>
      <c r="AM136" s="23" t="str">
        <f t="shared" si="124"/>
        <v/>
      </c>
      <c r="AN136" s="23" t="str">
        <f t="shared" si="124"/>
        <v/>
      </c>
      <c r="AO136" s="23" t="str">
        <f t="shared" si="125"/>
        <v/>
      </c>
      <c r="AP136" s="23" t="str">
        <f t="shared" si="125"/>
        <v/>
      </c>
      <c r="AQ136" s="23" t="str">
        <f t="shared" si="125"/>
        <v/>
      </c>
      <c r="AR136" s="23" t="str">
        <f t="shared" si="125"/>
        <v/>
      </c>
      <c r="AS136" s="23" t="str">
        <f t="shared" si="125"/>
        <v/>
      </c>
      <c r="AT136" s="23" t="str">
        <f t="shared" si="125"/>
        <v/>
      </c>
      <c r="AU136" s="23" t="str">
        <f t="shared" si="125"/>
        <v/>
      </c>
      <c r="AV136" s="23" t="str">
        <f t="shared" si="125"/>
        <v/>
      </c>
      <c r="AW136" s="23" t="str">
        <f t="shared" si="125"/>
        <v/>
      </c>
      <c r="AX136" s="23" t="str">
        <f t="shared" si="125"/>
        <v/>
      </c>
      <c r="AY136" s="23" t="str">
        <f t="shared" si="126"/>
        <v/>
      </c>
      <c r="AZ136" s="23" t="str">
        <f t="shared" si="126"/>
        <v/>
      </c>
      <c r="BA136" s="23" t="str">
        <f t="shared" si="126"/>
        <v/>
      </c>
      <c r="BB136" s="23" t="str">
        <f t="shared" si="126"/>
        <v/>
      </c>
      <c r="BC136" s="23" t="str">
        <f t="shared" si="126"/>
        <v/>
      </c>
      <c r="BD136" s="23" t="str">
        <f t="shared" si="126"/>
        <v/>
      </c>
      <c r="BE136" s="23" t="str">
        <f t="shared" si="126"/>
        <v/>
      </c>
      <c r="BF136" s="23" t="str">
        <f t="shared" si="126"/>
        <v/>
      </c>
      <c r="BG136" s="23" t="str">
        <f t="shared" si="126"/>
        <v/>
      </c>
      <c r="BH136" s="23" t="str">
        <f t="shared" si="126"/>
        <v/>
      </c>
      <c r="BI136" s="23" t="str">
        <f t="shared" si="127"/>
        <v/>
      </c>
      <c r="BJ136" s="23" t="str">
        <f t="shared" si="127"/>
        <v/>
      </c>
      <c r="BK136" s="23" t="str">
        <f t="shared" si="127"/>
        <v/>
      </c>
      <c r="BL136" s="23" t="str">
        <f t="shared" si="127"/>
        <v/>
      </c>
      <c r="BM136" s="23" t="str">
        <f t="shared" si="127"/>
        <v/>
      </c>
      <c r="BN136" s="23" t="str">
        <f t="shared" si="127"/>
        <v/>
      </c>
      <c r="BO136" s="23" t="str">
        <f t="shared" si="127"/>
        <v/>
      </c>
      <c r="BP136" s="23" t="str">
        <f t="shared" si="127"/>
        <v/>
      </c>
      <c r="BQ136" s="23" t="str">
        <f t="shared" si="127"/>
        <v/>
      </c>
      <c r="BR136" s="23" t="str">
        <f t="shared" si="127"/>
        <v/>
      </c>
      <c r="BS136" s="23" t="str">
        <f t="shared" si="127"/>
        <v/>
      </c>
      <c r="BU136" s="29" t="s">
        <v>456</v>
      </c>
    </row>
    <row r="137" spans="1:73" ht="17" outlineLevel="1" x14ac:dyDescent="0.2">
      <c r="A137" s="6" t="s">
        <v>457</v>
      </c>
      <c r="B137" s="25" t="s">
        <v>458</v>
      </c>
      <c r="C137" s="6" t="s">
        <v>56</v>
      </c>
      <c r="D137" s="24" t="s">
        <v>128</v>
      </c>
      <c r="F137" s="6" t="s">
        <v>454</v>
      </c>
      <c r="G137" s="22">
        <v>20</v>
      </c>
      <c r="H137" s="22">
        <v>1</v>
      </c>
      <c r="I137" s="22">
        <f>MEDIAN($I$133,$J$133,$I$133+ROUND((G137-$G$133)/$H$133*($J$133-$I$133+1),0))</f>
        <v>20</v>
      </c>
      <c r="J137" s="22">
        <f>MEDIAN(I137,$J$133,$I$133+ROUND((G137+H137-$G$133)/$H$133*($J$133-$I$133+1),0)-1)</f>
        <v>20</v>
      </c>
      <c r="K137" s="23" t="str">
        <f t="shared" si="122"/>
        <v/>
      </c>
      <c r="L137" s="23" t="str">
        <f t="shared" si="122"/>
        <v/>
      </c>
      <c r="M137" s="23" t="str">
        <f t="shared" si="122"/>
        <v/>
      </c>
      <c r="N137" s="23" t="str">
        <f t="shared" si="122"/>
        <v/>
      </c>
      <c r="O137" s="23" t="str">
        <f t="shared" si="122"/>
        <v/>
      </c>
      <c r="P137" s="23" t="str">
        <f t="shared" si="122"/>
        <v/>
      </c>
      <c r="Q137" s="23" t="str">
        <f t="shared" si="122"/>
        <v/>
      </c>
      <c r="R137" s="23" t="str">
        <f t="shared" si="122"/>
        <v/>
      </c>
      <c r="S137" s="23" t="str">
        <f t="shared" si="122"/>
        <v/>
      </c>
      <c r="T137" s="23" t="str">
        <f t="shared" si="122"/>
        <v/>
      </c>
      <c r="U137" s="23" t="str">
        <f t="shared" si="123"/>
        <v/>
      </c>
      <c r="V137" s="23" t="str">
        <f t="shared" si="123"/>
        <v/>
      </c>
      <c r="W137" s="23" t="str">
        <f t="shared" si="123"/>
        <v/>
      </c>
      <c r="X137" s="23" t="str">
        <f t="shared" si="123"/>
        <v/>
      </c>
      <c r="Y137" s="23" t="str">
        <f t="shared" si="123"/>
        <v/>
      </c>
      <c r="Z137" s="23" t="str">
        <f t="shared" si="123"/>
        <v/>
      </c>
      <c r="AA137" s="23" t="str">
        <f t="shared" si="123"/>
        <v/>
      </c>
      <c r="AB137" s="23" t="str">
        <f t="shared" si="123"/>
        <v/>
      </c>
      <c r="AC137" s="23" t="str">
        <f t="shared" si="123"/>
        <v/>
      </c>
      <c r="AD137" s="23">
        <f t="shared" si="123"/>
        <v>1</v>
      </c>
      <c r="AE137" s="23" t="str">
        <f t="shared" si="124"/>
        <v/>
      </c>
      <c r="AF137" s="23" t="str">
        <f t="shared" si="124"/>
        <v/>
      </c>
      <c r="AG137" s="23" t="str">
        <f t="shared" si="124"/>
        <v/>
      </c>
      <c r="AH137" s="23" t="str">
        <f t="shared" si="124"/>
        <v/>
      </c>
      <c r="AI137" s="23" t="str">
        <f t="shared" si="124"/>
        <v/>
      </c>
      <c r="AJ137" s="23" t="str">
        <f t="shared" si="124"/>
        <v/>
      </c>
      <c r="AK137" s="23" t="str">
        <f t="shared" si="124"/>
        <v/>
      </c>
      <c r="AL137" s="23" t="str">
        <f t="shared" si="124"/>
        <v/>
      </c>
      <c r="AM137" s="23" t="str">
        <f t="shared" si="124"/>
        <v/>
      </c>
      <c r="AN137" s="23" t="str">
        <f t="shared" si="124"/>
        <v/>
      </c>
      <c r="AO137" s="23" t="str">
        <f t="shared" si="125"/>
        <v/>
      </c>
      <c r="AP137" s="23" t="str">
        <f t="shared" si="125"/>
        <v/>
      </c>
      <c r="AQ137" s="23" t="str">
        <f t="shared" si="125"/>
        <v/>
      </c>
      <c r="AR137" s="23" t="str">
        <f t="shared" si="125"/>
        <v/>
      </c>
      <c r="AS137" s="23" t="str">
        <f t="shared" si="125"/>
        <v/>
      </c>
      <c r="AT137" s="23" t="str">
        <f t="shared" si="125"/>
        <v/>
      </c>
      <c r="AU137" s="23" t="str">
        <f t="shared" si="125"/>
        <v/>
      </c>
      <c r="AV137" s="23" t="str">
        <f t="shared" si="125"/>
        <v/>
      </c>
      <c r="AW137" s="23" t="str">
        <f t="shared" si="125"/>
        <v/>
      </c>
      <c r="AX137" s="23" t="str">
        <f t="shared" si="125"/>
        <v/>
      </c>
      <c r="AY137" s="23" t="str">
        <f t="shared" si="126"/>
        <v/>
      </c>
      <c r="AZ137" s="23" t="str">
        <f t="shared" si="126"/>
        <v/>
      </c>
      <c r="BA137" s="23" t="str">
        <f t="shared" si="126"/>
        <v/>
      </c>
      <c r="BB137" s="23" t="str">
        <f t="shared" si="126"/>
        <v/>
      </c>
      <c r="BC137" s="23" t="str">
        <f t="shared" si="126"/>
        <v/>
      </c>
      <c r="BD137" s="23" t="str">
        <f t="shared" si="126"/>
        <v/>
      </c>
      <c r="BE137" s="23" t="str">
        <f t="shared" si="126"/>
        <v/>
      </c>
      <c r="BF137" s="23" t="str">
        <f t="shared" si="126"/>
        <v/>
      </c>
      <c r="BG137" s="23" t="str">
        <f t="shared" si="126"/>
        <v/>
      </c>
      <c r="BH137" s="23" t="str">
        <f t="shared" si="126"/>
        <v/>
      </c>
      <c r="BI137" s="23" t="str">
        <f t="shared" si="127"/>
        <v/>
      </c>
      <c r="BJ137" s="23" t="str">
        <f t="shared" si="127"/>
        <v/>
      </c>
      <c r="BK137" s="23" t="str">
        <f t="shared" si="127"/>
        <v/>
      </c>
      <c r="BL137" s="23" t="str">
        <f t="shared" si="127"/>
        <v/>
      </c>
      <c r="BM137" s="23" t="str">
        <f t="shared" si="127"/>
        <v/>
      </c>
      <c r="BN137" s="23" t="str">
        <f t="shared" si="127"/>
        <v/>
      </c>
      <c r="BO137" s="23" t="str">
        <f t="shared" si="127"/>
        <v/>
      </c>
      <c r="BP137" s="23" t="str">
        <f t="shared" si="127"/>
        <v/>
      </c>
      <c r="BQ137" s="23" t="str">
        <f t="shared" si="127"/>
        <v/>
      </c>
      <c r="BR137" s="23" t="str">
        <f t="shared" si="127"/>
        <v/>
      </c>
      <c r="BS137" s="23" t="str">
        <f t="shared" si="127"/>
        <v/>
      </c>
      <c r="BU137" s="29" t="s">
        <v>459</v>
      </c>
    </row>
    <row r="138" spans="1:73" ht="34" outlineLevel="1" x14ac:dyDescent="0.2">
      <c r="A138" s="6" t="s">
        <v>460</v>
      </c>
      <c r="B138" s="25" t="s">
        <v>461</v>
      </c>
      <c r="C138" s="6" t="s">
        <v>56</v>
      </c>
      <c r="D138" s="24" t="s">
        <v>128</v>
      </c>
      <c r="F138" s="6" t="s">
        <v>457</v>
      </c>
      <c r="G138" s="22">
        <v>21</v>
      </c>
      <c r="H138" s="22">
        <v>1</v>
      </c>
      <c r="I138" s="22">
        <f>MEDIAN($I$133,$J$133,$I$133+ROUND((G138-$G$133)/$H$133*($J$133-$I$133+1),0))</f>
        <v>21</v>
      </c>
      <c r="J138" s="22">
        <f>MEDIAN(I138,$J$133,$I$133+ROUND((G138+H138-$G$133)/$H$133*($J$133-$I$133+1),0)-1)</f>
        <v>21</v>
      </c>
      <c r="K138" s="23" t="str">
        <f t="shared" si="122"/>
        <v/>
      </c>
      <c r="L138" s="23" t="str">
        <f t="shared" si="122"/>
        <v/>
      </c>
      <c r="M138" s="23" t="str">
        <f t="shared" si="122"/>
        <v/>
      </c>
      <c r="N138" s="23" t="str">
        <f t="shared" si="122"/>
        <v/>
      </c>
      <c r="O138" s="23" t="str">
        <f t="shared" si="122"/>
        <v/>
      </c>
      <c r="P138" s="23" t="str">
        <f t="shared" si="122"/>
        <v/>
      </c>
      <c r="Q138" s="23" t="str">
        <f t="shared" si="122"/>
        <v/>
      </c>
      <c r="R138" s="23" t="str">
        <f t="shared" si="122"/>
        <v/>
      </c>
      <c r="S138" s="23" t="str">
        <f t="shared" si="122"/>
        <v/>
      </c>
      <c r="T138" s="23" t="str">
        <f t="shared" si="122"/>
        <v/>
      </c>
      <c r="U138" s="23" t="str">
        <f t="shared" si="123"/>
        <v/>
      </c>
      <c r="V138" s="23" t="str">
        <f t="shared" si="123"/>
        <v/>
      </c>
      <c r="W138" s="23" t="str">
        <f t="shared" si="123"/>
        <v/>
      </c>
      <c r="X138" s="23" t="str">
        <f t="shared" si="123"/>
        <v/>
      </c>
      <c r="Y138" s="23" t="str">
        <f t="shared" si="123"/>
        <v/>
      </c>
      <c r="Z138" s="23" t="str">
        <f t="shared" si="123"/>
        <v/>
      </c>
      <c r="AA138" s="23" t="str">
        <f t="shared" si="123"/>
        <v/>
      </c>
      <c r="AB138" s="23" t="str">
        <f t="shared" si="123"/>
        <v/>
      </c>
      <c r="AC138" s="23" t="str">
        <f t="shared" si="123"/>
        <v/>
      </c>
      <c r="AD138" s="23" t="str">
        <f t="shared" si="123"/>
        <v/>
      </c>
      <c r="AE138" s="23">
        <f t="shared" si="124"/>
        <v>1</v>
      </c>
      <c r="AF138" s="23" t="str">
        <f t="shared" si="124"/>
        <v/>
      </c>
      <c r="AG138" s="23" t="str">
        <f t="shared" si="124"/>
        <v/>
      </c>
      <c r="AH138" s="23" t="str">
        <f t="shared" si="124"/>
        <v/>
      </c>
      <c r="AI138" s="23" t="str">
        <f t="shared" si="124"/>
        <v/>
      </c>
      <c r="AJ138" s="23" t="str">
        <f t="shared" si="124"/>
        <v/>
      </c>
      <c r="AK138" s="23" t="str">
        <f t="shared" si="124"/>
        <v/>
      </c>
      <c r="AL138" s="23" t="str">
        <f t="shared" si="124"/>
        <v/>
      </c>
      <c r="AM138" s="23" t="str">
        <f t="shared" si="124"/>
        <v/>
      </c>
      <c r="AN138" s="23" t="str">
        <f t="shared" si="124"/>
        <v/>
      </c>
      <c r="AO138" s="23" t="str">
        <f t="shared" si="125"/>
        <v/>
      </c>
      <c r="AP138" s="23" t="str">
        <f t="shared" si="125"/>
        <v/>
      </c>
      <c r="AQ138" s="23" t="str">
        <f t="shared" si="125"/>
        <v/>
      </c>
      <c r="AR138" s="23" t="str">
        <f t="shared" si="125"/>
        <v/>
      </c>
      <c r="AS138" s="23" t="str">
        <f t="shared" si="125"/>
        <v/>
      </c>
      <c r="AT138" s="23" t="str">
        <f t="shared" si="125"/>
        <v/>
      </c>
      <c r="AU138" s="23" t="str">
        <f t="shared" si="125"/>
        <v/>
      </c>
      <c r="AV138" s="23" t="str">
        <f t="shared" si="125"/>
        <v/>
      </c>
      <c r="AW138" s="23" t="str">
        <f t="shared" si="125"/>
        <v/>
      </c>
      <c r="AX138" s="23" t="str">
        <f t="shared" si="125"/>
        <v/>
      </c>
      <c r="AY138" s="23" t="str">
        <f t="shared" si="126"/>
        <v/>
      </c>
      <c r="AZ138" s="23" t="str">
        <f t="shared" si="126"/>
        <v/>
      </c>
      <c r="BA138" s="23" t="str">
        <f t="shared" si="126"/>
        <v/>
      </c>
      <c r="BB138" s="23" t="str">
        <f t="shared" si="126"/>
        <v/>
      </c>
      <c r="BC138" s="23" t="str">
        <f t="shared" si="126"/>
        <v/>
      </c>
      <c r="BD138" s="23" t="str">
        <f t="shared" si="126"/>
        <v/>
      </c>
      <c r="BE138" s="23" t="str">
        <f t="shared" si="126"/>
        <v/>
      </c>
      <c r="BF138" s="23" t="str">
        <f t="shared" si="126"/>
        <v/>
      </c>
      <c r="BG138" s="23" t="str">
        <f t="shared" si="126"/>
        <v/>
      </c>
      <c r="BH138" s="23" t="str">
        <f t="shared" si="126"/>
        <v/>
      </c>
      <c r="BI138" s="23" t="str">
        <f t="shared" si="127"/>
        <v/>
      </c>
      <c r="BJ138" s="23" t="str">
        <f t="shared" si="127"/>
        <v/>
      </c>
      <c r="BK138" s="23" t="str">
        <f t="shared" si="127"/>
        <v/>
      </c>
      <c r="BL138" s="23" t="str">
        <f t="shared" si="127"/>
        <v/>
      </c>
      <c r="BM138" s="23" t="str">
        <f t="shared" si="127"/>
        <v/>
      </c>
      <c r="BN138" s="23" t="str">
        <f t="shared" si="127"/>
        <v/>
      </c>
      <c r="BO138" s="23" t="str">
        <f t="shared" si="127"/>
        <v/>
      </c>
      <c r="BP138" s="23" t="str">
        <f t="shared" si="127"/>
        <v/>
      </c>
      <c r="BQ138" s="23" t="str">
        <f t="shared" si="127"/>
        <v/>
      </c>
      <c r="BR138" s="23" t="str">
        <f t="shared" si="127"/>
        <v/>
      </c>
      <c r="BS138" s="23" t="str">
        <f t="shared" si="127"/>
        <v/>
      </c>
      <c r="BU138" s="29" t="s">
        <v>462</v>
      </c>
    </row>
    <row r="139" spans="1:73" x14ac:dyDescent="0.2">
      <c r="BU139" s="30"/>
    </row>
    <row r="140" spans="1:73" ht="17" x14ac:dyDescent="0.2">
      <c r="A140" s="19" t="s">
        <v>463</v>
      </c>
      <c r="B140" s="20" t="s">
        <v>464</v>
      </c>
      <c r="C140" s="19" t="s">
        <v>55</v>
      </c>
      <c r="D140" s="21" t="s">
        <v>128</v>
      </c>
      <c r="E140" s="19"/>
      <c r="F140" s="19"/>
      <c r="G140" s="22">
        <v>16</v>
      </c>
      <c r="H140" s="22">
        <v>6</v>
      </c>
      <c r="I140" s="22">
        <f>MIN(61,IF(G140&lt;=29,ROUND((G140-1)*(29+SlipWeeks)/29,0)+1,G140+SlipWeeks))</f>
        <v>16</v>
      </c>
      <c r="J140" s="22">
        <f>MIN(61,IF(G140+H140-1&lt;=29,MAX(ROUND((G140+H140-1)*(29+SlipWeeks)/29,0),I140),G140+H140-1+SlipWeeks))</f>
        <v>21</v>
      </c>
      <c r="K140" s="23" t="str">
        <f t="shared" ref="K140:T145" si="128">IF(AND(K$4&gt;=$I140,K$4&lt;=$J140),1,"")</f>
        <v/>
      </c>
      <c r="L140" s="23" t="str">
        <f t="shared" si="128"/>
        <v/>
      </c>
      <c r="M140" s="23" t="str">
        <f t="shared" si="128"/>
        <v/>
      </c>
      <c r="N140" s="23" t="str">
        <f t="shared" si="128"/>
        <v/>
      </c>
      <c r="O140" s="23" t="str">
        <f t="shared" si="128"/>
        <v/>
      </c>
      <c r="P140" s="23" t="str">
        <f t="shared" si="128"/>
        <v/>
      </c>
      <c r="Q140" s="23" t="str">
        <f t="shared" si="128"/>
        <v/>
      </c>
      <c r="R140" s="23" t="str">
        <f t="shared" si="128"/>
        <v/>
      </c>
      <c r="S140" s="23" t="str">
        <f t="shared" si="128"/>
        <v/>
      </c>
      <c r="T140" s="23" t="str">
        <f t="shared" si="128"/>
        <v/>
      </c>
      <c r="U140" s="23" t="str">
        <f t="shared" ref="U140:AD145" si="129">IF(AND(U$4&gt;=$I140,U$4&lt;=$J140),1,"")</f>
        <v/>
      </c>
      <c r="V140" s="23" t="str">
        <f t="shared" si="129"/>
        <v/>
      </c>
      <c r="W140" s="23" t="str">
        <f t="shared" si="129"/>
        <v/>
      </c>
      <c r="X140" s="23" t="str">
        <f t="shared" si="129"/>
        <v/>
      </c>
      <c r="Y140" s="23" t="str">
        <f t="shared" si="129"/>
        <v/>
      </c>
      <c r="Z140" s="23">
        <f t="shared" si="129"/>
        <v>1</v>
      </c>
      <c r="AA140" s="23">
        <f t="shared" si="129"/>
        <v>1</v>
      </c>
      <c r="AB140" s="23">
        <f t="shared" si="129"/>
        <v>1</v>
      </c>
      <c r="AC140" s="23">
        <f t="shared" si="129"/>
        <v>1</v>
      </c>
      <c r="AD140" s="23">
        <f t="shared" si="129"/>
        <v>1</v>
      </c>
      <c r="AE140" s="23">
        <f t="shared" ref="AE140:AN145" si="130">IF(AND(AE$4&gt;=$I140,AE$4&lt;=$J140),1,"")</f>
        <v>1</v>
      </c>
      <c r="AF140" s="23" t="str">
        <f t="shared" si="130"/>
        <v/>
      </c>
      <c r="AG140" s="23" t="str">
        <f t="shared" si="130"/>
        <v/>
      </c>
      <c r="AH140" s="23" t="str">
        <f t="shared" si="130"/>
        <v/>
      </c>
      <c r="AI140" s="23" t="str">
        <f t="shared" si="130"/>
        <v/>
      </c>
      <c r="AJ140" s="23" t="str">
        <f t="shared" si="130"/>
        <v/>
      </c>
      <c r="AK140" s="23" t="str">
        <f t="shared" si="130"/>
        <v/>
      </c>
      <c r="AL140" s="23" t="str">
        <f t="shared" si="130"/>
        <v/>
      </c>
      <c r="AM140" s="23" t="str">
        <f t="shared" si="130"/>
        <v/>
      </c>
      <c r="AN140" s="23" t="str">
        <f t="shared" si="130"/>
        <v/>
      </c>
      <c r="AO140" s="23" t="str">
        <f t="shared" ref="AO140:AX145" si="131">IF(AND(AO$4&gt;=$I140,AO$4&lt;=$J140),1,"")</f>
        <v/>
      </c>
      <c r="AP140" s="23" t="str">
        <f t="shared" si="131"/>
        <v/>
      </c>
      <c r="AQ140" s="23" t="str">
        <f t="shared" si="131"/>
        <v/>
      </c>
      <c r="AR140" s="23" t="str">
        <f t="shared" si="131"/>
        <v/>
      </c>
      <c r="AS140" s="23" t="str">
        <f t="shared" si="131"/>
        <v/>
      </c>
      <c r="AT140" s="23" t="str">
        <f t="shared" si="131"/>
        <v/>
      </c>
      <c r="AU140" s="23" t="str">
        <f t="shared" si="131"/>
        <v/>
      </c>
      <c r="AV140" s="23" t="str">
        <f t="shared" si="131"/>
        <v/>
      </c>
      <c r="AW140" s="23" t="str">
        <f t="shared" si="131"/>
        <v/>
      </c>
      <c r="AX140" s="23" t="str">
        <f t="shared" si="131"/>
        <v/>
      </c>
      <c r="AY140" s="23" t="str">
        <f t="shared" ref="AY140:BH145" si="132">IF(AND(AY$4&gt;=$I140,AY$4&lt;=$J140),1,"")</f>
        <v/>
      </c>
      <c r="AZ140" s="23" t="str">
        <f t="shared" si="132"/>
        <v/>
      </c>
      <c r="BA140" s="23" t="str">
        <f t="shared" si="132"/>
        <v/>
      </c>
      <c r="BB140" s="23" t="str">
        <f t="shared" si="132"/>
        <v/>
      </c>
      <c r="BC140" s="23" t="str">
        <f t="shared" si="132"/>
        <v/>
      </c>
      <c r="BD140" s="23" t="str">
        <f t="shared" si="132"/>
        <v/>
      </c>
      <c r="BE140" s="23" t="str">
        <f t="shared" si="132"/>
        <v/>
      </c>
      <c r="BF140" s="23" t="str">
        <f t="shared" si="132"/>
        <v/>
      </c>
      <c r="BG140" s="23" t="str">
        <f t="shared" si="132"/>
        <v/>
      </c>
      <c r="BH140" s="23" t="str">
        <f t="shared" si="132"/>
        <v/>
      </c>
      <c r="BI140" s="23" t="str">
        <f t="shared" ref="BI140:BS145" si="133">IF(AND(BI$4&gt;=$I140,BI$4&lt;=$J140),1,"")</f>
        <v/>
      </c>
      <c r="BJ140" s="23" t="str">
        <f t="shared" si="133"/>
        <v/>
      </c>
      <c r="BK140" s="23" t="str">
        <f t="shared" si="133"/>
        <v/>
      </c>
      <c r="BL140" s="23" t="str">
        <f t="shared" si="133"/>
        <v/>
      </c>
      <c r="BM140" s="23" t="str">
        <f t="shared" si="133"/>
        <v/>
      </c>
      <c r="BN140" s="23" t="str">
        <f t="shared" si="133"/>
        <v/>
      </c>
      <c r="BO140" s="23" t="str">
        <f t="shared" si="133"/>
        <v/>
      </c>
      <c r="BP140" s="23" t="str">
        <f t="shared" si="133"/>
        <v/>
      </c>
      <c r="BQ140" s="23" t="str">
        <f t="shared" si="133"/>
        <v/>
      </c>
      <c r="BR140" s="23" t="str">
        <f t="shared" si="133"/>
        <v/>
      </c>
      <c r="BS140" s="23" t="str">
        <f t="shared" si="133"/>
        <v/>
      </c>
      <c r="BT140" s="24" t="str">
        <f>IF(IF(G140+H140-1&lt;=29,MAX(ROUND((G140+H140-1)*(29+SlipWeeks)/29,0),$I140),G140+H140-1+SlipWeeks)&gt;61,"▶ clipped","")</f>
        <v/>
      </c>
      <c r="BU140" s="29" t="s">
        <v>465</v>
      </c>
    </row>
    <row r="141" spans="1:73" ht="17" outlineLevel="1" x14ac:dyDescent="0.2">
      <c r="A141" s="6" t="s">
        <v>466</v>
      </c>
      <c r="B141" s="25" t="s">
        <v>467</v>
      </c>
      <c r="C141" s="6" t="s">
        <v>55</v>
      </c>
      <c r="D141" s="24" t="s">
        <v>128</v>
      </c>
      <c r="F141" s="6"/>
      <c r="G141" s="22">
        <v>16</v>
      </c>
      <c r="H141" s="22">
        <v>1</v>
      </c>
      <c r="I141" s="22">
        <f>MEDIAN($I$140,$J$140,$I$140+ROUND((G141-$G$140)/$H$140*($J$140-$I$140+1),0))</f>
        <v>16</v>
      </c>
      <c r="J141" s="22">
        <f>MEDIAN(I141,$J$140,$I$140+ROUND((G141+H141-$G$140)/$H$140*($J$140-$I$140+1),0)-1)</f>
        <v>16</v>
      </c>
      <c r="K141" s="23" t="str">
        <f t="shared" si="128"/>
        <v/>
      </c>
      <c r="L141" s="23" t="str">
        <f t="shared" si="128"/>
        <v/>
      </c>
      <c r="M141" s="23" t="str">
        <f t="shared" si="128"/>
        <v/>
      </c>
      <c r="N141" s="23" t="str">
        <f t="shared" si="128"/>
        <v/>
      </c>
      <c r="O141" s="23" t="str">
        <f t="shared" si="128"/>
        <v/>
      </c>
      <c r="P141" s="23" t="str">
        <f t="shared" si="128"/>
        <v/>
      </c>
      <c r="Q141" s="23" t="str">
        <f t="shared" si="128"/>
        <v/>
      </c>
      <c r="R141" s="23" t="str">
        <f t="shared" si="128"/>
        <v/>
      </c>
      <c r="S141" s="23" t="str">
        <f t="shared" si="128"/>
        <v/>
      </c>
      <c r="T141" s="23" t="str">
        <f t="shared" si="128"/>
        <v/>
      </c>
      <c r="U141" s="23" t="str">
        <f t="shared" si="129"/>
        <v/>
      </c>
      <c r="V141" s="23" t="str">
        <f t="shared" si="129"/>
        <v/>
      </c>
      <c r="W141" s="23" t="str">
        <f t="shared" si="129"/>
        <v/>
      </c>
      <c r="X141" s="23" t="str">
        <f t="shared" si="129"/>
        <v/>
      </c>
      <c r="Y141" s="23" t="str">
        <f t="shared" si="129"/>
        <v/>
      </c>
      <c r="Z141" s="23">
        <f t="shared" si="129"/>
        <v>1</v>
      </c>
      <c r="AA141" s="23" t="str">
        <f t="shared" si="129"/>
        <v/>
      </c>
      <c r="AB141" s="23" t="str">
        <f t="shared" si="129"/>
        <v/>
      </c>
      <c r="AC141" s="23" t="str">
        <f t="shared" si="129"/>
        <v/>
      </c>
      <c r="AD141" s="23" t="str">
        <f t="shared" si="129"/>
        <v/>
      </c>
      <c r="AE141" s="23" t="str">
        <f t="shared" si="130"/>
        <v/>
      </c>
      <c r="AF141" s="23" t="str">
        <f t="shared" si="130"/>
        <v/>
      </c>
      <c r="AG141" s="23" t="str">
        <f t="shared" si="130"/>
        <v/>
      </c>
      <c r="AH141" s="23" t="str">
        <f t="shared" si="130"/>
        <v/>
      </c>
      <c r="AI141" s="23" t="str">
        <f t="shared" si="130"/>
        <v/>
      </c>
      <c r="AJ141" s="23" t="str">
        <f t="shared" si="130"/>
        <v/>
      </c>
      <c r="AK141" s="23" t="str">
        <f t="shared" si="130"/>
        <v/>
      </c>
      <c r="AL141" s="23" t="str">
        <f t="shared" si="130"/>
        <v/>
      </c>
      <c r="AM141" s="23" t="str">
        <f t="shared" si="130"/>
        <v/>
      </c>
      <c r="AN141" s="23" t="str">
        <f t="shared" si="130"/>
        <v/>
      </c>
      <c r="AO141" s="23" t="str">
        <f t="shared" si="131"/>
        <v/>
      </c>
      <c r="AP141" s="23" t="str">
        <f t="shared" si="131"/>
        <v/>
      </c>
      <c r="AQ141" s="23" t="str">
        <f t="shared" si="131"/>
        <v/>
      </c>
      <c r="AR141" s="23" t="str">
        <f t="shared" si="131"/>
        <v/>
      </c>
      <c r="AS141" s="23" t="str">
        <f t="shared" si="131"/>
        <v/>
      </c>
      <c r="AT141" s="23" t="str">
        <f t="shared" si="131"/>
        <v/>
      </c>
      <c r="AU141" s="23" t="str">
        <f t="shared" si="131"/>
        <v/>
      </c>
      <c r="AV141" s="23" t="str">
        <f t="shared" si="131"/>
        <v/>
      </c>
      <c r="AW141" s="23" t="str">
        <f t="shared" si="131"/>
        <v/>
      </c>
      <c r="AX141" s="23" t="str">
        <f t="shared" si="131"/>
        <v/>
      </c>
      <c r="AY141" s="23" t="str">
        <f t="shared" si="132"/>
        <v/>
      </c>
      <c r="AZ141" s="23" t="str">
        <f t="shared" si="132"/>
        <v/>
      </c>
      <c r="BA141" s="23" t="str">
        <f t="shared" si="132"/>
        <v/>
      </c>
      <c r="BB141" s="23" t="str">
        <f t="shared" si="132"/>
        <v/>
      </c>
      <c r="BC141" s="23" t="str">
        <f t="shared" si="132"/>
        <v/>
      </c>
      <c r="BD141" s="23" t="str">
        <f t="shared" si="132"/>
        <v/>
      </c>
      <c r="BE141" s="23" t="str">
        <f t="shared" si="132"/>
        <v/>
      </c>
      <c r="BF141" s="23" t="str">
        <f t="shared" si="132"/>
        <v/>
      </c>
      <c r="BG141" s="23" t="str">
        <f t="shared" si="132"/>
        <v/>
      </c>
      <c r="BH141" s="23" t="str">
        <f t="shared" si="132"/>
        <v/>
      </c>
      <c r="BI141" s="23" t="str">
        <f t="shared" si="133"/>
        <v/>
      </c>
      <c r="BJ141" s="23" t="str">
        <f t="shared" si="133"/>
        <v/>
      </c>
      <c r="BK141" s="23" t="str">
        <f t="shared" si="133"/>
        <v/>
      </c>
      <c r="BL141" s="23" t="str">
        <f t="shared" si="133"/>
        <v/>
      </c>
      <c r="BM141" s="23" t="str">
        <f t="shared" si="133"/>
        <v/>
      </c>
      <c r="BN141" s="23" t="str">
        <f t="shared" si="133"/>
        <v/>
      </c>
      <c r="BO141" s="23" t="str">
        <f t="shared" si="133"/>
        <v/>
      </c>
      <c r="BP141" s="23" t="str">
        <f t="shared" si="133"/>
        <v/>
      </c>
      <c r="BQ141" s="23" t="str">
        <f t="shared" si="133"/>
        <v/>
      </c>
      <c r="BR141" s="23" t="str">
        <f t="shared" si="133"/>
        <v/>
      </c>
      <c r="BS141" s="23" t="str">
        <f t="shared" si="133"/>
        <v/>
      </c>
      <c r="BU141" s="29" t="s">
        <v>468</v>
      </c>
    </row>
    <row r="142" spans="1:73" ht="17" outlineLevel="1" x14ac:dyDescent="0.2">
      <c r="A142" s="6" t="s">
        <v>469</v>
      </c>
      <c r="B142" s="25" t="s">
        <v>470</v>
      </c>
      <c r="C142" s="6" t="s">
        <v>55</v>
      </c>
      <c r="D142" s="24" t="s">
        <v>128</v>
      </c>
      <c r="F142" s="6" t="s">
        <v>466</v>
      </c>
      <c r="G142" s="22">
        <v>17</v>
      </c>
      <c r="H142" s="22">
        <v>1</v>
      </c>
      <c r="I142" s="22">
        <f>MEDIAN($I$140,$J$140,$I$140+ROUND((G142-$G$140)/$H$140*($J$140-$I$140+1),0))</f>
        <v>17</v>
      </c>
      <c r="J142" s="22">
        <f>MEDIAN(I142,$J$140,$I$140+ROUND((G142+H142-$G$140)/$H$140*($J$140-$I$140+1),0)-1)</f>
        <v>17</v>
      </c>
      <c r="K142" s="23" t="str">
        <f t="shared" si="128"/>
        <v/>
      </c>
      <c r="L142" s="23" t="str">
        <f t="shared" si="128"/>
        <v/>
      </c>
      <c r="M142" s="23" t="str">
        <f t="shared" si="128"/>
        <v/>
      </c>
      <c r="N142" s="23" t="str">
        <f t="shared" si="128"/>
        <v/>
      </c>
      <c r="O142" s="23" t="str">
        <f t="shared" si="128"/>
        <v/>
      </c>
      <c r="P142" s="23" t="str">
        <f t="shared" si="128"/>
        <v/>
      </c>
      <c r="Q142" s="23" t="str">
        <f t="shared" si="128"/>
        <v/>
      </c>
      <c r="R142" s="23" t="str">
        <f t="shared" si="128"/>
        <v/>
      </c>
      <c r="S142" s="23" t="str">
        <f t="shared" si="128"/>
        <v/>
      </c>
      <c r="T142" s="23" t="str">
        <f t="shared" si="128"/>
        <v/>
      </c>
      <c r="U142" s="23" t="str">
        <f t="shared" si="129"/>
        <v/>
      </c>
      <c r="V142" s="23" t="str">
        <f t="shared" si="129"/>
        <v/>
      </c>
      <c r="W142" s="23" t="str">
        <f t="shared" si="129"/>
        <v/>
      </c>
      <c r="X142" s="23" t="str">
        <f t="shared" si="129"/>
        <v/>
      </c>
      <c r="Y142" s="23" t="str">
        <f t="shared" si="129"/>
        <v/>
      </c>
      <c r="Z142" s="23" t="str">
        <f t="shared" si="129"/>
        <v/>
      </c>
      <c r="AA142" s="23">
        <f t="shared" si="129"/>
        <v>1</v>
      </c>
      <c r="AB142" s="23" t="str">
        <f t="shared" si="129"/>
        <v/>
      </c>
      <c r="AC142" s="23" t="str">
        <f t="shared" si="129"/>
        <v/>
      </c>
      <c r="AD142" s="23" t="str">
        <f t="shared" si="129"/>
        <v/>
      </c>
      <c r="AE142" s="23" t="str">
        <f t="shared" si="130"/>
        <v/>
      </c>
      <c r="AF142" s="23" t="str">
        <f t="shared" si="130"/>
        <v/>
      </c>
      <c r="AG142" s="23" t="str">
        <f t="shared" si="130"/>
        <v/>
      </c>
      <c r="AH142" s="23" t="str">
        <f t="shared" si="130"/>
        <v/>
      </c>
      <c r="AI142" s="23" t="str">
        <f t="shared" si="130"/>
        <v/>
      </c>
      <c r="AJ142" s="23" t="str">
        <f t="shared" si="130"/>
        <v/>
      </c>
      <c r="AK142" s="23" t="str">
        <f t="shared" si="130"/>
        <v/>
      </c>
      <c r="AL142" s="23" t="str">
        <f t="shared" si="130"/>
        <v/>
      </c>
      <c r="AM142" s="23" t="str">
        <f t="shared" si="130"/>
        <v/>
      </c>
      <c r="AN142" s="23" t="str">
        <f t="shared" si="130"/>
        <v/>
      </c>
      <c r="AO142" s="23" t="str">
        <f t="shared" si="131"/>
        <v/>
      </c>
      <c r="AP142" s="23" t="str">
        <f t="shared" si="131"/>
        <v/>
      </c>
      <c r="AQ142" s="23" t="str">
        <f t="shared" si="131"/>
        <v/>
      </c>
      <c r="AR142" s="23" t="str">
        <f t="shared" si="131"/>
        <v/>
      </c>
      <c r="AS142" s="23" t="str">
        <f t="shared" si="131"/>
        <v/>
      </c>
      <c r="AT142" s="23" t="str">
        <f t="shared" si="131"/>
        <v/>
      </c>
      <c r="AU142" s="23" t="str">
        <f t="shared" si="131"/>
        <v/>
      </c>
      <c r="AV142" s="23" t="str">
        <f t="shared" si="131"/>
        <v/>
      </c>
      <c r="AW142" s="23" t="str">
        <f t="shared" si="131"/>
        <v/>
      </c>
      <c r="AX142" s="23" t="str">
        <f t="shared" si="131"/>
        <v/>
      </c>
      <c r="AY142" s="23" t="str">
        <f t="shared" si="132"/>
        <v/>
      </c>
      <c r="AZ142" s="23" t="str">
        <f t="shared" si="132"/>
        <v/>
      </c>
      <c r="BA142" s="23" t="str">
        <f t="shared" si="132"/>
        <v/>
      </c>
      <c r="BB142" s="23" t="str">
        <f t="shared" si="132"/>
        <v/>
      </c>
      <c r="BC142" s="23" t="str">
        <f t="shared" si="132"/>
        <v/>
      </c>
      <c r="BD142" s="23" t="str">
        <f t="shared" si="132"/>
        <v/>
      </c>
      <c r="BE142" s="23" t="str">
        <f t="shared" si="132"/>
        <v/>
      </c>
      <c r="BF142" s="23" t="str">
        <f t="shared" si="132"/>
        <v/>
      </c>
      <c r="BG142" s="23" t="str">
        <f t="shared" si="132"/>
        <v/>
      </c>
      <c r="BH142" s="23" t="str">
        <f t="shared" si="132"/>
        <v/>
      </c>
      <c r="BI142" s="23" t="str">
        <f t="shared" si="133"/>
        <v/>
      </c>
      <c r="BJ142" s="23" t="str">
        <f t="shared" si="133"/>
        <v/>
      </c>
      <c r="BK142" s="23" t="str">
        <f t="shared" si="133"/>
        <v/>
      </c>
      <c r="BL142" s="23" t="str">
        <f t="shared" si="133"/>
        <v/>
      </c>
      <c r="BM142" s="23" t="str">
        <f t="shared" si="133"/>
        <v/>
      </c>
      <c r="BN142" s="23" t="str">
        <f t="shared" si="133"/>
        <v/>
      </c>
      <c r="BO142" s="23" t="str">
        <f t="shared" si="133"/>
        <v/>
      </c>
      <c r="BP142" s="23" t="str">
        <f t="shared" si="133"/>
        <v/>
      </c>
      <c r="BQ142" s="23" t="str">
        <f t="shared" si="133"/>
        <v/>
      </c>
      <c r="BR142" s="23" t="str">
        <f t="shared" si="133"/>
        <v/>
      </c>
      <c r="BS142" s="23" t="str">
        <f t="shared" si="133"/>
        <v/>
      </c>
      <c r="BU142" s="29" t="s">
        <v>471</v>
      </c>
    </row>
    <row r="143" spans="1:73" ht="34" outlineLevel="1" x14ac:dyDescent="0.2">
      <c r="A143" s="6" t="s">
        <v>472</v>
      </c>
      <c r="B143" s="25" t="s">
        <v>473</v>
      </c>
      <c r="C143" s="6" t="s">
        <v>55</v>
      </c>
      <c r="D143" s="24" t="s">
        <v>128</v>
      </c>
      <c r="F143" s="6" t="s">
        <v>469</v>
      </c>
      <c r="G143" s="22">
        <v>18</v>
      </c>
      <c r="H143" s="22">
        <v>2</v>
      </c>
      <c r="I143" s="22">
        <f>MEDIAN($I$140,$J$140,$I$140+ROUND((G143-$G$140)/$H$140*($J$140-$I$140+1),0))</f>
        <v>18</v>
      </c>
      <c r="J143" s="22">
        <f>MEDIAN(I143,$J$140,$I$140+ROUND((G143+H143-$G$140)/$H$140*($J$140-$I$140+1),0)-1)</f>
        <v>19</v>
      </c>
      <c r="K143" s="23" t="str">
        <f t="shared" si="128"/>
        <v/>
      </c>
      <c r="L143" s="23" t="str">
        <f t="shared" si="128"/>
        <v/>
      </c>
      <c r="M143" s="23" t="str">
        <f t="shared" si="128"/>
        <v/>
      </c>
      <c r="N143" s="23" t="str">
        <f t="shared" si="128"/>
        <v/>
      </c>
      <c r="O143" s="23" t="str">
        <f t="shared" si="128"/>
        <v/>
      </c>
      <c r="P143" s="23" t="str">
        <f t="shared" si="128"/>
        <v/>
      </c>
      <c r="Q143" s="23" t="str">
        <f t="shared" si="128"/>
        <v/>
      </c>
      <c r="R143" s="23" t="str">
        <f t="shared" si="128"/>
        <v/>
      </c>
      <c r="S143" s="23" t="str">
        <f t="shared" si="128"/>
        <v/>
      </c>
      <c r="T143" s="23" t="str">
        <f t="shared" si="128"/>
        <v/>
      </c>
      <c r="U143" s="23" t="str">
        <f t="shared" si="129"/>
        <v/>
      </c>
      <c r="V143" s="23" t="str">
        <f t="shared" si="129"/>
        <v/>
      </c>
      <c r="W143" s="23" t="str">
        <f t="shared" si="129"/>
        <v/>
      </c>
      <c r="X143" s="23" t="str">
        <f t="shared" si="129"/>
        <v/>
      </c>
      <c r="Y143" s="23" t="str">
        <f t="shared" si="129"/>
        <v/>
      </c>
      <c r="Z143" s="23" t="str">
        <f t="shared" si="129"/>
        <v/>
      </c>
      <c r="AA143" s="23" t="str">
        <f t="shared" si="129"/>
        <v/>
      </c>
      <c r="AB143" s="23">
        <f t="shared" si="129"/>
        <v>1</v>
      </c>
      <c r="AC143" s="23">
        <f t="shared" si="129"/>
        <v>1</v>
      </c>
      <c r="AD143" s="23" t="str">
        <f t="shared" si="129"/>
        <v/>
      </c>
      <c r="AE143" s="23" t="str">
        <f t="shared" si="130"/>
        <v/>
      </c>
      <c r="AF143" s="23" t="str">
        <f t="shared" si="130"/>
        <v/>
      </c>
      <c r="AG143" s="23" t="str">
        <f t="shared" si="130"/>
        <v/>
      </c>
      <c r="AH143" s="23" t="str">
        <f t="shared" si="130"/>
        <v/>
      </c>
      <c r="AI143" s="23" t="str">
        <f t="shared" si="130"/>
        <v/>
      </c>
      <c r="AJ143" s="23" t="str">
        <f t="shared" si="130"/>
        <v/>
      </c>
      <c r="AK143" s="23" t="str">
        <f t="shared" si="130"/>
        <v/>
      </c>
      <c r="AL143" s="23" t="str">
        <f t="shared" si="130"/>
        <v/>
      </c>
      <c r="AM143" s="23" t="str">
        <f t="shared" si="130"/>
        <v/>
      </c>
      <c r="AN143" s="23" t="str">
        <f t="shared" si="130"/>
        <v/>
      </c>
      <c r="AO143" s="23" t="str">
        <f t="shared" si="131"/>
        <v/>
      </c>
      <c r="AP143" s="23" t="str">
        <f t="shared" si="131"/>
        <v/>
      </c>
      <c r="AQ143" s="23" t="str">
        <f t="shared" si="131"/>
        <v/>
      </c>
      <c r="AR143" s="23" t="str">
        <f t="shared" si="131"/>
        <v/>
      </c>
      <c r="AS143" s="23" t="str">
        <f t="shared" si="131"/>
        <v/>
      </c>
      <c r="AT143" s="23" t="str">
        <f t="shared" si="131"/>
        <v/>
      </c>
      <c r="AU143" s="23" t="str">
        <f t="shared" si="131"/>
        <v/>
      </c>
      <c r="AV143" s="23" t="str">
        <f t="shared" si="131"/>
        <v/>
      </c>
      <c r="AW143" s="23" t="str">
        <f t="shared" si="131"/>
        <v/>
      </c>
      <c r="AX143" s="23" t="str">
        <f t="shared" si="131"/>
        <v/>
      </c>
      <c r="AY143" s="23" t="str">
        <f t="shared" si="132"/>
        <v/>
      </c>
      <c r="AZ143" s="23" t="str">
        <f t="shared" si="132"/>
        <v/>
      </c>
      <c r="BA143" s="23" t="str">
        <f t="shared" si="132"/>
        <v/>
      </c>
      <c r="BB143" s="23" t="str">
        <f t="shared" si="132"/>
        <v/>
      </c>
      <c r="BC143" s="23" t="str">
        <f t="shared" si="132"/>
        <v/>
      </c>
      <c r="BD143" s="23" t="str">
        <f t="shared" si="132"/>
        <v/>
      </c>
      <c r="BE143" s="23" t="str">
        <f t="shared" si="132"/>
        <v/>
      </c>
      <c r="BF143" s="23" t="str">
        <f t="shared" si="132"/>
        <v/>
      </c>
      <c r="BG143" s="23" t="str">
        <f t="shared" si="132"/>
        <v/>
      </c>
      <c r="BH143" s="23" t="str">
        <f t="shared" si="132"/>
        <v/>
      </c>
      <c r="BI143" s="23" t="str">
        <f t="shared" si="133"/>
        <v/>
      </c>
      <c r="BJ143" s="23" t="str">
        <f t="shared" si="133"/>
        <v/>
      </c>
      <c r="BK143" s="23" t="str">
        <f t="shared" si="133"/>
        <v/>
      </c>
      <c r="BL143" s="23" t="str">
        <f t="shared" si="133"/>
        <v/>
      </c>
      <c r="BM143" s="23" t="str">
        <f t="shared" si="133"/>
        <v/>
      </c>
      <c r="BN143" s="23" t="str">
        <f t="shared" si="133"/>
        <v/>
      </c>
      <c r="BO143" s="23" t="str">
        <f t="shared" si="133"/>
        <v/>
      </c>
      <c r="BP143" s="23" t="str">
        <f t="shared" si="133"/>
        <v/>
      </c>
      <c r="BQ143" s="23" t="str">
        <f t="shared" si="133"/>
        <v/>
      </c>
      <c r="BR143" s="23" t="str">
        <f t="shared" si="133"/>
        <v/>
      </c>
      <c r="BS143" s="23" t="str">
        <f t="shared" si="133"/>
        <v/>
      </c>
      <c r="BU143" s="29" t="s">
        <v>474</v>
      </c>
    </row>
    <row r="144" spans="1:73" ht="17" outlineLevel="1" x14ac:dyDescent="0.2">
      <c r="A144" s="6" t="s">
        <v>475</v>
      </c>
      <c r="B144" s="25" t="s">
        <v>476</v>
      </c>
      <c r="C144" s="6" t="s">
        <v>55</v>
      </c>
      <c r="D144" s="24" t="s">
        <v>128</v>
      </c>
      <c r="F144" s="6" t="s">
        <v>472</v>
      </c>
      <c r="G144" s="22">
        <v>20</v>
      </c>
      <c r="H144" s="22">
        <v>1</v>
      </c>
      <c r="I144" s="22">
        <f>MEDIAN($I$140,$J$140,$I$140+ROUND((G144-$G$140)/$H$140*($J$140-$I$140+1),0))</f>
        <v>20</v>
      </c>
      <c r="J144" s="22">
        <f>MEDIAN(I144,$J$140,$I$140+ROUND((G144+H144-$G$140)/$H$140*($J$140-$I$140+1),0)-1)</f>
        <v>20</v>
      </c>
      <c r="K144" s="23" t="str">
        <f t="shared" si="128"/>
        <v/>
      </c>
      <c r="L144" s="23" t="str">
        <f t="shared" si="128"/>
        <v/>
      </c>
      <c r="M144" s="23" t="str">
        <f t="shared" si="128"/>
        <v/>
      </c>
      <c r="N144" s="23" t="str">
        <f t="shared" si="128"/>
        <v/>
      </c>
      <c r="O144" s="23" t="str">
        <f t="shared" si="128"/>
        <v/>
      </c>
      <c r="P144" s="23" t="str">
        <f t="shared" si="128"/>
        <v/>
      </c>
      <c r="Q144" s="23" t="str">
        <f t="shared" si="128"/>
        <v/>
      </c>
      <c r="R144" s="23" t="str">
        <f t="shared" si="128"/>
        <v/>
      </c>
      <c r="S144" s="23" t="str">
        <f t="shared" si="128"/>
        <v/>
      </c>
      <c r="T144" s="23" t="str">
        <f t="shared" si="128"/>
        <v/>
      </c>
      <c r="U144" s="23" t="str">
        <f t="shared" si="129"/>
        <v/>
      </c>
      <c r="V144" s="23" t="str">
        <f t="shared" si="129"/>
        <v/>
      </c>
      <c r="W144" s="23" t="str">
        <f t="shared" si="129"/>
        <v/>
      </c>
      <c r="X144" s="23" t="str">
        <f t="shared" si="129"/>
        <v/>
      </c>
      <c r="Y144" s="23" t="str">
        <f t="shared" si="129"/>
        <v/>
      </c>
      <c r="Z144" s="23" t="str">
        <f t="shared" si="129"/>
        <v/>
      </c>
      <c r="AA144" s="23" t="str">
        <f t="shared" si="129"/>
        <v/>
      </c>
      <c r="AB144" s="23" t="str">
        <f t="shared" si="129"/>
        <v/>
      </c>
      <c r="AC144" s="23" t="str">
        <f t="shared" si="129"/>
        <v/>
      </c>
      <c r="AD144" s="23">
        <f t="shared" si="129"/>
        <v>1</v>
      </c>
      <c r="AE144" s="23" t="str">
        <f t="shared" si="130"/>
        <v/>
      </c>
      <c r="AF144" s="23" t="str">
        <f t="shared" si="130"/>
        <v/>
      </c>
      <c r="AG144" s="23" t="str">
        <f t="shared" si="130"/>
        <v/>
      </c>
      <c r="AH144" s="23" t="str">
        <f t="shared" si="130"/>
        <v/>
      </c>
      <c r="AI144" s="23" t="str">
        <f t="shared" si="130"/>
        <v/>
      </c>
      <c r="AJ144" s="23" t="str">
        <f t="shared" si="130"/>
        <v/>
      </c>
      <c r="AK144" s="23" t="str">
        <f t="shared" si="130"/>
        <v/>
      </c>
      <c r="AL144" s="23" t="str">
        <f t="shared" si="130"/>
        <v/>
      </c>
      <c r="AM144" s="23" t="str">
        <f t="shared" si="130"/>
        <v/>
      </c>
      <c r="AN144" s="23" t="str">
        <f t="shared" si="130"/>
        <v/>
      </c>
      <c r="AO144" s="23" t="str">
        <f t="shared" si="131"/>
        <v/>
      </c>
      <c r="AP144" s="23" t="str">
        <f t="shared" si="131"/>
        <v/>
      </c>
      <c r="AQ144" s="23" t="str">
        <f t="shared" si="131"/>
        <v/>
      </c>
      <c r="AR144" s="23" t="str">
        <f t="shared" si="131"/>
        <v/>
      </c>
      <c r="AS144" s="23" t="str">
        <f t="shared" si="131"/>
        <v/>
      </c>
      <c r="AT144" s="23" t="str">
        <f t="shared" si="131"/>
        <v/>
      </c>
      <c r="AU144" s="23" t="str">
        <f t="shared" si="131"/>
        <v/>
      </c>
      <c r="AV144" s="23" t="str">
        <f t="shared" si="131"/>
        <v/>
      </c>
      <c r="AW144" s="23" t="str">
        <f t="shared" si="131"/>
        <v/>
      </c>
      <c r="AX144" s="23" t="str">
        <f t="shared" si="131"/>
        <v/>
      </c>
      <c r="AY144" s="23" t="str">
        <f t="shared" si="132"/>
        <v/>
      </c>
      <c r="AZ144" s="23" t="str">
        <f t="shared" si="132"/>
        <v/>
      </c>
      <c r="BA144" s="23" t="str">
        <f t="shared" si="132"/>
        <v/>
      </c>
      <c r="BB144" s="23" t="str">
        <f t="shared" si="132"/>
        <v/>
      </c>
      <c r="BC144" s="23" t="str">
        <f t="shared" si="132"/>
        <v/>
      </c>
      <c r="BD144" s="23" t="str">
        <f t="shared" si="132"/>
        <v/>
      </c>
      <c r="BE144" s="23" t="str">
        <f t="shared" si="132"/>
        <v/>
      </c>
      <c r="BF144" s="23" t="str">
        <f t="shared" si="132"/>
        <v/>
      </c>
      <c r="BG144" s="23" t="str">
        <f t="shared" si="132"/>
        <v/>
      </c>
      <c r="BH144" s="23" t="str">
        <f t="shared" si="132"/>
        <v/>
      </c>
      <c r="BI144" s="23" t="str">
        <f t="shared" si="133"/>
        <v/>
      </c>
      <c r="BJ144" s="23" t="str">
        <f t="shared" si="133"/>
        <v/>
      </c>
      <c r="BK144" s="23" t="str">
        <f t="shared" si="133"/>
        <v/>
      </c>
      <c r="BL144" s="23" t="str">
        <f t="shared" si="133"/>
        <v/>
      </c>
      <c r="BM144" s="23" t="str">
        <f t="shared" si="133"/>
        <v/>
      </c>
      <c r="BN144" s="23" t="str">
        <f t="shared" si="133"/>
        <v/>
      </c>
      <c r="BO144" s="23" t="str">
        <f t="shared" si="133"/>
        <v/>
      </c>
      <c r="BP144" s="23" t="str">
        <f t="shared" si="133"/>
        <v/>
      </c>
      <c r="BQ144" s="23" t="str">
        <f t="shared" si="133"/>
        <v/>
      </c>
      <c r="BR144" s="23" t="str">
        <f t="shared" si="133"/>
        <v/>
      </c>
      <c r="BS144" s="23" t="str">
        <f t="shared" si="133"/>
        <v/>
      </c>
      <c r="BU144" s="29" t="s">
        <v>477</v>
      </c>
    </row>
    <row r="145" spans="1:73" ht="34" outlineLevel="1" x14ac:dyDescent="0.2">
      <c r="A145" s="6" t="s">
        <v>478</v>
      </c>
      <c r="B145" s="25" t="s">
        <v>479</v>
      </c>
      <c r="C145" s="6" t="s">
        <v>55</v>
      </c>
      <c r="D145" s="24" t="s">
        <v>128</v>
      </c>
      <c r="F145" s="6" t="s">
        <v>475</v>
      </c>
      <c r="G145" s="22">
        <v>21</v>
      </c>
      <c r="H145" s="22">
        <v>1</v>
      </c>
      <c r="I145" s="22">
        <f>MEDIAN($I$140,$J$140,$I$140+ROUND((G145-$G$140)/$H$140*($J$140-$I$140+1),0))</f>
        <v>21</v>
      </c>
      <c r="J145" s="22">
        <f>MEDIAN(I145,$J$140,$I$140+ROUND((G145+H145-$G$140)/$H$140*($J$140-$I$140+1),0)-1)</f>
        <v>21</v>
      </c>
      <c r="K145" s="23" t="str">
        <f t="shared" si="128"/>
        <v/>
      </c>
      <c r="L145" s="23" t="str">
        <f t="shared" si="128"/>
        <v/>
      </c>
      <c r="M145" s="23" t="str">
        <f t="shared" si="128"/>
        <v/>
      </c>
      <c r="N145" s="23" t="str">
        <f t="shared" si="128"/>
        <v/>
      </c>
      <c r="O145" s="23" t="str">
        <f t="shared" si="128"/>
        <v/>
      </c>
      <c r="P145" s="23" t="str">
        <f t="shared" si="128"/>
        <v/>
      </c>
      <c r="Q145" s="23" t="str">
        <f t="shared" si="128"/>
        <v/>
      </c>
      <c r="R145" s="23" t="str">
        <f t="shared" si="128"/>
        <v/>
      </c>
      <c r="S145" s="23" t="str">
        <f t="shared" si="128"/>
        <v/>
      </c>
      <c r="T145" s="23" t="str">
        <f t="shared" si="128"/>
        <v/>
      </c>
      <c r="U145" s="23" t="str">
        <f t="shared" si="129"/>
        <v/>
      </c>
      <c r="V145" s="23" t="str">
        <f t="shared" si="129"/>
        <v/>
      </c>
      <c r="W145" s="23" t="str">
        <f t="shared" si="129"/>
        <v/>
      </c>
      <c r="X145" s="23" t="str">
        <f t="shared" si="129"/>
        <v/>
      </c>
      <c r="Y145" s="23" t="str">
        <f t="shared" si="129"/>
        <v/>
      </c>
      <c r="Z145" s="23" t="str">
        <f t="shared" si="129"/>
        <v/>
      </c>
      <c r="AA145" s="23" t="str">
        <f t="shared" si="129"/>
        <v/>
      </c>
      <c r="AB145" s="23" t="str">
        <f t="shared" si="129"/>
        <v/>
      </c>
      <c r="AC145" s="23" t="str">
        <f t="shared" si="129"/>
        <v/>
      </c>
      <c r="AD145" s="23" t="str">
        <f t="shared" si="129"/>
        <v/>
      </c>
      <c r="AE145" s="23">
        <f t="shared" si="130"/>
        <v>1</v>
      </c>
      <c r="AF145" s="23" t="str">
        <f t="shared" si="130"/>
        <v/>
      </c>
      <c r="AG145" s="23" t="str">
        <f t="shared" si="130"/>
        <v/>
      </c>
      <c r="AH145" s="23" t="str">
        <f t="shared" si="130"/>
        <v/>
      </c>
      <c r="AI145" s="23" t="str">
        <f t="shared" si="130"/>
        <v/>
      </c>
      <c r="AJ145" s="23" t="str">
        <f t="shared" si="130"/>
        <v/>
      </c>
      <c r="AK145" s="23" t="str">
        <f t="shared" si="130"/>
        <v/>
      </c>
      <c r="AL145" s="23" t="str">
        <f t="shared" si="130"/>
        <v/>
      </c>
      <c r="AM145" s="23" t="str">
        <f t="shared" si="130"/>
        <v/>
      </c>
      <c r="AN145" s="23" t="str">
        <f t="shared" si="130"/>
        <v/>
      </c>
      <c r="AO145" s="23" t="str">
        <f t="shared" si="131"/>
        <v/>
      </c>
      <c r="AP145" s="23" t="str">
        <f t="shared" si="131"/>
        <v/>
      </c>
      <c r="AQ145" s="23" t="str">
        <f t="shared" si="131"/>
        <v/>
      </c>
      <c r="AR145" s="23" t="str">
        <f t="shared" si="131"/>
        <v/>
      </c>
      <c r="AS145" s="23" t="str">
        <f t="shared" si="131"/>
        <v/>
      </c>
      <c r="AT145" s="23" t="str">
        <f t="shared" si="131"/>
        <v/>
      </c>
      <c r="AU145" s="23" t="str">
        <f t="shared" si="131"/>
        <v/>
      </c>
      <c r="AV145" s="23" t="str">
        <f t="shared" si="131"/>
        <v/>
      </c>
      <c r="AW145" s="23" t="str">
        <f t="shared" si="131"/>
        <v/>
      </c>
      <c r="AX145" s="23" t="str">
        <f t="shared" si="131"/>
        <v/>
      </c>
      <c r="AY145" s="23" t="str">
        <f t="shared" si="132"/>
        <v/>
      </c>
      <c r="AZ145" s="23" t="str">
        <f t="shared" si="132"/>
        <v/>
      </c>
      <c r="BA145" s="23" t="str">
        <f t="shared" si="132"/>
        <v/>
      </c>
      <c r="BB145" s="23" t="str">
        <f t="shared" si="132"/>
        <v/>
      </c>
      <c r="BC145" s="23" t="str">
        <f t="shared" si="132"/>
        <v/>
      </c>
      <c r="BD145" s="23" t="str">
        <f t="shared" si="132"/>
        <v/>
      </c>
      <c r="BE145" s="23" t="str">
        <f t="shared" si="132"/>
        <v/>
      </c>
      <c r="BF145" s="23" t="str">
        <f t="shared" si="132"/>
        <v/>
      </c>
      <c r="BG145" s="23" t="str">
        <f t="shared" si="132"/>
        <v/>
      </c>
      <c r="BH145" s="23" t="str">
        <f t="shared" si="132"/>
        <v/>
      </c>
      <c r="BI145" s="23" t="str">
        <f t="shared" si="133"/>
        <v/>
      </c>
      <c r="BJ145" s="23" t="str">
        <f t="shared" si="133"/>
        <v/>
      </c>
      <c r="BK145" s="23" t="str">
        <f t="shared" si="133"/>
        <v/>
      </c>
      <c r="BL145" s="23" t="str">
        <f t="shared" si="133"/>
        <v/>
      </c>
      <c r="BM145" s="23" t="str">
        <f t="shared" si="133"/>
        <v/>
      </c>
      <c r="BN145" s="23" t="str">
        <f t="shared" si="133"/>
        <v/>
      </c>
      <c r="BO145" s="23" t="str">
        <f t="shared" si="133"/>
        <v/>
      </c>
      <c r="BP145" s="23" t="str">
        <f t="shared" si="133"/>
        <v/>
      </c>
      <c r="BQ145" s="23" t="str">
        <f t="shared" si="133"/>
        <v/>
      </c>
      <c r="BR145" s="23" t="str">
        <f t="shared" si="133"/>
        <v/>
      </c>
      <c r="BS145" s="23" t="str">
        <f t="shared" si="133"/>
        <v/>
      </c>
      <c r="BU145" s="29" t="s">
        <v>480</v>
      </c>
    </row>
    <row r="146" spans="1:73" x14ac:dyDescent="0.2">
      <c r="BU146" s="30"/>
    </row>
    <row r="147" spans="1:73" ht="17" x14ac:dyDescent="0.2">
      <c r="A147" s="19" t="s">
        <v>481</v>
      </c>
      <c r="B147" s="20" t="s">
        <v>482</v>
      </c>
      <c r="C147" s="19" t="s">
        <v>56</v>
      </c>
      <c r="D147" s="21" t="s">
        <v>128</v>
      </c>
      <c r="E147" s="19" t="s">
        <v>75</v>
      </c>
      <c r="F147" s="19"/>
      <c r="G147" s="22">
        <v>16</v>
      </c>
      <c r="H147" s="22">
        <v>6</v>
      </c>
      <c r="I147" s="22">
        <f>MIN(61,IF(G147&lt;=29,ROUND((G147-1)*(29+SlipWeeks)/29,0)+1,G147+SlipWeeks))</f>
        <v>16</v>
      </c>
      <c r="J147" s="22">
        <f>MIN(61,I147+H147-1)</f>
        <v>21</v>
      </c>
      <c r="K147" s="23" t="str">
        <f t="shared" ref="K147:T152" si="134">IF(AND(K$4&gt;=$I147,K$4&lt;=$J147),1,"")</f>
        <v/>
      </c>
      <c r="L147" s="23" t="str">
        <f t="shared" si="134"/>
        <v/>
      </c>
      <c r="M147" s="23" t="str">
        <f t="shared" si="134"/>
        <v/>
      </c>
      <c r="N147" s="23" t="str">
        <f t="shared" si="134"/>
        <v/>
      </c>
      <c r="O147" s="23" t="str">
        <f t="shared" si="134"/>
        <v/>
      </c>
      <c r="P147" s="23" t="str">
        <f t="shared" si="134"/>
        <v/>
      </c>
      <c r="Q147" s="23" t="str">
        <f t="shared" si="134"/>
        <v/>
      </c>
      <c r="R147" s="23" t="str">
        <f t="shared" si="134"/>
        <v/>
      </c>
      <c r="S147" s="23" t="str">
        <f t="shared" si="134"/>
        <v/>
      </c>
      <c r="T147" s="23" t="str">
        <f t="shared" si="134"/>
        <v/>
      </c>
      <c r="U147" s="23" t="str">
        <f t="shared" ref="U147:AD152" si="135">IF(AND(U$4&gt;=$I147,U$4&lt;=$J147),1,"")</f>
        <v/>
      </c>
      <c r="V147" s="23" t="str">
        <f t="shared" si="135"/>
        <v/>
      </c>
      <c r="W147" s="23" t="str">
        <f t="shared" si="135"/>
        <v/>
      </c>
      <c r="X147" s="23" t="str">
        <f t="shared" si="135"/>
        <v/>
      </c>
      <c r="Y147" s="23" t="str">
        <f t="shared" si="135"/>
        <v/>
      </c>
      <c r="Z147" s="23">
        <f t="shared" si="135"/>
        <v>1</v>
      </c>
      <c r="AA147" s="23">
        <f t="shared" si="135"/>
        <v>1</v>
      </c>
      <c r="AB147" s="23">
        <f t="shared" si="135"/>
        <v>1</v>
      </c>
      <c r="AC147" s="23">
        <f t="shared" si="135"/>
        <v>1</v>
      </c>
      <c r="AD147" s="23">
        <f t="shared" si="135"/>
        <v>1</v>
      </c>
      <c r="AE147" s="23">
        <f t="shared" ref="AE147:AN152" si="136">IF(AND(AE$4&gt;=$I147,AE$4&lt;=$J147),1,"")</f>
        <v>1</v>
      </c>
      <c r="AF147" s="23" t="str">
        <f t="shared" si="136"/>
        <v/>
      </c>
      <c r="AG147" s="23" t="str">
        <f t="shared" si="136"/>
        <v/>
      </c>
      <c r="AH147" s="23" t="str">
        <f t="shared" si="136"/>
        <v/>
      </c>
      <c r="AI147" s="23" t="str">
        <f t="shared" si="136"/>
        <v/>
      </c>
      <c r="AJ147" s="23" t="str">
        <f t="shared" si="136"/>
        <v/>
      </c>
      <c r="AK147" s="23" t="str">
        <f t="shared" si="136"/>
        <v/>
      </c>
      <c r="AL147" s="23" t="str">
        <f t="shared" si="136"/>
        <v/>
      </c>
      <c r="AM147" s="23" t="str">
        <f t="shared" si="136"/>
        <v/>
      </c>
      <c r="AN147" s="23" t="str">
        <f t="shared" si="136"/>
        <v/>
      </c>
      <c r="AO147" s="23" t="str">
        <f t="shared" ref="AO147:AX152" si="137">IF(AND(AO$4&gt;=$I147,AO$4&lt;=$J147),1,"")</f>
        <v/>
      </c>
      <c r="AP147" s="23" t="str">
        <f t="shared" si="137"/>
        <v/>
      </c>
      <c r="AQ147" s="23" t="str">
        <f t="shared" si="137"/>
        <v/>
      </c>
      <c r="AR147" s="23" t="str">
        <f t="shared" si="137"/>
        <v/>
      </c>
      <c r="AS147" s="23" t="str">
        <f t="shared" si="137"/>
        <v/>
      </c>
      <c r="AT147" s="23" t="str">
        <f t="shared" si="137"/>
        <v/>
      </c>
      <c r="AU147" s="23" t="str">
        <f t="shared" si="137"/>
        <v/>
      </c>
      <c r="AV147" s="23" t="str">
        <f t="shared" si="137"/>
        <v/>
      </c>
      <c r="AW147" s="23" t="str">
        <f t="shared" si="137"/>
        <v/>
      </c>
      <c r="AX147" s="23" t="str">
        <f t="shared" si="137"/>
        <v/>
      </c>
      <c r="AY147" s="23" t="str">
        <f t="shared" ref="AY147:BH152" si="138">IF(AND(AY$4&gt;=$I147,AY$4&lt;=$J147),1,"")</f>
        <v/>
      </c>
      <c r="AZ147" s="23" t="str">
        <f t="shared" si="138"/>
        <v/>
      </c>
      <c r="BA147" s="23" t="str">
        <f t="shared" si="138"/>
        <v/>
      </c>
      <c r="BB147" s="23" t="str">
        <f t="shared" si="138"/>
        <v/>
      </c>
      <c r="BC147" s="23" t="str">
        <f t="shared" si="138"/>
        <v/>
      </c>
      <c r="BD147" s="23" t="str">
        <f t="shared" si="138"/>
        <v/>
      </c>
      <c r="BE147" s="23" t="str">
        <f t="shared" si="138"/>
        <v/>
      </c>
      <c r="BF147" s="23" t="str">
        <f t="shared" si="138"/>
        <v/>
      </c>
      <c r="BG147" s="23" t="str">
        <f t="shared" si="138"/>
        <v/>
      </c>
      <c r="BH147" s="23" t="str">
        <f t="shared" si="138"/>
        <v/>
      </c>
      <c r="BI147" s="23" t="str">
        <f t="shared" ref="BI147:BS152" si="139">IF(AND(BI$4&gt;=$I147,BI$4&lt;=$J147),1,"")</f>
        <v/>
      </c>
      <c r="BJ147" s="23" t="str">
        <f t="shared" si="139"/>
        <v/>
      </c>
      <c r="BK147" s="23" t="str">
        <f t="shared" si="139"/>
        <v/>
      </c>
      <c r="BL147" s="23" t="str">
        <f t="shared" si="139"/>
        <v/>
      </c>
      <c r="BM147" s="23" t="str">
        <f t="shared" si="139"/>
        <v/>
      </c>
      <c r="BN147" s="23" t="str">
        <f t="shared" si="139"/>
        <v/>
      </c>
      <c r="BO147" s="23" t="str">
        <f t="shared" si="139"/>
        <v/>
      </c>
      <c r="BP147" s="23" t="str">
        <f t="shared" si="139"/>
        <v/>
      </c>
      <c r="BQ147" s="23" t="str">
        <f t="shared" si="139"/>
        <v/>
      </c>
      <c r="BR147" s="23" t="str">
        <f t="shared" si="139"/>
        <v/>
      </c>
      <c r="BS147" s="23" t="str">
        <f t="shared" si="139"/>
        <v/>
      </c>
      <c r="BT147" s="24" t="str">
        <f>IF($I147+H147-1&gt;61,"▶ clipped","")</f>
        <v/>
      </c>
      <c r="BU147" s="29" t="s">
        <v>483</v>
      </c>
    </row>
    <row r="148" spans="1:73" ht="34" outlineLevel="1" x14ac:dyDescent="0.2">
      <c r="A148" s="6" t="s">
        <v>484</v>
      </c>
      <c r="B148" s="25" t="s">
        <v>485</v>
      </c>
      <c r="C148" s="6" t="s">
        <v>56</v>
      </c>
      <c r="D148" s="24" t="s">
        <v>128</v>
      </c>
      <c r="F148" s="6"/>
      <c r="G148" s="22">
        <v>16</v>
      </c>
      <c r="H148" s="22">
        <v>1</v>
      </c>
      <c r="I148" s="22">
        <f>MEDIAN($I$147,$J$147,$I$147+ROUND((G148-$G$147)/$H$147*($J$147-$I$147+1),0))</f>
        <v>16</v>
      </c>
      <c r="J148" s="22">
        <f>MEDIAN(I148,$J$147,$I$147+ROUND((G148+H148-$G$147)/$H$147*($J$147-$I$147+1),0)-1)</f>
        <v>16</v>
      </c>
      <c r="K148" s="23" t="str">
        <f t="shared" si="134"/>
        <v/>
      </c>
      <c r="L148" s="23" t="str">
        <f t="shared" si="134"/>
        <v/>
      </c>
      <c r="M148" s="23" t="str">
        <f t="shared" si="134"/>
        <v/>
      </c>
      <c r="N148" s="23" t="str">
        <f t="shared" si="134"/>
        <v/>
      </c>
      <c r="O148" s="23" t="str">
        <f t="shared" si="134"/>
        <v/>
      </c>
      <c r="P148" s="23" t="str">
        <f t="shared" si="134"/>
        <v/>
      </c>
      <c r="Q148" s="23" t="str">
        <f t="shared" si="134"/>
        <v/>
      </c>
      <c r="R148" s="23" t="str">
        <f t="shared" si="134"/>
        <v/>
      </c>
      <c r="S148" s="23" t="str">
        <f t="shared" si="134"/>
        <v/>
      </c>
      <c r="T148" s="23" t="str">
        <f t="shared" si="134"/>
        <v/>
      </c>
      <c r="U148" s="23" t="str">
        <f t="shared" si="135"/>
        <v/>
      </c>
      <c r="V148" s="23" t="str">
        <f t="shared" si="135"/>
        <v/>
      </c>
      <c r="W148" s="23" t="str">
        <f t="shared" si="135"/>
        <v/>
      </c>
      <c r="X148" s="23" t="str">
        <f t="shared" si="135"/>
        <v/>
      </c>
      <c r="Y148" s="23" t="str">
        <f t="shared" si="135"/>
        <v/>
      </c>
      <c r="Z148" s="23">
        <f t="shared" si="135"/>
        <v>1</v>
      </c>
      <c r="AA148" s="23" t="str">
        <f t="shared" si="135"/>
        <v/>
      </c>
      <c r="AB148" s="23" t="str">
        <f t="shared" si="135"/>
        <v/>
      </c>
      <c r="AC148" s="23" t="str">
        <f t="shared" si="135"/>
        <v/>
      </c>
      <c r="AD148" s="23" t="str">
        <f t="shared" si="135"/>
        <v/>
      </c>
      <c r="AE148" s="23" t="str">
        <f t="shared" si="136"/>
        <v/>
      </c>
      <c r="AF148" s="23" t="str">
        <f t="shared" si="136"/>
        <v/>
      </c>
      <c r="AG148" s="23" t="str">
        <f t="shared" si="136"/>
        <v/>
      </c>
      <c r="AH148" s="23" t="str">
        <f t="shared" si="136"/>
        <v/>
      </c>
      <c r="AI148" s="23" t="str">
        <f t="shared" si="136"/>
        <v/>
      </c>
      <c r="AJ148" s="23" t="str">
        <f t="shared" si="136"/>
        <v/>
      </c>
      <c r="AK148" s="23" t="str">
        <f t="shared" si="136"/>
        <v/>
      </c>
      <c r="AL148" s="23" t="str">
        <f t="shared" si="136"/>
        <v/>
      </c>
      <c r="AM148" s="23" t="str">
        <f t="shared" si="136"/>
        <v/>
      </c>
      <c r="AN148" s="23" t="str">
        <f t="shared" si="136"/>
        <v/>
      </c>
      <c r="AO148" s="23" t="str">
        <f t="shared" si="137"/>
        <v/>
      </c>
      <c r="AP148" s="23" t="str">
        <f t="shared" si="137"/>
        <v/>
      </c>
      <c r="AQ148" s="23" t="str">
        <f t="shared" si="137"/>
        <v/>
      </c>
      <c r="AR148" s="23" t="str">
        <f t="shared" si="137"/>
        <v/>
      </c>
      <c r="AS148" s="23" t="str">
        <f t="shared" si="137"/>
        <v/>
      </c>
      <c r="AT148" s="23" t="str">
        <f t="shared" si="137"/>
        <v/>
      </c>
      <c r="AU148" s="23" t="str">
        <f t="shared" si="137"/>
        <v/>
      </c>
      <c r="AV148" s="23" t="str">
        <f t="shared" si="137"/>
        <v/>
      </c>
      <c r="AW148" s="23" t="str">
        <f t="shared" si="137"/>
        <v/>
      </c>
      <c r="AX148" s="23" t="str">
        <f t="shared" si="137"/>
        <v/>
      </c>
      <c r="AY148" s="23" t="str">
        <f t="shared" si="138"/>
        <v/>
      </c>
      <c r="AZ148" s="23" t="str">
        <f t="shared" si="138"/>
        <v/>
      </c>
      <c r="BA148" s="23" t="str">
        <f t="shared" si="138"/>
        <v/>
      </c>
      <c r="BB148" s="23" t="str">
        <f t="shared" si="138"/>
        <v/>
      </c>
      <c r="BC148" s="23" t="str">
        <f t="shared" si="138"/>
        <v/>
      </c>
      <c r="BD148" s="23" t="str">
        <f t="shared" si="138"/>
        <v/>
      </c>
      <c r="BE148" s="23" t="str">
        <f t="shared" si="138"/>
        <v/>
      </c>
      <c r="BF148" s="23" t="str">
        <f t="shared" si="138"/>
        <v/>
      </c>
      <c r="BG148" s="23" t="str">
        <f t="shared" si="138"/>
        <v/>
      </c>
      <c r="BH148" s="23" t="str">
        <f t="shared" si="138"/>
        <v/>
      </c>
      <c r="BI148" s="23" t="str">
        <f t="shared" si="139"/>
        <v/>
      </c>
      <c r="BJ148" s="23" t="str">
        <f t="shared" si="139"/>
        <v/>
      </c>
      <c r="BK148" s="23" t="str">
        <f t="shared" si="139"/>
        <v/>
      </c>
      <c r="BL148" s="23" t="str">
        <f t="shared" si="139"/>
        <v/>
      </c>
      <c r="BM148" s="23" t="str">
        <f t="shared" si="139"/>
        <v/>
      </c>
      <c r="BN148" s="23" t="str">
        <f t="shared" si="139"/>
        <v/>
      </c>
      <c r="BO148" s="23" t="str">
        <f t="shared" si="139"/>
        <v/>
      </c>
      <c r="BP148" s="23" t="str">
        <f t="shared" si="139"/>
        <v/>
      </c>
      <c r="BQ148" s="23" t="str">
        <f t="shared" si="139"/>
        <v/>
      </c>
      <c r="BR148" s="23" t="str">
        <f t="shared" si="139"/>
        <v/>
      </c>
      <c r="BS148" s="23" t="str">
        <f t="shared" si="139"/>
        <v/>
      </c>
      <c r="BU148" s="29" t="s">
        <v>486</v>
      </c>
    </row>
    <row r="149" spans="1:73" ht="34" outlineLevel="1" x14ac:dyDescent="0.2">
      <c r="A149" s="6" t="s">
        <v>487</v>
      </c>
      <c r="B149" s="25" t="s">
        <v>488</v>
      </c>
      <c r="C149" s="6" t="s">
        <v>56</v>
      </c>
      <c r="D149" s="24" t="s">
        <v>128</v>
      </c>
      <c r="F149" s="6"/>
      <c r="G149" s="22">
        <v>17</v>
      </c>
      <c r="H149" s="22">
        <v>1</v>
      </c>
      <c r="I149" s="22">
        <f>MEDIAN($I$147,$J$147,$I$147+ROUND((G149-$G$147)/$H$147*($J$147-$I$147+1),0))</f>
        <v>17</v>
      </c>
      <c r="J149" s="22">
        <f>MEDIAN(I149,$J$147,$I$147+ROUND((G149+H149-$G$147)/$H$147*($J$147-$I$147+1),0)-1)</f>
        <v>17</v>
      </c>
      <c r="K149" s="23" t="str">
        <f t="shared" si="134"/>
        <v/>
      </c>
      <c r="L149" s="23" t="str">
        <f t="shared" si="134"/>
        <v/>
      </c>
      <c r="M149" s="23" t="str">
        <f t="shared" si="134"/>
        <v/>
      </c>
      <c r="N149" s="23" t="str">
        <f t="shared" si="134"/>
        <v/>
      </c>
      <c r="O149" s="23" t="str">
        <f t="shared" si="134"/>
        <v/>
      </c>
      <c r="P149" s="23" t="str">
        <f t="shared" si="134"/>
        <v/>
      </c>
      <c r="Q149" s="23" t="str">
        <f t="shared" si="134"/>
        <v/>
      </c>
      <c r="R149" s="23" t="str">
        <f t="shared" si="134"/>
        <v/>
      </c>
      <c r="S149" s="23" t="str">
        <f t="shared" si="134"/>
        <v/>
      </c>
      <c r="T149" s="23" t="str">
        <f t="shared" si="134"/>
        <v/>
      </c>
      <c r="U149" s="23" t="str">
        <f t="shared" si="135"/>
        <v/>
      </c>
      <c r="V149" s="23" t="str">
        <f t="shared" si="135"/>
        <v/>
      </c>
      <c r="W149" s="23" t="str">
        <f t="shared" si="135"/>
        <v/>
      </c>
      <c r="X149" s="23" t="str">
        <f t="shared" si="135"/>
        <v/>
      </c>
      <c r="Y149" s="23" t="str">
        <f t="shared" si="135"/>
        <v/>
      </c>
      <c r="Z149" s="23" t="str">
        <f t="shared" si="135"/>
        <v/>
      </c>
      <c r="AA149" s="23">
        <f t="shared" si="135"/>
        <v>1</v>
      </c>
      <c r="AB149" s="23" t="str">
        <f t="shared" si="135"/>
        <v/>
      </c>
      <c r="AC149" s="23" t="str">
        <f t="shared" si="135"/>
        <v/>
      </c>
      <c r="AD149" s="23" t="str">
        <f t="shared" si="135"/>
        <v/>
      </c>
      <c r="AE149" s="23" t="str">
        <f t="shared" si="136"/>
        <v/>
      </c>
      <c r="AF149" s="23" t="str">
        <f t="shared" si="136"/>
        <v/>
      </c>
      <c r="AG149" s="23" t="str">
        <f t="shared" si="136"/>
        <v/>
      </c>
      <c r="AH149" s="23" t="str">
        <f t="shared" si="136"/>
        <v/>
      </c>
      <c r="AI149" s="23" t="str">
        <f t="shared" si="136"/>
        <v/>
      </c>
      <c r="AJ149" s="23" t="str">
        <f t="shared" si="136"/>
        <v/>
      </c>
      <c r="AK149" s="23" t="str">
        <f t="shared" si="136"/>
        <v/>
      </c>
      <c r="AL149" s="23" t="str">
        <f t="shared" si="136"/>
        <v/>
      </c>
      <c r="AM149" s="23" t="str">
        <f t="shared" si="136"/>
        <v/>
      </c>
      <c r="AN149" s="23" t="str">
        <f t="shared" si="136"/>
        <v/>
      </c>
      <c r="AO149" s="23" t="str">
        <f t="shared" si="137"/>
        <v/>
      </c>
      <c r="AP149" s="23" t="str">
        <f t="shared" si="137"/>
        <v/>
      </c>
      <c r="AQ149" s="23" t="str">
        <f t="shared" si="137"/>
        <v/>
      </c>
      <c r="AR149" s="23" t="str">
        <f t="shared" si="137"/>
        <v/>
      </c>
      <c r="AS149" s="23" t="str">
        <f t="shared" si="137"/>
        <v/>
      </c>
      <c r="AT149" s="23" t="str">
        <f t="shared" si="137"/>
        <v/>
      </c>
      <c r="AU149" s="23" t="str">
        <f t="shared" si="137"/>
        <v/>
      </c>
      <c r="AV149" s="23" t="str">
        <f t="shared" si="137"/>
        <v/>
      </c>
      <c r="AW149" s="23" t="str">
        <f t="shared" si="137"/>
        <v/>
      </c>
      <c r="AX149" s="23" t="str">
        <f t="shared" si="137"/>
        <v/>
      </c>
      <c r="AY149" s="23" t="str">
        <f t="shared" si="138"/>
        <v/>
      </c>
      <c r="AZ149" s="23" t="str">
        <f t="shared" si="138"/>
        <v/>
      </c>
      <c r="BA149" s="23" t="str">
        <f t="shared" si="138"/>
        <v/>
      </c>
      <c r="BB149" s="23" t="str">
        <f t="shared" si="138"/>
        <v/>
      </c>
      <c r="BC149" s="23" t="str">
        <f t="shared" si="138"/>
        <v/>
      </c>
      <c r="BD149" s="23" t="str">
        <f t="shared" si="138"/>
        <v/>
      </c>
      <c r="BE149" s="23" t="str">
        <f t="shared" si="138"/>
        <v/>
      </c>
      <c r="BF149" s="23" t="str">
        <f t="shared" si="138"/>
        <v/>
      </c>
      <c r="BG149" s="23" t="str">
        <f t="shared" si="138"/>
        <v/>
      </c>
      <c r="BH149" s="23" t="str">
        <f t="shared" si="138"/>
        <v/>
      </c>
      <c r="BI149" s="23" t="str">
        <f t="shared" si="139"/>
        <v/>
      </c>
      <c r="BJ149" s="23" t="str">
        <f t="shared" si="139"/>
        <v/>
      </c>
      <c r="BK149" s="23" t="str">
        <f t="shared" si="139"/>
        <v/>
      </c>
      <c r="BL149" s="23" t="str">
        <f t="shared" si="139"/>
        <v/>
      </c>
      <c r="BM149" s="23" t="str">
        <f t="shared" si="139"/>
        <v/>
      </c>
      <c r="BN149" s="23" t="str">
        <f t="shared" si="139"/>
        <v/>
      </c>
      <c r="BO149" s="23" t="str">
        <f t="shared" si="139"/>
        <v/>
      </c>
      <c r="BP149" s="23" t="str">
        <f t="shared" si="139"/>
        <v/>
      </c>
      <c r="BQ149" s="23" t="str">
        <f t="shared" si="139"/>
        <v/>
      </c>
      <c r="BR149" s="23" t="str">
        <f t="shared" si="139"/>
        <v/>
      </c>
      <c r="BS149" s="23" t="str">
        <f t="shared" si="139"/>
        <v/>
      </c>
      <c r="BU149" s="29" t="s">
        <v>489</v>
      </c>
    </row>
    <row r="150" spans="1:73" ht="34" outlineLevel="1" x14ac:dyDescent="0.2">
      <c r="A150" s="6" t="s">
        <v>490</v>
      </c>
      <c r="B150" s="25" t="s">
        <v>491</v>
      </c>
      <c r="C150" s="6" t="s">
        <v>56</v>
      </c>
      <c r="D150" s="24" t="s">
        <v>128</v>
      </c>
      <c r="F150" s="6"/>
      <c r="G150" s="22">
        <v>18</v>
      </c>
      <c r="H150" s="22">
        <v>1</v>
      </c>
      <c r="I150" s="22">
        <f>MEDIAN($I$147,$J$147,$I$147+ROUND((G150-$G$147)/$H$147*($J$147-$I$147+1),0))</f>
        <v>18</v>
      </c>
      <c r="J150" s="22">
        <f>MEDIAN(I150,$J$147,$I$147+ROUND((G150+H150-$G$147)/$H$147*($J$147-$I$147+1),0)-1)</f>
        <v>18</v>
      </c>
      <c r="K150" s="23" t="str">
        <f t="shared" si="134"/>
        <v/>
      </c>
      <c r="L150" s="23" t="str">
        <f t="shared" si="134"/>
        <v/>
      </c>
      <c r="M150" s="23" t="str">
        <f t="shared" si="134"/>
        <v/>
      </c>
      <c r="N150" s="23" t="str">
        <f t="shared" si="134"/>
        <v/>
      </c>
      <c r="O150" s="23" t="str">
        <f t="shared" si="134"/>
        <v/>
      </c>
      <c r="P150" s="23" t="str">
        <f t="shared" si="134"/>
        <v/>
      </c>
      <c r="Q150" s="23" t="str">
        <f t="shared" si="134"/>
        <v/>
      </c>
      <c r="R150" s="23" t="str">
        <f t="shared" si="134"/>
        <v/>
      </c>
      <c r="S150" s="23" t="str">
        <f t="shared" si="134"/>
        <v/>
      </c>
      <c r="T150" s="23" t="str">
        <f t="shared" si="134"/>
        <v/>
      </c>
      <c r="U150" s="23" t="str">
        <f t="shared" si="135"/>
        <v/>
      </c>
      <c r="V150" s="23" t="str">
        <f t="shared" si="135"/>
        <v/>
      </c>
      <c r="W150" s="23" t="str">
        <f t="shared" si="135"/>
        <v/>
      </c>
      <c r="X150" s="23" t="str">
        <f t="shared" si="135"/>
        <v/>
      </c>
      <c r="Y150" s="23" t="str">
        <f t="shared" si="135"/>
        <v/>
      </c>
      <c r="Z150" s="23" t="str">
        <f t="shared" si="135"/>
        <v/>
      </c>
      <c r="AA150" s="23" t="str">
        <f t="shared" si="135"/>
        <v/>
      </c>
      <c r="AB150" s="23">
        <f t="shared" si="135"/>
        <v>1</v>
      </c>
      <c r="AC150" s="23" t="str">
        <f t="shared" si="135"/>
        <v/>
      </c>
      <c r="AD150" s="23" t="str">
        <f t="shared" si="135"/>
        <v/>
      </c>
      <c r="AE150" s="23" t="str">
        <f t="shared" si="136"/>
        <v/>
      </c>
      <c r="AF150" s="23" t="str">
        <f t="shared" si="136"/>
        <v/>
      </c>
      <c r="AG150" s="23" t="str">
        <f t="shared" si="136"/>
        <v/>
      </c>
      <c r="AH150" s="23" t="str">
        <f t="shared" si="136"/>
        <v/>
      </c>
      <c r="AI150" s="23" t="str">
        <f t="shared" si="136"/>
        <v/>
      </c>
      <c r="AJ150" s="23" t="str">
        <f t="shared" si="136"/>
        <v/>
      </c>
      <c r="AK150" s="23" t="str">
        <f t="shared" si="136"/>
        <v/>
      </c>
      <c r="AL150" s="23" t="str">
        <f t="shared" si="136"/>
        <v/>
      </c>
      <c r="AM150" s="23" t="str">
        <f t="shared" si="136"/>
        <v/>
      </c>
      <c r="AN150" s="23" t="str">
        <f t="shared" si="136"/>
        <v/>
      </c>
      <c r="AO150" s="23" t="str">
        <f t="shared" si="137"/>
        <v/>
      </c>
      <c r="AP150" s="23" t="str">
        <f t="shared" si="137"/>
        <v/>
      </c>
      <c r="AQ150" s="23" t="str">
        <f t="shared" si="137"/>
        <v/>
      </c>
      <c r="AR150" s="23" t="str">
        <f t="shared" si="137"/>
        <v/>
      </c>
      <c r="AS150" s="23" t="str">
        <f t="shared" si="137"/>
        <v/>
      </c>
      <c r="AT150" s="23" t="str">
        <f t="shared" si="137"/>
        <v/>
      </c>
      <c r="AU150" s="23" t="str">
        <f t="shared" si="137"/>
        <v/>
      </c>
      <c r="AV150" s="23" t="str">
        <f t="shared" si="137"/>
        <v/>
      </c>
      <c r="AW150" s="23" t="str">
        <f t="shared" si="137"/>
        <v/>
      </c>
      <c r="AX150" s="23" t="str">
        <f t="shared" si="137"/>
        <v/>
      </c>
      <c r="AY150" s="23" t="str">
        <f t="shared" si="138"/>
        <v/>
      </c>
      <c r="AZ150" s="23" t="str">
        <f t="shared" si="138"/>
        <v/>
      </c>
      <c r="BA150" s="23" t="str">
        <f t="shared" si="138"/>
        <v/>
      </c>
      <c r="BB150" s="23" t="str">
        <f t="shared" si="138"/>
        <v/>
      </c>
      <c r="BC150" s="23" t="str">
        <f t="shared" si="138"/>
        <v/>
      </c>
      <c r="BD150" s="23" t="str">
        <f t="shared" si="138"/>
        <v/>
      </c>
      <c r="BE150" s="23" t="str">
        <f t="shared" si="138"/>
        <v/>
      </c>
      <c r="BF150" s="23" t="str">
        <f t="shared" si="138"/>
        <v/>
      </c>
      <c r="BG150" s="23" t="str">
        <f t="shared" si="138"/>
        <v/>
      </c>
      <c r="BH150" s="23" t="str">
        <f t="shared" si="138"/>
        <v/>
      </c>
      <c r="BI150" s="23" t="str">
        <f t="shared" si="139"/>
        <v/>
      </c>
      <c r="BJ150" s="23" t="str">
        <f t="shared" si="139"/>
        <v/>
      </c>
      <c r="BK150" s="23" t="str">
        <f t="shared" si="139"/>
        <v/>
      </c>
      <c r="BL150" s="23" t="str">
        <f t="shared" si="139"/>
        <v/>
      </c>
      <c r="BM150" s="23" t="str">
        <f t="shared" si="139"/>
        <v/>
      </c>
      <c r="BN150" s="23" t="str">
        <f t="shared" si="139"/>
        <v/>
      </c>
      <c r="BO150" s="23" t="str">
        <f t="shared" si="139"/>
        <v/>
      </c>
      <c r="BP150" s="23" t="str">
        <f t="shared" si="139"/>
        <v/>
      </c>
      <c r="BQ150" s="23" t="str">
        <f t="shared" si="139"/>
        <v/>
      </c>
      <c r="BR150" s="23" t="str">
        <f t="shared" si="139"/>
        <v/>
      </c>
      <c r="BS150" s="23" t="str">
        <f t="shared" si="139"/>
        <v/>
      </c>
      <c r="BU150" s="29" t="s">
        <v>492</v>
      </c>
    </row>
    <row r="151" spans="1:73" ht="34" outlineLevel="1" x14ac:dyDescent="0.2">
      <c r="A151" s="6" t="s">
        <v>493</v>
      </c>
      <c r="B151" s="25" t="s">
        <v>494</v>
      </c>
      <c r="C151" s="6" t="s">
        <v>56</v>
      </c>
      <c r="D151" s="24" t="s">
        <v>128</v>
      </c>
      <c r="F151" s="6"/>
      <c r="G151" s="22">
        <v>19</v>
      </c>
      <c r="H151" s="22">
        <v>1</v>
      </c>
      <c r="I151" s="22">
        <f>MEDIAN($I$147,$J$147,$I$147+ROUND((G151-$G$147)/$H$147*($J$147-$I$147+1),0))</f>
        <v>19</v>
      </c>
      <c r="J151" s="22">
        <f>MEDIAN(I151,$J$147,$I$147+ROUND((G151+H151-$G$147)/$H$147*($J$147-$I$147+1),0)-1)</f>
        <v>19</v>
      </c>
      <c r="K151" s="23" t="str">
        <f t="shared" si="134"/>
        <v/>
      </c>
      <c r="L151" s="23" t="str">
        <f t="shared" si="134"/>
        <v/>
      </c>
      <c r="M151" s="23" t="str">
        <f t="shared" si="134"/>
        <v/>
      </c>
      <c r="N151" s="23" t="str">
        <f t="shared" si="134"/>
        <v/>
      </c>
      <c r="O151" s="23" t="str">
        <f t="shared" si="134"/>
        <v/>
      </c>
      <c r="P151" s="23" t="str">
        <f t="shared" si="134"/>
        <v/>
      </c>
      <c r="Q151" s="23" t="str">
        <f t="shared" si="134"/>
        <v/>
      </c>
      <c r="R151" s="23" t="str">
        <f t="shared" si="134"/>
        <v/>
      </c>
      <c r="S151" s="23" t="str">
        <f t="shared" si="134"/>
        <v/>
      </c>
      <c r="T151" s="23" t="str">
        <f t="shared" si="134"/>
        <v/>
      </c>
      <c r="U151" s="23" t="str">
        <f t="shared" si="135"/>
        <v/>
      </c>
      <c r="V151" s="23" t="str">
        <f t="shared" si="135"/>
        <v/>
      </c>
      <c r="W151" s="23" t="str">
        <f t="shared" si="135"/>
        <v/>
      </c>
      <c r="X151" s="23" t="str">
        <f t="shared" si="135"/>
        <v/>
      </c>
      <c r="Y151" s="23" t="str">
        <f t="shared" si="135"/>
        <v/>
      </c>
      <c r="Z151" s="23" t="str">
        <f t="shared" si="135"/>
        <v/>
      </c>
      <c r="AA151" s="23" t="str">
        <f t="shared" si="135"/>
        <v/>
      </c>
      <c r="AB151" s="23" t="str">
        <f t="shared" si="135"/>
        <v/>
      </c>
      <c r="AC151" s="23">
        <f t="shared" si="135"/>
        <v>1</v>
      </c>
      <c r="AD151" s="23" t="str">
        <f t="shared" si="135"/>
        <v/>
      </c>
      <c r="AE151" s="23" t="str">
        <f t="shared" si="136"/>
        <v/>
      </c>
      <c r="AF151" s="23" t="str">
        <f t="shared" si="136"/>
        <v/>
      </c>
      <c r="AG151" s="23" t="str">
        <f t="shared" si="136"/>
        <v/>
      </c>
      <c r="AH151" s="23" t="str">
        <f t="shared" si="136"/>
        <v/>
      </c>
      <c r="AI151" s="23" t="str">
        <f t="shared" si="136"/>
        <v/>
      </c>
      <c r="AJ151" s="23" t="str">
        <f t="shared" si="136"/>
        <v/>
      </c>
      <c r="AK151" s="23" t="str">
        <f t="shared" si="136"/>
        <v/>
      </c>
      <c r="AL151" s="23" t="str">
        <f t="shared" si="136"/>
        <v/>
      </c>
      <c r="AM151" s="23" t="str">
        <f t="shared" si="136"/>
        <v/>
      </c>
      <c r="AN151" s="23" t="str">
        <f t="shared" si="136"/>
        <v/>
      </c>
      <c r="AO151" s="23" t="str">
        <f t="shared" si="137"/>
        <v/>
      </c>
      <c r="AP151" s="23" t="str">
        <f t="shared" si="137"/>
        <v/>
      </c>
      <c r="AQ151" s="23" t="str">
        <f t="shared" si="137"/>
        <v/>
      </c>
      <c r="AR151" s="23" t="str">
        <f t="shared" si="137"/>
        <v/>
      </c>
      <c r="AS151" s="23" t="str">
        <f t="shared" si="137"/>
        <v/>
      </c>
      <c r="AT151" s="23" t="str">
        <f t="shared" si="137"/>
        <v/>
      </c>
      <c r="AU151" s="23" t="str">
        <f t="shared" si="137"/>
        <v/>
      </c>
      <c r="AV151" s="23" t="str">
        <f t="shared" si="137"/>
        <v/>
      </c>
      <c r="AW151" s="23" t="str">
        <f t="shared" si="137"/>
        <v/>
      </c>
      <c r="AX151" s="23" t="str">
        <f t="shared" si="137"/>
        <v/>
      </c>
      <c r="AY151" s="23" t="str">
        <f t="shared" si="138"/>
        <v/>
      </c>
      <c r="AZ151" s="23" t="str">
        <f t="shared" si="138"/>
        <v/>
      </c>
      <c r="BA151" s="23" t="str">
        <f t="shared" si="138"/>
        <v/>
      </c>
      <c r="BB151" s="23" t="str">
        <f t="shared" si="138"/>
        <v/>
      </c>
      <c r="BC151" s="23" t="str">
        <f t="shared" si="138"/>
        <v/>
      </c>
      <c r="BD151" s="23" t="str">
        <f t="shared" si="138"/>
        <v/>
      </c>
      <c r="BE151" s="23" t="str">
        <f t="shared" si="138"/>
        <v/>
      </c>
      <c r="BF151" s="23" t="str">
        <f t="shared" si="138"/>
        <v/>
      </c>
      <c r="BG151" s="23" t="str">
        <f t="shared" si="138"/>
        <v/>
      </c>
      <c r="BH151" s="23" t="str">
        <f t="shared" si="138"/>
        <v/>
      </c>
      <c r="BI151" s="23" t="str">
        <f t="shared" si="139"/>
        <v/>
      </c>
      <c r="BJ151" s="23" t="str">
        <f t="shared" si="139"/>
        <v/>
      </c>
      <c r="BK151" s="23" t="str">
        <f t="shared" si="139"/>
        <v/>
      </c>
      <c r="BL151" s="23" t="str">
        <f t="shared" si="139"/>
        <v/>
      </c>
      <c r="BM151" s="23" t="str">
        <f t="shared" si="139"/>
        <v/>
      </c>
      <c r="BN151" s="23" t="str">
        <f t="shared" si="139"/>
        <v/>
      </c>
      <c r="BO151" s="23" t="str">
        <f t="shared" si="139"/>
        <v/>
      </c>
      <c r="BP151" s="23" t="str">
        <f t="shared" si="139"/>
        <v/>
      </c>
      <c r="BQ151" s="23" t="str">
        <f t="shared" si="139"/>
        <v/>
      </c>
      <c r="BR151" s="23" t="str">
        <f t="shared" si="139"/>
        <v/>
      </c>
      <c r="BS151" s="23" t="str">
        <f t="shared" si="139"/>
        <v/>
      </c>
      <c r="BU151" s="29" t="s">
        <v>495</v>
      </c>
    </row>
    <row r="152" spans="1:73" ht="34" outlineLevel="1" x14ac:dyDescent="0.2">
      <c r="A152" s="6" t="s">
        <v>496</v>
      </c>
      <c r="B152" s="25" t="s">
        <v>497</v>
      </c>
      <c r="C152" s="6" t="s">
        <v>56</v>
      </c>
      <c r="D152" s="24" t="s">
        <v>128</v>
      </c>
      <c r="F152" s="6" t="s">
        <v>490</v>
      </c>
      <c r="G152" s="22">
        <v>20</v>
      </c>
      <c r="H152" s="22">
        <v>2</v>
      </c>
      <c r="I152" s="22">
        <f>MEDIAN($I$147,$J$147,$I$147+ROUND((G152-$G$147)/$H$147*($J$147-$I$147+1),0))</f>
        <v>20</v>
      </c>
      <c r="J152" s="22">
        <f>MEDIAN(I152,$J$147,$I$147+ROUND((G152+H152-$G$147)/$H$147*($J$147-$I$147+1),0)-1)</f>
        <v>21</v>
      </c>
      <c r="K152" s="23" t="str">
        <f t="shared" si="134"/>
        <v/>
      </c>
      <c r="L152" s="23" t="str">
        <f t="shared" si="134"/>
        <v/>
      </c>
      <c r="M152" s="23" t="str">
        <f t="shared" si="134"/>
        <v/>
      </c>
      <c r="N152" s="23" t="str">
        <f t="shared" si="134"/>
        <v/>
      </c>
      <c r="O152" s="23" t="str">
        <f t="shared" si="134"/>
        <v/>
      </c>
      <c r="P152" s="23" t="str">
        <f t="shared" si="134"/>
        <v/>
      </c>
      <c r="Q152" s="23" t="str">
        <f t="shared" si="134"/>
        <v/>
      </c>
      <c r="R152" s="23" t="str">
        <f t="shared" si="134"/>
        <v/>
      </c>
      <c r="S152" s="23" t="str">
        <f t="shared" si="134"/>
        <v/>
      </c>
      <c r="T152" s="23" t="str">
        <f t="shared" si="134"/>
        <v/>
      </c>
      <c r="U152" s="23" t="str">
        <f t="shared" si="135"/>
        <v/>
      </c>
      <c r="V152" s="23" t="str">
        <f t="shared" si="135"/>
        <v/>
      </c>
      <c r="W152" s="23" t="str">
        <f t="shared" si="135"/>
        <v/>
      </c>
      <c r="X152" s="23" t="str">
        <f t="shared" si="135"/>
        <v/>
      </c>
      <c r="Y152" s="23" t="str">
        <f t="shared" si="135"/>
        <v/>
      </c>
      <c r="Z152" s="23" t="str">
        <f t="shared" si="135"/>
        <v/>
      </c>
      <c r="AA152" s="23" t="str">
        <f t="shared" si="135"/>
        <v/>
      </c>
      <c r="AB152" s="23" t="str">
        <f t="shared" si="135"/>
        <v/>
      </c>
      <c r="AC152" s="23" t="str">
        <f t="shared" si="135"/>
        <v/>
      </c>
      <c r="AD152" s="23">
        <f t="shared" si="135"/>
        <v>1</v>
      </c>
      <c r="AE152" s="23">
        <f t="shared" si="136"/>
        <v>1</v>
      </c>
      <c r="AF152" s="23" t="str">
        <f t="shared" si="136"/>
        <v/>
      </c>
      <c r="AG152" s="23" t="str">
        <f t="shared" si="136"/>
        <v/>
      </c>
      <c r="AH152" s="23" t="str">
        <f t="shared" si="136"/>
        <v/>
      </c>
      <c r="AI152" s="23" t="str">
        <f t="shared" si="136"/>
        <v/>
      </c>
      <c r="AJ152" s="23" t="str">
        <f t="shared" si="136"/>
        <v/>
      </c>
      <c r="AK152" s="23" t="str">
        <f t="shared" si="136"/>
        <v/>
      </c>
      <c r="AL152" s="23" t="str">
        <f t="shared" si="136"/>
        <v/>
      </c>
      <c r="AM152" s="23" t="str">
        <f t="shared" si="136"/>
        <v/>
      </c>
      <c r="AN152" s="23" t="str">
        <f t="shared" si="136"/>
        <v/>
      </c>
      <c r="AO152" s="23" t="str">
        <f t="shared" si="137"/>
        <v/>
      </c>
      <c r="AP152" s="23" t="str">
        <f t="shared" si="137"/>
        <v/>
      </c>
      <c r="AQ152" s="23" t="str">
        <f t="shared" si="137"/>
        <v/>
      </c>
      <c r="AR152" s="23" t="str">
        <f t="shared" si="137"/>
        <v/>
      </c>
      <c r="AS152" s="23" t="str">
        <f t="shared" si="137"/>
        <v/>
      </c>
      <c r="AT152" s="23" t="str">
        <f t="shared" si="137"/>
        <v/>
      </c>
      <c r="AU152" s="23" t="str">
        <f t="shared" si="137"/>
        <v/>
      </c>
      <c r="AV152" s="23" t="str">
        <f t="shared" si="137"/>
        <v/>
      </c>
      <c r="AW152" s="23" t="str">
        <f t="shared" si="137"/>
        <v/>
      </c>
      <c r="AX152" s="23" t="str">
        <f t="shared" si="137"/>
        <v/>
      </c>
      <c r="AY152" s="23" t="str">
        <f t="shared" si="138"/>
        <v/>
      </c>
      <c r="AZ152" s="23" t="str">
        <f t="shared" si="138"/>
        <v/>
      </c>
      <c r="BA152" s="23" t="str">
        <f t="shared" si="138"/>
        <v/>
      </c>
      <c r="BB152" s="23" t="str">
        <f t="shared" si="138"/>
        <v/>
      </c>
      <c r="BC152" s="23" t="str">
        <f t="shared" si="138"/>
        <v/>
      </c>
      <c r="BD152" s="23" t="str">
        <f t="shared" si="138"/>
        <v/>
      </c>
      <c r="BE152" s="23" t="str">
        <f t="shared" si="138"/>
        <v/>
      </c>
      <c r="BF152" s="23" t="str">
        <f t="shared" si="138"/>
        <v/>
      </c>
      <c r="BG152" s="23" t="str">
        <f t="shared" si="138"/>
        <v/>
      </c>
      <c r="BH152" s="23" t="str">
        <f t="shared" si="138"/>
        <v/>
      </c>
      <c r="BI152" s="23" t="str">
        <f t="shared" si="139"/>
        <v/>
      </c>
      <c r="BJ152" s="23" t="str">
        <f t="shared" si="139"/>
        <v/>
      </c>
      <c r="BK152" s="23" t="str">
        <f t="shared" si="139"/>
        <v/>
      </c>
      <c r="BL152" s="23" t="str">
        <f t="shared" si="139"/>
        <v/>
      </c>
      <c r="BM152" s="23" t="str">
        <f t="shared" si="139"/>
        <v/>
      </c>
      <c r="BN152" s="23" t="str">
        <f t="shared" si="139"/>
        <v/>
      </c>
      <c r="BO152" s="23" t="str">
        <f t="shared" si="139"/>
        <v/>
      </c>
      <c r="BP152" s="23" t="str">
        <f t="shared" si="139"/>
        <v/>
      </c>
      <c r="BQ152" s="23" t="str">
        <f t="shared" si="139"/>
        <v/>
      </c>
      <c r="BR152" s="23" t="str">
        <f t="shared" si="139"/>
        <v/>
      </c>
      <c r="BS152" s="23" t="str">
        <f t="shared" si="139"/>
        <v/>
      </c>
      <c r="BU152" s="29" t="s">
        <v>498</v>
      </c>
    </row>
    <row r="153" spans="1:73" x14ac:dyDescent="0.2">
      <c r="BU153" s="30"/>
    </row>
    <row r="154" spans="1:73" ht="17" x14ac:dyDescent="0.2">
      <c r="A154" s="19" t="s">
        <v>499</v>
      </c>
      <c r="B154" s="20" t="s">
        <v>500</v>
      </c>
      <c r="C154" s="19" t="s">
        <v>55</v>
      </c>
      <c r="D154" s="21" t="s">
        <v>117</v>
      </c>
      <c r="E154" s="19" t="s">
        <v>71</v>
      </c>
      <c r="F154" s="19"/>
      <c r="G154" s="22">
        <v>22</v>
      </c>
      <c r="H154" s="22">
        <v>4</v>
      </c>
      <c r="I154" s="22">
        <f>MIN(61,IF(G154&lt;=29,ROUND((G154-1)*(29+SlipWeeks)/29,0)+1,G154+SlipWeeks))</f>
        <v>22</v>
      </c>
      <c r="J154" s="22">
        <f>MIN(61,IF(G154+H154-1&lt;=29,MAX(ROUND((G154+H154-1)*(29+SlipWeeks)/29,0),I154),G154+H154-1+SlipWeeks))</f>
        <v>25</v>
      </c>
      <c r="K154" s="23" t="str">
        <f t="shared" ref="K154:T158" si="140">IF(AND(K$4&gt;=$I154,K$4&lt;=$J154),1,"")</f>
        <v/>
      </c>
      <c r="L154" s="23" t="str">
        <f t="shared" si="140"/>
        <v/>
      </c>
      <c r="M154" s="23" t="str">
        <f t="shared" si="140"/>
        <v/>
      </c>
      <c r="N154" s="23" t="str">
        <f t="shared" si="140"/>
        <v/>
      </c>
      <c r="O154" s="23" t="str">
        <f t="shared" si="140"/>
        <v/>
      </c>
      <c r="P154" s="23" t="str">
        <f t="shared" si="140"/>
        <v/>
      </c>
      <c r="Q154" s="23" t="str">
        <f t="shared" si="140"/>
        <v/>
      </c>
      <c r="R154" s="23" t="str">
        <f t="shared" si="140"/>
        <v/>
      </c>
      <c r="S154" s="23" t="str">
        <f t="shared" si="140"/>
        <v/>
      </c>
      <c r="T154" s="23" t="str">
        <f t="shared" si="140"/>
        <v/>
      </c>
      <c r="U154" s="23" t="str">
        <f t="shared" ref="U154:AD158" si="141">IF(AND(U$4&gt;=$I154,U$4&lt;=$J154),1,"")</f>
        <v/>
      </c>
      <c r="V154" s="23" t="str">
        <f t="shared" si="141"/>
        <v/>
      </c>
      <c r="W154" s="23" t="str">
        <f t="shared" si="141"/>
        <v/>
      </c>
      <c r="X154" s="23" t="str">
        <f t="shared" si="141"/>
        <v/>
      </c>
      <c r="Y154" s="23" t="str">
        <f t="shared" si="141"/>
        <v/>
      </c>
      <c r="Z154" s="23" t="str">
        <f t="shared" si="141"/>
        <v/>
      </c>
      <c r="AA154" s="23" t="str">
        <f t="shared" si="141"/>
        <v/>
      </c>
      <c r="AB154" s="23" t="str">
        <f t="shared" si="141"/>
        <v/>
      </c>
      <c r="AC154" s="23" t="str">
        <f t="shared" si="141"/>
        <v/>
      </c>
      <c r="AD154" s="23" t="str">
        <f t="shared" si="141"/>
        <v/>
      </c>
      <c r="AE154" s="23" t="str">
        <f t="shared" ref="AE154:AN158" si="142">IF(AND(AE$4&gt;=$I154,AE$4&lt;=$J154),1,"")</f>
        <v/>
      </c>
      <c r="AF154" s="23">
        <f t="shared" si="142"/>
        <v>1</v>
      </c>
      <c r="AG154" s="23">
        <f t="shared" si="142"/>
        <v>1</v>
      </c>
      <c r="AH154" s="23">
        <f t="shared" si="142"/>
        <v>1</v>
      </c>
      <c r="AI154" s="23">
        <f t="shared" si="142"/>
        <v>1</v>
      </c>
      <c r="AJ154" s="23" t="str">
        <f t="shared" si="142"/>
        <v/>
      </c>
      <c r="AK154" s="23" t="str">
        <f t="shared" si="142"/>
        <v/>
      </c>
      <c r="AL154" s="23" t="str">
        <f t="shared" si="142"/>
        <v/>
      </c>
      <c r="AM154" s="23" t="str">
        <f t="shared" si="142"/>
        <v/>
      </c>
      <c r="AN154" s="23" t="str">
        <f t="shared" si="142"/>
        <v/>
      </c>
      <c r="AO154" s="23" t="str">
        <f t="shared" ref="AO154:AX158" si="143">IF(AND(AO$4&gt;=$I154,AO$4&lt;=$J154),1,"")</f>
        <v/>
      </c>
      <c r="AP154" s="23" t="str">
        <f t="shared" si="143"/>
        <v/>
      </c>
      <c r="AQ154" s="23" t="str">
        <f t="shared" si="143"/>
        <v/>
      </c>
      <c r="AR154" s="23" t="str">
        <f t="shared" si="143"/>
        <v/>
      </c>
      <c r="AS154" s="23" t="str">
        <f t="shared" si="143"/>
        <v/>
      </c>
      <c r="AT154" s="23" t="str">
        <f t="shared" si="143"/>
        <v/>
      </c>
      <c r="AU154" s="23" t="str">
        <f t="shared" si="143"/>
        <v/>
      </c>
      <c r="AV154" s="23" t="str">
        <f t="shared" si="143"/>
        <v/>
      </c>
      <c r="AW154" s="23" t="str">
        <f t="shared" si="143"/>
        <v/>
      </c>
      <c r="AX154" s="23" t="str">
        <f t="shared" si="143"/>
        <v/>
      </c>
      <c r="AY154" s="23" t="str">
        <f t="shared" ref="AY154:BH158" si="144">IF(AND(AY$4&gt;=$I154,AY$4&lt;=$J154),1,"")</f>
        <v/>
      </c>
      <c r="AZ154" s="23" t="str">
        <f t="shared" si="144"/>
        <v/>
      </c>
      <c r="BA154" s="23" t="str">
        <f t="shared" si="144"/>
        <v/>
      </c>
      <c r="BB154" s="23" t="str">
        <f t="shared" si="144"/>
        <v/>
      </c>
      <c r="BC154" s="23" t="str">
        <f t="shared" si="144"/>
        <v/>
      </c>
      <c r="BD154" s="23" t="str">
        <f t="shared" si="144"/>
        <v/>
      </c>
      <c r="BE154" s="23" t="str">
        <f t="shared" si="144"/>
        <v/>
      </c>
      <c r="BF154" s="23" t="str">
        <f t="shared" si="144"/>
        <v/>
      </c>
      <c r="BG154" s="23" t="str">
        <f t="shared" si="144"/>
        <v/>
      </c>
      <c r="BH154" s="23" t="str">
        <f t="shared" si="144"/>
        <v/>
      </c>
      <c r="BI154" s="23" t="str">
        <f t="shared" ref="BI154:BS158" si="145">IF(AND(BI$4&gt;=$I154,BI$4&lt;=$J154),1,"")</f>
        <v/>
      </c>
      <c r="BJ154" s="23" t="str">
        <f t="shared" si="145"/>
        <v/>
      </c>
      <c r="BK154" s="23" t="str">
        <f t="shared" si="145"/>
        <v/>
      </c>
      <c r="BL154" s="23" t="str">
        <f t="shared" si="145"/>
        <v/>
      </c>
      <c r="BM154" s="23" t="str">
        <f t="shared" si="145"/>
        <v/>
      </c>
      <c r="BN154" s="23" t="str">
        <f t="shared" si="145"/>
        <v/>
      </c>
      <c r="BO154" s="23" t="str">
        <f t="shared" si="145"/>
        <v/>
      </c>
      <c r="BP154" s="23" t="str">
        <f t="shared" si="145"/>
        <v/>
      </c>
      <c r="BQ154" s="23" t="str">
        <f t="shared" si="145"/>
        <v/>
      </c>
      <c r="BR154" s="23" t="str">
        <f t="shared" si="145"/>
        <v/>
      </c>
      <c r="BS154" s="23" t="str">
        <f t="shared" si="145"/>
        <v/>
      </c>
      <c r="BT154" s="24" t="str">
        <f>IF(IF(G154+H154-1&lt;=29,MAX(ROUND((G154+H154-1)*(29+SlipWeeks)/29,0),$I154),G154+H154-1+SlipWeeks)&gt;61,"▶ clipped","")</f>
        <v/>
      </c>
      <c r="BU154" s="29" t="s">
        <v>501</v>
      </c>
    </row>
    <row r="155" spans="1:73" ht="17" outlineLevel="1" x14ac:dyDescent="0.2">
      <c r="A155" s="6" t="s">
        <v>502</v>
      </c>
      <c r="B155" s="25" t="s">
        <v>503</v>
      </c>
      <c r="C155" s="6" t="s">
        <v>55</v>
      </c>
      <c r="D155" s="24" t="s">
        <v>121</v>
      </c>
      <c r="F155" s="6"/>
      <c r="G155" s="22">
        <v>22</v>
      </c>
      <c r="H155" s="22">
        <v>1</v>
      </c>
      <c r="I155" s="22">
        <f>MEDIAN($I$154,$J$154,$I$154+ROUND((G155-$G$154)/$H$154*($J$154-$I$154+1),0))</f>
        <v>22</v>
      </c>
      <c r="J155" s="22">
        <f>MEDIAN(I155,$J$154,$I$154+ROUND((G155+H155-$G$154)/$H$154*($J$154-$I$154+1),0)-1)</f>
        <v>22</v>
      </c>
      <c r="K155" s="23" t="str">
        <f t="shared" si="140"/>
        <v/>
      </c>
      <c r="L155" s="23" t="str">
        <f t="shared" si="140"/>
        <v/>
      </c>
      <c r="M155" s="23" t="str">
        <f t="shared" si="140"/>
        <v/>
      </c>
      <c r="N155" s="23" t="str">
        <f t="shared" si="140"/>
        <v/>
      </c>
      <c r="O155" s="23" t="str">
        <f t="shared" si="140"/>
        <v/>
      </c>
      <c r="P155" s="23" t="str">
        <f t="shared" si="140"/>
        <v/>
      </c>
      <c r="Q155" s="23" t="str">
        <f t="shared" si="140"/>
        <v/>
      </c>
      <c r="R155" s="23" t="str">
        <f t="shared" si="140"/>
        <v/>
      </c>
      <c r="S155" s="23" t="str">
        <f t="shared" si="140"/>
        <v/>
      </c>
      <c r="T155" s="23" t="str">
        <f t="shared" si="140"/>
        <v/>
      </c>
      <c r="U155" s="23" t="str">
        <f t="shared" si="141"/>
        <v/>
      </c>
      <c r="V155" s="23" t="str">
        <f t="shared" si="141"/>
        <v/>
      </c>
      <c r="W155" s="23" t="str">
        <f t="shared" si="141"/>
        <v/>
      </c>
      <c r="X155" s="23" t="str">
        <f t="shared" si="141"/>
        <v/>
      </c>
      <c r="Y155" s="23" t="str">
        <f t="shared" si="141"/>
        <v/>
      </c>
      <c r="Z155" s="23" t="str">
        <f t="shared" si="141"/>
        <v/>
      </c>
      <c r="AA155" s="23" t="str">
        <f t="shared" si="141"/>
        <v/>
      </c>
      <c r="AB155" s="23" t="str">
        <f t="shared" si="141"/>
        <v/>
      </c>
      <c r="AC155" s="23" t="str">
        <f t="shared" si="141"/>
        <v/>
      </c>
      <c r="AD155" s="23" t="str">
        <f t="shared" si="141"/>
        <v/>
      </c>
      <c r="AE155" s="23" t="str">
        <f t="shared" si="142"/>
        <v/>
      </c>
      <c r="AF155" s="23">
        <f t="shared" si="142"/>
        <v>1</v>
      </c>
      <c r="AG155" s="23" t="str">
        <f t="shared" si="142"/>
        <v/>
      </c>
      <c r="AH155" s="23" t="str">
        <f t="shared" si="142"/>
        <v/>
      </c>
      <c r="AI155" s="23" t="str">
        <f t="shared" si="142"/>
        <v/>
      </c>
      <c r="AJ155" s="23" t="str">
        <f t="shared" si="142"/>
        <v/>
      </c>
      <c r="AK155" s="23" t="str">
        <f t="shared" si="142"/>
        <v/>
      </c>
      <c r="AL155" s="23" t="str">
        <f t="shared" si="142"/>
        <v/>
      </c>
      <c r="AM155" s="23" t="str">
        <f t="shared" si="142"/>
        <v/>
      </c>
      <c r="AN155" s="23" t="str">
        <f t="shared" si="142"/>
        <v/>
      </c>
      <c r="AO155" s="23" t="str">
        <f t="shared" si="143"/>
        <v/>
      </c>
      <c r="AP155" s="23" t="str">
        <f t="shared" si="143"/>
        <v/>
      </c>
      <c r="AQ155" s="23" t="str">
        <f t="shared" si="143"/>
        <v/>
      </c>
      <c r="AR155" s="23" t="str">
        <f t="shared" si="143"/>
        <v/>
      </c>
      <c r="AS155" s="23" t="str">
        <f t="shared" si="143"/>
        <v/>
      </c>
      <c r="AT155" s="23" t="str">
        <f t="shared" si="143"/>
        <v/>
      </c>
      <c r="AU155" s="23" t="str">
        <f t="shared" si="143"/>
        <v/>
      </c>
      <c r="AV155" s="23" t="str">
        <f t="shared" si="143"/>
        <v/>
      </c>
      <c r="AW155" s="23" t="str">
        <f t="shared" si="143"/>
        <v/>
      </c>
      <c r="AX155" s="23" t="str">
        <f t="shared" si="143"/>
        <v/>
      </c>
      <c r="AY155" s="23" t="str">
        <f t="shared" si="144"/>
        <v/>
      </c>
      <c r="AZ155" s="23" t="str">
        <f t="shared" si="144"/>
        <v/>
      </c>
      <c r="BA155" s="23" t="str">
        <f t="shared" si="144"/>
        <v/>
      </c>
      <c r="BB155" s="23" t="str">
        <f t="shared" si="144"/>
        <v/>
      </c>
      <c r="BC155" s="23" t="str">
        <f t="shared" si="144"/>
        <v/>
      </c>
      <c r="BD155" s="23" t="str">
        <f t="shared" si="144"/>
        <v/>
      </c>
      <c r="BE155" s="23" t="str">
        <f t="shared" si="144"/>
        <v/>
      </c>
      <c r="BF155" s="23" t="str">
        <f t="shared" si="144"/>
        <v/>
      </c>
      <c r="BG155" s="23" t="str">
        <f t="shared" si="144"/>
        <v/>
      </c>
      <c r="BH155" s="23" t="str">
        <f t="shared" si="144"/>
        <v/>
      </c>
      <c r="BI155" s="23" t="str">
        <f t="shared" si="145"/>
        <v/>
      </c>
      <c r="BJ155" s="23" t="str">
        <f t="shared" si="145"/>
        <v/>
      </c>
      <c r="BK155" s="23" t="str">
        <f t="shared" si="145"/>
        <v/>
      </c>
      <c r="BL155" s="23" t="str">
        <f t="shared" si="145"/>
        <v/>
      </c>
      <c r="BM155" s="23" t="str">
        <f t="shared" si="145"/>
        <v/>
      </c>
      <c r="BN155" s="23" t="str">
        <f t="shared" si="145"/>
        <v/>
      </c>
      <c r="BO155" s="23" t="str">
        <f t="shared" si="145"/>
        <v/>
      </c>
      <c r="BP155" s="23" t="str">
        <f t="shared" si="145"/>
        <v/>
      </c>
      <c r="BQ155" s="23" t="str">
        <f t="shared" si="145"/>
        <v/>
      </c>
      <c r="BR155" s="23" t="str">
        <f t="shared" si="145"/>
        <v/>
      </c>
      <c r="BS155" s="23" t="str">
        <f t="shared" si="145"/>
        <v/>
      </c>
      <c r="BU155" s="29" t="s">
        <v>504</v>
      </c>
    </row>
    <row r="156" spans="1:73" ht="34" outlineLevel="1" x14ac:dyDescent="0.2">
      <c r="A156" s="6" t="s">
        <v>505</v>
      </c>
      <c r="B156" s="25" t="s">
        <v>506</v>
      </c>
      <c r="C156" s="6" t="s">
        <v>55</v>
      </c>
      <c r="D156" s="24" t="s">
        <v>121</v>
      </c>
      <c r="F156" s="6" t="s">
        <v>502</v>
      </c>
      <c r="G156" s="22">
        <v>23</v>
      </c>
      <c r="H156" s="22">
        <v>1</v>
      </c>
      <c r="I156" s="22">
        <f>MEDIAN($I$154,$J$154,$I$154+ROUND((G156-$G$154)/$H$154*($J$154-$I$154+1),0))</f>
        <v>23</v>
      </c>
      <c r="J156" s="22">
        <f>MEDIAN(I156,$J$154,$I$154+ROUND((G156+H156-$G$154)/$H$154*($J$154-$I$154+1),0)-1)</f>
        <v>23</v>
      </c>
      <c r="K156" s="23" t="str">
        <f t="shared" si="140"/>
        <v/>
      </c>
      <c r="L156" s="23" t="str">
        <f t="shared" si="140"/>
        <v/>
      </c>
      <c r="M156" s="23" t="str">
        <f t="shared" si="140"/>
        <v/>
      </c>
      <c r="N156" s="23" t="str">
        <f t="shared" si="140"/>
        <v/>
      </c>
      <c r="O156" s="23" t="str">
        <f t="shared" si="140"/>
        <v/>
      </c>
      <c r="P156" s="23" t="str">
        <f t="shared" si="140"/>
        <v/>
      </c>
      <c r="Q156" s="23" t="str">
        <f t="shared" si="140"/>
        <v/>
      </c>
      <c r="R156" s="23" t="str">
        <f t="shared" si="140"/>
        <v/>
      </c>
      <c r="S156" s="23" t="str">
        <f t="shared" si="140"/>
        <v/>
      </c>
      <c r="T156" s="23" t="str">
        <f t="shared" si="140"/>
        <v/>
      </c>
      <c r="U156" s="23" t="str">
        <f t="shared" si="141"/>
        <v/>
      </c>
      <c r="V156" s="23" t="str">
        <f t="shared" si="141"/>
        <v/>
      </c>
      <c r="W156" s="23" t="str">
        <f t="shared" si="141"/>
        <v/>
      </c>
      <c r="X156" s="23" t="str">
        <f t="shared" si="141"/>
        <v/>
      </c>
      <c r="Y156" s="23" t="str">
        <f t="shared" si="141"/>
        <v/>
      </c>
      <c r="Z156" s="23" t="str">
        <f t="shared" si="141"/>
        <v/>
      </c>
      <c r="AA156" s="23" t="str">
        <f t="shared" si="141"/>
        <v/>
      </c>
      <c r="AB156" s="23" t="str">
        <f t="shared" si="141"/>
        <v/>
      </c>
      <c r="AC156" s="23" t="str">
        <f t="shared" si="141"/>
        <v/>
      </c>
      <c r="AD156" s="23" t="str">
        <f t="shared" si="141"/>
        <v/>
      </c>
      <c r="AE156" s="23" t="str">
        <f t="shared" si="142"/>
        <v/>
      </c>
      <c r="AF156" s="23" t="str">
        <f t="shared" si="142"/>
        <v/>
      </c>
      <c r="AG156" s="23">
        <f t="shared" si="142"/>
        <v>1</v>
      </c>
      <c r="AH156" s="23" t="str">
        <f t="shared" si="142"/>
        <v/>
      </c>
      <c r="AI156" s="23" t="str">
        <f t="shared" si="142"/>
        <v/>
      </c>
      <c r="AJ156" s="23" t="str">
        <f t="shared" si="142"/>
        <v/>
      </c>
      <c r="AK156" s="23" t="str">
        <f t="shared" si="142"/>
        <v/>
      </c>
      <c r="AL156" s="23" t="str">
        <f t="shared" si="142"/>
        <v/>
      </c>
      <c r="AM156" s="23" t="str">
        <f t="shared" si="142"/>
        <v/>
      </c>
      <c r="AN156" s="23" t="str">
        <f t="shared" si="142"/>
        <v/>
      </c>
      <c r="AO156" s="23" t="str">
        <f t="shared" si="143"/>
        <v/>
      </c>
      <c r="AP156" s="23" t="str">
        <f t="shared" si="143"/>
        <v/>
      </c>
      <c r="AQ156" s="23" t="str">
        <f t="shared" si="143"/>
        <v/>
      </c>
      <c r="AR156" s="23" t="str">
        <f t="shared" si="143"/>
        <v/>
      </c>
      <c r="AS156" s="23" t="str">
        <f t="shared" si="143"/>
        <v/>
      </c>
      <c r="AT156" s="23" t="str">
        <f t="shared" si="143"/>
        <v/>
      </c>
      <c r="AU156" s="23" t="str">
        <f t="shared" si="143"/>
        <v/>
      </c>
      <c r="AV156" s="23" t="str">
        <f t="shared" si="143"/>
        <v/>
      </c>
      <c r="AW156" s="23" t="str">
        <f t="shared" si="143"/>
        <v/>
      </c>
      <c r="AX156" s="23" t="str">
        <f t="shared" si="143"/>
        <v/>
      </c>
      <c r="AY156" s="23" t="str">
        <f t="shared" si="144"/>
        <v/>
      </c>
      <c r="AZ156" s="23" t="str">
        <f t="shared" si="144"/>
        <v/>
      </c>
      <c r="BA156" s="23" t="str">
        <f t="shared" si="144"/>
        <v/>
      </c>
      <c r="BB156" s="23" t="str">
        <f t="shared" si="144"/>
        <v/>
      </c>
      <c r="BC156" s="23" t="str">
        <f t="shared" si="144"/>
        <v/>
      </c>
      <c r="BD156" s="23" t="str">
        <f t="shared" si="144"/>
        <v/>
      </c>
      <c r="BE156" s="23" t="str">
        <f t="shared" si="144"/>
        <v/>
      </c>
      <c r="BF156" s="23" t="str">
        <f t="shared" si="144"/>
        <v/>
      </c>
      <c r="BG156" s="23" t="str">
        <f t="shared" si="144"/>
        <v/>
      </c>
      <c r="BH156" s="23" t="str">
        <f t="shared" si="144"/>
        <v/>
      </c>
      <c r="BI156" s="23" t="str">
        <f t="shared" si="145"/>
        <v/>
      </c>
      <c r="BJ156" s="23" t="str">
        <f t="shared" si="145"/>
        <v/>
      </c>
      <c r="BK156" s="23" t="str">
        <f t="shared" si="145"/>
        <v/>
      </c>
      <c r="BL156" s="23" t="str">
        <f t="shared" si="145"/>
        <v/>
      </c>
      <c r="BM156" s="23" t="str">
        <f t="shared" si="145"/>
        <v/>
      </c>
      <c r="BN156" s="23" t="str">
        <f t="shared" si="145"/>
        <v/>
      </c>
      <c r="BO156" s="23" t="str">
        <f t="shared" si="145"/>
        <v/>
      </c>
      <c r="BP156" s="23" t="str">
        <f t="shared" si="145"/>
        <v/>
      </c>
      <c r="BQ156" s="23" t="str">
        <f t="shared" si="145"/>
        <v/>
      </c>
      <c r="BR156" s="23" t="str">
        <f t="shared" si="145"/>
        <v/>
      </c>
      <c r="BS156" s="23" t="str">
        <f t="shared" si="145"/>
        <v/>
      </c>
      <c r="BU156" s="29" t="s">
        <v>507</v>
      </c>
    </row>
    <row r="157" spans="1:73" ht="17" outlineLevel="1" x14ac:dyDescent="0.2">
      <c r="A157" s="6" t="s">
        <v>508</v>
      </c>
      <c r="B157" s="25" t="s">
        <v>509</v>
      </c>
      <c r="C157" s="6" t="s">
        <v>55</v>
      </c>
      <c r="D157" s="24" t="s">
        <v>121</v>
      </c>
      <c r="F157" s="6" t="s">
        <v>505</v>
      </c>
      <c r="G157" s="22">
        <v>24</v>
      </c>
      <c r="H157" s="22">
        <v>1</v>
      </c>
      <c r="I157" s="22">
        <f>MEDIAN($I$154,$J$154,$I$154+ROUND((G157-$G$154)/$H$154*($J$154-$I$154+1),0))</f>
        <v>24</v>
      </c>
      <c r="J157" s="22">
        <f>MEDIAN(I157,$J$154,$I$154+ROUND((G157+H157-$G$154)/$H$154*($J$154-$I$154+1),0)-1)</f>
        <v>24</v>
      </c>
      <c r="K157" s="23" t="str">
        <f t="shared" si="140"/>
        <v/>
      </c>
      <c r="L157" s="23" t="str">
        <f t="shared" si="140"/>
        <v/>
      </c>
      <c r="M157" s="23" t="str">
        <f t="shared" si="140"/>
        <v/>
      </c>
      <c r="N157" s="23" t="str">
        <f t="shared" si="140"/>
        <v/>
      </c>
      <c r="O157" s="23" t="str">
        <f t="shared" si="140"/>
        <v/>
      </c>
      <c r="P157" s="23" t="str">
        <f t="shared" si="140"/>
        <v/>
      </c>
      <c r="Q157" s="23" t="str">
        <f t="shared" si="140"/>
        <v/>
      </c>
      <c r="R157" s="23" t="str">
        <f t="shared" si="140"/>
        <v/>
      </c>
      <c r="S157" s="23" t="str">
        <f t="shared" si="140"/>
        <v/>
      </c>
      <c r="T157" s="23" t="str">
        <f t="shared" si="140"/>
        <v/>
      </c>
      <c r="U157" s="23" t="str">
        <f t="shared" si="141"/>
        <v/>
      </c>
      <c r="V157" s="23" t="str">
        <f t="shared" si="141"/>
        <v/>
      </c>
      <c r="W157" s="23" t="str">
        <f t="shared" si="141"/>
        <v/>
      </c>
      <c r="X157" s="23" t="str">
        <f t="shared" si="141"/>
        <v/>
      </c>
      <c r="Y157" s="23" t="str">
        <f t="shared" si="141"/>
        <v/>
      </c>
      <c r="Z157" s="23" t="str">
        <f t="shared" si="141"/>
        <v/>
      </c>
      <c r="AA157" s="23" t="str">
        <f t="shared" si="141"/>
        <v/>
      </c>
      <c r="AB157" s="23" t="str">
        <f t="shared" si="141"/>
        <v/>
      </c>
      <c r="AC157" s="23" t="str">
        <f t="shared" si="141"/>
        <v/>
      </c>
      <c r="AD157" s="23" t="str">
        <f t="shared" si="141"/>
        <v/>
      </c>
      <c r="AE157" s="23" t="str">
        <f t="shared" si="142"/>
        <v/>
      </c>
      <c r="AF157" s="23" t="str">
        <f t="shared" si="142"/>
        <v/>
      </c>
      <c r="AG157" s="23" t="str">
        <f t="shared" si="142"/>
        <v/>
      </c>
      <c r="AH157" s="23">
        <f t="shared" si="142"/>
        <v>1</v>
      </c>
      <c r="AI157" s="23" t="str">
        <f t="shared" si="142"/>
        <v/>
      </c>
      <c r="AJ157" s="23" t="str">
        <f t="shared" si="142"/>
        <v/>
      </c>
      <c r="AK157" s="23" t="str">
        <f t="shared" si="142"/>
        <v/>
      </c>
      <c r="AL157" s="23" t="str">
        <f t="shared" si="142"/>
        <v/>
      </c>
      <c r="AM157" s="23" t="str">
        <f t="shared" si="142"/>
        <v/>
      </c>
      <c r="AN157" s="23" t="str">
        <f t="shared" si="142"/>
        <v/>
      </c>
      <c r="AO157" s="23" t="str">
        <f t="shared" si="143"/>
        <v/>
      </c>
      <c r="AP157" s="23" t="str">
        <f t="shared" si="143"/>
        <v/>
      </c>
      <c r="AQ157" s="23" t="str">
        <f t="shared" si="143"/>
        <v/>
      </c>
      <c r="AR157" s="23" t="str">
        <f t="shared" si="143"/>
        <v/>
      </c>
      <c r="AS157" s="23" t="str">
        <f t="shared" si="143"/>
        <v/>
      </c>
      <c r="AT157" s="23" t="str">
        <f t="shared" si="143"/>
        <v/>
      </c>
      <c r="AU157" s="23" t="str">
        <f t="shared" si="143"/>
        <v/>
      </c>
      <c r="AV157" s="23" t="str">
        <f t="shared" si="143"/>
        <v/>
      </c>
      <c r="AW157" s="23" t="str">
        <f t="shared" si="143"/>
        <v/>
      </c>
      <c r="AX157" s="23" t="str">
        <f t="shared" si="143"/>
        <v/>
      </c>
      <c r="AY157" s="23" t="str">
        <f t="shared" si="144"/>
        <v/>
      </c>
      <c r="AZ157" s="23" t="str">
        <f t="shared" si="144"/>
        <v/>
      </c>
      <c r="BA157" s="23" t="str">
        <f t="shared" si="144"/>
        <v/>
      </c>
      <c r="BB157" s="23" t="str">
        <f t="shared" si="144"/>
        <v/>
      </c>
      <c r="BC157" s="23" t="str">
        <f t="shared" si="144"/>
        <v/>
      </c>
      <c r="BD157" s="23" t="str">
        <f t="shared" si="144"/>
        <v/>
      </c>
      <c r="BE157" s="23" t="str">
        <f t="shared" si="144"/>
        <v/>
      </c>
      <c r="BF157" s="23" t="str">
        <f t="shared" si="144"/>
        <v/>
      </c>
      <c r="BG157" s="23" t="str">
        <f t="shared" si="144"/>
        <v/>
      </c>
      <c r="BH157" s="23" t="str">
        <f t="shared" si="144"/>
        <v/>
      </c>
      <c r="BI157" s="23" t="str">
        <f t="shared" si="145"/>
        <v/>
      </c>
      <c r="BJ157" s="23" t="str">
        <f t="shared" si="145"/>
        <v/>
      </c>
      <c r="BK157" s="23" t="str">
        <f t="shared" si="145"/>
        <v/>
      </c>
      <c r="BL157" s="23" t="str">
        <f t="shared" si="145"/>
        <v/>
      </c>
      <c r="BM157" s="23" t="str">
        <f t="shared" si="145"/>
        <v/>
      </c>
      <c r="BN157" s="23" t="str">
        <f t="shared" si="145"/>
        <v/>
      </c>
      <c r="BO157" s="23" t="str">
        <f t="shared" si="145"/>
        <v/>
      </c>
      <c r="BP157" s="23" t="str">
        <f t="shared" si="145"/>
        <v/>
      </c>
      <c r="BQ157" s="23" t="str">
        <f t="shared" si="145"/>
        <v/>
      </c>
      <c r="BR157" s="23" t="str">
        <f t="shared" si="145"/>
        <v/>
      </c>
      <c r="BS157" s="23" t="str">
        <f t="shared" si="145"/>
        <v/>
      </c>
      <c r="BU157" s="29" t="s">
        <v>510</v>
      </c>
    </row>
    <row r="158" spans="1:73" ht="34" outlineLevel="1" x14ac:dyDescent="0.2">
      <c r="A158" s="6" t="s">
        <v>511</v>
      </c>
      <c r="B158" s="25" t="s">
        <v>512</v>
      </c>
      <c r="C158" s="6" t="s">
        <v>55</v>
      </c>
      <c r="D158" s="24" t="s">
        <v>121</v>
      </c>
      <c r="F158" s="6" t="s">
        <v>508</v>
      </c>
      <c r="G158" s="22">
        <v>25</v>
      </c>
      <c r="H158" s="22">
        <v>1</v>
      </c>
      <c r="I158" s="22">
        <f>MEDIAN($I$154,$J$154,$I$154+ROUND((G158-$G$154)/$H$154*($J$154-$I$154+1),0))</f>
        <v>25</v>
      </c>
      <c r="J158" s="22">
        <f>MEDIAN(I158,$J$154,$I$154+ROUND((G158+H158-$G$154)/$H$154*($J$154-$I$154+1),0)-1)</f>
        <v>25</v>
      </c>
      <c r="K158" s="23" t="str">
        <f t="shared" si="140"/>
        <v/>
      </c>
      <c r="L158" s="23" t="str">
        <f t="shared" si="140"/>
        <v/>
      </c>
      <c r="M158" s="23" t="str">
        <f t="shared" si="140"/>
        <v/>
      </c>
      <c r="N158" s="23" t="str">
        <f t="shared" si="140"/>
        <v/>
      </c>
      <c r="O158" s="23" t="str">
        <f t="shared" si="140"/>
        <v/>
      </c>
      <c r="P158" s="23" t="str">
        <f t="shared" si="140"/>
        <v/>
      </c>
      <c r="Q158" s="23" t="str">
        <f t="shared" si="140"/>
        <v/>
      </c>
      <c r="R158" s="23" t="str">
        <f t="shared" si="140"/>
        <v/>
      </c>
      <c r="S158" s="23" t="str">
        <f t="shared" si="140"/>
        <v/>
      </c>
      <c r="T158" s="23" t="str">
        <f t="shared" si="140"/>
        <v/>
      </c>
      <c r="U158" s="23" t="str">
        <f t="shared" si="141"/>
        <v/>
      </c>
      <c r="V158" s="23" t="str">
        <f t="shared" si="141"/>
        <v/>
      </c>
      <c r="W158" s="23" t="str">
        <f t="shared" si="141"/>
        <v/>
      </c>
      <c r="X158" s="23" t="str">
        <f t="shared" si="141"/>
        <v/>
      </c>
      <c r="Y158" s="23" t="str">
        <f t="shared" si="141"/>
        <v/>
      </c>
      <c r="Z158" s="23" t="str">
        <f t="shared" si="141"/>
        <v/>
      </c>
      <c r="AA158" s="23" t="str">
        <f t="shared" si="141"/>
        <v/>
      </c>
      <c r="AB158" s="23" t="str">
        <f t="shared" si="141"/>
        <v/>
      </c>
      <c r="AC158" s="23" t="str">
        <f t="shared" si="141"/>
        <v/>
      </c>
      <c r="AD158" s="23" t="str">
        <f t="shared" si="141"/>
        <v/>
      </c>
      <c r="AE158" s="23" t="str">
        <f t="shared" si="142"/>
        <v/>
      </c>
      <c r="AF158" s="23" t="str">
        <f t="shared" si="142"/>
        <v/>
      </c>
      <c r="AG158" s="23" t="str">
        <f t="shared" si="142"/>
        <v/>
      </c>
      <c r="AH158" s="23" t="str">
        <f t="shared" si="142"/>
        <v/>
      </c>
      <c r="AI158" s="23">
        <f t="shared" si="142"/>
        <v>1</v>
      </c>
      <c r="AJ158" s="23" t="str">
        <f t="shared" si="142"/>
        <v/>
      </c>
      <c r="AK158" s="23" t="str">
        <f t="shared" si="142"/>
        <v/>
      </c>
      <c r="AL158" s="23" t="str">
        <f t="shared" si="142"/>
        <v/>
      </c>
      <c r="AM158" s="23" t="str">
        <f t="shared" si="142"/>
        <v/>
      </c>
      <c r="AN158" s="23" t="str">
        <f t="shared" si="142"/>
        <v/>
      </c>
      <c r="AO158" s="23" t="str">
        <f t="shared" si="143"/>
        <v/>
      </c>
      <c r="AP158" s="23" t="str">
        <f t="shared" si="143"/>
        <v/>
      </c>
      <c r="AQ158" s="23" t="str">
        <f t="shared" si="143"/>
        <v/>
      </c>
      <c r="AR158" s="23" t="str">
        <f t="shared" si="143"/>
        <v/>
      </c>
      <c r="AS158" s="23" t="str">
        <f t="shared" si="143"/>
        <v/>
      </c>
      <c r="AT158" s="23" t="str">
        <f t="shared" si="143"/>
        <v/>
      </c>
      <c r="AU158" s="23" t="str">
        <f t="shared" si="143"/>
        <v/>
      </c>
      <c r="AV158" s="23" t="str">
        <f t="shared" si="143"/>
        <v/>
      </c>
      <c r="AW158" s="23" t="str">
        <f t="shared" si="143"/>
        <v/>
      </c>
      <c r="AX158" s="23" t="str">
        <f t="shared" si="143"/>
        <v/>
      </c>
      <c r="AY158" s="23" t="str">
        <f t="shared" si="144"/>
        <v/>
      </c>
      <c r="AZ158" s="23" t="str">
        <f t="shared" si="144"/>
        <v/>
      </c>
      <c r="BA158" s="23" t="str">
        <f t="shared" si="144"/>
        <v/>
      </c>
      <c r="BB158" s="23" t="str">
        <f t="shared" si="144"/>
        <v/>
      </c>
      <c r="BC158" s="23" t="str">
        <f t="shared" si="144"/>
        <v/>
      </c>
      <c r="BD158" s="23" t="str">
        <f t="shared" si="144"/>
        <v/>
      </c>
      <c r="BE158" s="23" t="str">
        <f t="shared" si="144"/>
        <v/>
      </c>
      <c r="BF158" s="23" t="str">
        <f t="shared" si="144"/>
        <v/>
      </c>
      <c r="BG158" s="23" t="str">
        <f t="shared" si="144"/>
        <v/>
      </c>
      <c r="BH158" s="23" t="str">
        <f t="shared" si="144"/>
        <v/>
      </c>
      <c r="BI158" s="23" t="str">
        <f t="shared" si="145"/>
        <v/>
      </c>
      <c r="BJ158" s="23" t="str">
        <f t="shared" si="145"/>
        <v/>
      </c>
      <c r="BK158" s="23" t="str">
        <f t="shared" si="145"/>
        <v/>
      </c>
      <c r="BL158" s="23" t="str">
        <f t="shared" si="145"/>
        <v/>
      </c>
      <c r="BM158" s="23" t="str">
        <f t="shared" si="145"/>
        <v/>
      </c>
      <c r="BN158" s="23" t="str">
        <f t="shared" si="145"/>
        <v/>
      </c>
      <c r="BO158" s="23" t="str">
        <f t="shared" si="145"/>
        <v/>
      </c>
      <c r="BP158" s="23" t="str">
        <f t="shared" si="145"/>
        <v/>
      </c>
      <c r="BQ158" s="23" t="str">
        <f t="shared" si="145"/>
        <v/>
      </c>
      <c r="BR158" s="23" t="str">
        <f t="shared" si="145"/>
        <v/>
      </c>
      <c r="BS158" s="23" t="str">
        <f t="shared" si="145"/>
        <v/>
      </c>
      <c r="BU158" s="29" t="s">
        <v>513</v>
      </c>
    </row>
    <row r="159" spans="1:73" x14ac:dyDescent="0.2">
      <c r="BU159" s="30"/>
    </row>
    <row r="160" spans="1:73" ht="17" x14ac:dyDescent="0.2">
      <c r="A160" s="19" t="s">
        <v>514</v>
      </c>
      <c r="B160" s="20" t="s">
        <v>515</v>
      </c>
      <c r="C160" s="19" t="s">
        <v>55</v>
      </c>
      <c r="D160" s="21" t="s">
        <v>117</v>
      </c>
      <c r="E160" s="19" t="s">
        <v>71</v>
      </c>
      <c r="F160" s="19"/>
      <c r="G160" s="22">
        <v>22</v>
      </c>
      <c r="H160" s="22">
        <v>4</v>
      </c>
      <c r="I160" s="22">
        <f>MIN(61,IF(G160&lt;=29,ROUND((G160-1)*(29+SlipWeeks)/29,0)+1,G160+SlipWeeks))</f>
        <v>22</v>
      </c>
      <c r="J160" s="22">
        <f>MIN(61,IF(G160+H160-1&lt;=29,MAX(ROUND((G160+H160-1)*(29+SlipWeeks)/29,0),I160),G160+H160-1+SlipWeeks))</f>
        <v>25</v>
      </c>
      <c r="K160" s="23" t="str">
        <f t="shared" ref="K160:T164" si="146">IF(AND(K$4&gt;=$I160,K$4&lt;=$J160),1,"")</f>
        <v/>
      </c>
      <c r="L160" s="23" t="str">
        <f t="shared" si="146"/>
        <v/>
      </c>
      <c r="M160" s="23" t="str">
        <f t="shared" si="146"/>
        <v/>
      </c>
      <c r="N160" s="23" t="str">
        <f t="shared" si="146"/>
        <v/>
      </c>
      <c r="O160" s="23" t="str">
        <f t="shared" si="146"/>
        <v/>
      </c>
      <c r="P160" s="23" t="str">
        <f t="shared" si="146"/>
        <v/>
      </c>
      <c r="Q160" s="23" t="str">
        <f t="shared" si="146"/>
        <v/>
      </c>
      <c r="R160" s="23" t="str">
        <f t="shared" si="146"/>
        <v/>
      </c>
      <c r="S160" s="23" t="str">
        <f t="shared" si="146"/>
        <v/>
      </c>
      <c r="T160" s="23" t="str">
        <f t="shared" si="146"/>
        <v/>
      </c>
      <c r="U160" s="23" t="str">
        <f t="shared" ref="U160:AD164" si="147">IF(AND(U$4&gt;=$I160,U$4&lt;=$J160),1,"")</f>
        <v/>
      </c>
      <c r="V160" s="23" t="str">
        <f t="shared" si="147"/>
        <v/>
      </c>
      <c r="W160" s="23" t="str">
        <f t="shared" si="147"/>
        <v/>
      </c>
      <c r="X160" s="23" t="str">
        <f t="shared" si="147"/>
        <v/>
      </c>
      <c r="Y160" s="23" t="str">
        <f t="shared" si="147"/>
        <v/>
      </c>
      <c r="Z160" s="23" t="str">
        <f t="shared" si="147"/>
        <v/>
      </c>
      <c r="AA160" s="23" t="str">
        <f t="shared" si="147"/>
        <v/>
      </c>
      <c r="AB160" s="23" t="str">
        <f t="shared" si="147"/>
        <v/>
      </c>
      <c r="AC160" s="23" t="str">
        <f t="shared" si="147"/>
        <v/>
      </c>
      <c r="AD160" s="23" t="str">
        <f t="shared" si="147"/>
        <v/>
      </c>
      <c r="AE160" s="23" t="str">
        <f t="shared" ref="AE160:AN164" si="148">IF(AND(AE$4&gt;=$I160,AE$4&lt;=$J160),1,"")</f>
        <v/>
      </c>
      <c r="AF160" s="23">
        <f t="shared" si="148"/>
        <v>1</v>
      </c>
      <c r="AG160" s="23">
        <f t="shared" si="148"/>
        <v>1</v>
      </c>
      <c r="AH160" s="23">
        <f t="shared" si="148"/>
        <v>1</v>
      </c>
      <c r="AI160" s="23">
        <f t="shared" si="148"/>
        <v>1</v>
      </c>
      <c r="AJ160" s="23" t="str">
        <f t="shared" si="148"/>
        <v/>
      </c>
      <c r="AK160" s="23" t="str">
        <f t="shared" si="148"/>
        <v/>
      </c>
      <c r="AL160" s="23" t="str">
        <f t="shared" si="148"/>
        <v/>
      </c>
      <c r="AM160" s="23" t="str">
        <f t="shared" si="148"/>
        <v/>
      </c>
      <c r="AN160" s="23" t="str">
        <f t="shared" si="148"/>
        <v/>
      </c>
      <c r="AO160" s="23" t="str">
        <f t="shared" ref="AO160:AX164" si="149">IF(AND(AO$4&gt;=$I160,AO$4&lt;=$J160),1,"")</f>
        <v/>
      </c>
      <c r="AP160" s="23" t="str">
        <f t="shared" si="149"/>
        <v/>
      </c>
      <c r="AQ160" s="23" t="str">
        <f t="shared" si="149"/>
        <v/>
      </c>
      <c r="AR160" s="23" t="str">
        <f t="shared" si="149"/>
        <v/>
      </c>
      <c r="AS160" s="23" t="str">
        <f t="shared" si="149"/>
        <v/>
      </c>
      <c r="AT160" s="23" t="str">
        <f t="shared" si="149"/>
        <v/>
      </c>
      <c r="AU160" s="23" t="str">
        <f t="shared" si="149"/>
        <v/>
      </c>
      <c r="AV160" s="23" t="str">
        <f t="shared" si="149"/>
        <v/>
      </c>
      <c r="AW160" s="23" t="str">
        <f t="shared" si="149"/>
        <v/>
      </c>
      <c r="AX160" s="23" t="str">
        <f t="shared" si="149"/>
        <v/>
      </c>
      <c r="AY160" s="23" t="str">
        <f t="shared" ref="AY160:BH164" si="150">IF(AND(AY$4&gt;=$I160,AY$4&lt;=$J160),1,"")</f>
        <v/>
      </c>
      <c r="AZ160" s="23" t="str">
        <f t="shared" si="150"/>
        <v/>
      </c>
      <c r="BA160" s="23" t="str">
        <f t="shared" si="150"/>
        <v/>
      </c>
      <c r="BB160" s="23" t="str">
        <f t="shared" si="150"/>
        <v/>
      </c>
      <c r="BC160" s="23" t="str">
        <f t="shared" si="150"/>
        <v/>
      </c>
      <c r="BD160" s="23" t="str">
        <f t="shared" si="150"/>
        <v/>
      </c>
      <c r="BE160" s="23" t="str">
        <f t="shared" si="150"/>
        <v/>
      </c>
      <c r="BF160" s="23" t="str">
        <f t="shared" si="150"/>
        <v/>
      </c>
      <c r="BG160" s="23" t="str">
        <f t="shared" si="150"/>
        <v/>
      </c>
      <c r="BH160" s="23" t="str">
        <f t="shared" si="150"/>
        <v/>
      </c>
      <c r="BI160" s="23" t="str">
        <f t="shared" ref="BI160:BS164" si="151">IF(AND(BI$4&gt;=$I160,BI$4&lt;=$J160),1,"")</f>
        <v/>
      </c>
      <c r="BJ160" s="23" t="str">
        <f t="shared" si="151"/>
        <v/>
      </c>
      <c r="BK160" s="23" t="str">
        <f t="shared" si="151"/>
        <v/>
      </c>
      <c r="BL160" s="23" t="str">
        <f t="shared" si="151"/>
        <v/>
      </c>
      <c r="BM160" s="23" t="str">
        <f t="shared" si="151"/>
        <v/>
      </c>
      <c r="BN160" s="23" t="str">
        <f t="shared" si="151"/>
        <v/>
      </c>
      <c r="BO160" s="23" t="str">
        <f t="shared" si="151"/>
        <v/>
      </c>
      <c r="BP160" s="23" t="str">
        <f t="shared" si="151"/>
        <v/>
      </c>
      <c r="BQ160" s="23" t="str">
        <f t="shared" si="151"/>
        <v/>
      </c>
      <c r="BR160" s="23" t="str">
        <f t="shared" si="151"/>
        <v/>
      </c>
      <c r="BS160" s="23" t="str">
        <f t="shared" si="151"/>
        <v/>
      </c>
      <c r="BT160" s="24" t="str">
        <f>IF(IF(G160+H160-1&lt;=29,MAX(ROUND((G160+H160-1)*(29+SlipWeeks)/29,0),$I160),G160+H160-1+SlipWeeks)&gt;61,"▶ clipped","")</f>
        <v/>
      </c>
      <c r="BU160" s="29" t="s">
        <v>516</v>
      </c>
    </row>
    <row r="161" spans="1:73" ht="17" outlineLevel="1" x14ac:dyDescent="0.2">
      <c r="A161" s="6" t="s">
        <v>517</v>
      </c>
      <c r="B161" s="25" t="s">
        <v>518</v>
      </c>
      <c r="C161" s="6" t="s">
        <v>55</v>
      </c>
      <c r="D161" s="24" t="s">
        <v>121</v>
      </c>
      <c r="F161" s="6"/>
      <c r="G161" s="22">
        <v>22</v>
      </c>
      <c r="H161" s="22">
        <v>1</v>
      </c>
      <c r="I161" s="22">
        <f>MEDIAN($I$160,$J$160,$I$160+ROUND((G161-$G$160)/$H$160*($J$160-$I$160+1),0))</f>
        <v>22</v>
      </c>
      <c r="J161" s="22">
        <f>MEDIAN(I161,$J$160,$I$160+ROUND((G161+H161-$G$160)/$H$160*($J$160-$I$160+1),0)-1)</f>
        <v>22</v>
      </c>
      <c r="K161" s="23" t="str">
        <f t="shared" si="146"/>
        <v/>
      </c>
      <c r="L161" s="23" t="str">
        <f t="shared" si="146"/>
        <v/>
      </c>
      <c r="M161" s="23" t="str">
        <f t="shared" si="146"/>
        <v/>
      </c>
      <c r="N161" s="23" t="str">
        <f t="shared" si="146"/>
        <v/>
      </c>
      <c r="O161" s="23" t="str">
        <f t="shared" si="146"/>
        <v/>
      </c>
      <c r="P161" s="23" t="str">
        <f t="shared" si="146"/>
        <v/>
      </c>
      <c r="Q161" s="23" t="str">
        <f t="shared" si="146"/>
        <v/>
      </c>
      <c r="R161" s="23" t="str">
        <f t="shared" si="146"/>
        <v/>
      </c>
      <c r="S161" s="23" t="str">
        <f t="shared" si="146"/>
        <v/>
      </c>
      <c r="T161" s="23" t="str">
        <f t="shared" si="146"/>
        <v/>
      </c>
      <c r="U161" s="23" t="str">
        <f t="shared" si="147"/>
        <v/>
      </c>
      <c r="V161" s="23" t="str">
        <f t="shared" si="147"/>
        <v/>
      </c>
      <c r="W161" s="23" t="str">
        <f t="shared" si="147"/>
        <v/>
      </c>
      <c r="X161" s="23" t="str">
        <f t="shared" si="147"/>
        <v/>
      </c>
      <c r="Y161" s="23" t="str">
        <f t="shared" si="147"/>
        <v/>
      </c>
      <c r="Z161" s="23" t="str">
        <f t="shared" si="147"/>
        <v/>
      </c>
      <c r="AA161" s="23" t="str">
        <f t="shared" si="147"/>
        <v/>
      </c>
      <c r="AB161" s="23" t="str">
        <f t="shared" si="147"/>
        <v/>
      </c>
      <c r="AC161" s="23" t="str">
        <f t="shared" si="147"/>
        <v/>
      </c>
      <c r="AD161" s="23" t="str">
        <f t="shared" si="147"/>
        <v/>
      </c>
      <c r="AE161" s="23" t="str">
        <f t="shared" si="148"/>
        <v/>
      </c>
      <c r="AF161" s="23">
        <f t="shared" si="148"/>
        <v>1</v>
      </c>
      <c r="AG161" s="23" t="str">
        <f t="shared" si="148"/>
        <v/>
      </c>
      <c r="AH161" s="23" t="str">
        <f t="shared" si="148"/>
        <v/>
      </c>
      <c r="AI161" s="23" t="str">
        <f t="shared" si="148"/>
        <v/>
      </c>
      <c r="AJ161" s="23" t="str">
        <f t="shared" si="148"/>
        <v/>
      </c>
      <c r="AK161" s="23" t="str">
        <f t="shared" si="148"/>
        <v/>
      </c>
      <c r="AL161" s="23" t="str">
        <f t="shared" si="148"/>
        <v/>
      </c>
      <c r="AM161" s="23" t="str">
        <f t="shared" si="148"/>
        <v/>
      </c>
      <c r="AN161" s="23" t="str">
        <f t="shared" si="148"/>
        <v/>
      </c>
      <c r="AO161" s="23" t="str">
        <f t="shared" si="149"/>
        <v/>
      </c>
      <c r="AP161" s="23" t="str">
        <f t="shared" si="149"/>
        <v/>
      </c>
      <c r="AQ161" s="23" t="str">
        <f t="shared" si="149"/>
        <v/>
      </c>
      <c r="AR161" s="23" t="str">
        <f t="shared" si="149"/>
        <v/>
      </c>
      <c r="AS161" s="23" t="str">
        <f t="shared" si="149"/>
        <v/>
      </c>
      <c r="AT161" s="23" t="str">
        <f t="shared" si="149"/>
        <v/>
      </c>
      <c r="AU161" s="23" t="str">
        <f t="shared" si="149"/>
        <v/>
      </c>
      <c r="AV161" s="23" t="str">
        <f t="shared" si="149"/>
        <v/>
      </c>
      <c r="AW161" s="23" t="str">
        <f t="shared" si="149"/>
        <v/>
      </c>
      <c r="AX161" s="23" t="str">
        <f t="shared" si="149"/>
        <v/>
      </c>
      <c r="AY161" s="23" t="str">
        <f t="shared" si="150"/>
        <v/>
      </c>
      <c r="AZ161" s="23" t="str">
        <f t="shared" si="150"/>
        <v/>
      </c>
      <c r="BA161" s="23" t="str">
        <f t="shared" si="150"/>
        <v/>
      </c>
      <c r="BB161" s="23" t="str">
        <f t="shared" si="150"/>
        <v/>
      </c>
      <c r="BC161" s="23" t="str">
        <f t="shared" si="150"/>
        <v/>
      </c>
      <c r="BD161" s="23" t="str">
        <f t="shared" si="150"/>
        <v/>
      </c>
      <c r="BE161" s="23" t="str">
        <f t="shared" si="150"/>
        <v/>
      </c>
      <c r="BF161" s="23" t="str">
        <f t="shared" si="150"/>
        <v/>
      </c>
      <c r="BG161" s="23" t="str">
        <f t="shared" si="150"/>
        <v/>
      </c>
      <c r="BH161" s="23" t="str">
        <f t="shared" si="150"/>
        <v/>
      </c>
      <c r="BI161" s="23" t="str">
        <f t="shared" si="151"/>
        <v/>
      </c>
      <c r="BJ161" s="23" t="str">
        <f t="shared" si="151"/>
        <v/>
      </c>
      <c r="BK161" s="23" t="str">
        <f t="shared" si="151"/>
        <v/>
      </c>
      <c r="BL161" s="23" t="str">
        <f t="shared" si="151"/>
        <v/>
      </c>
      <c r="BM161" s="23" t="str">
        <f t="shared" si="151"/>
        <v/>
      </c>
      <c r="BN161" s="23" t="str">
        <f t="shared" si="151"/>
        <v/>
      </c>
      <c r="BO161" s="23" t="str">
        <f t="shared" si="151"/>
        <v/>
      </c>
      <c r="BP161" s="23" t="str">
        <f t="shared" si="151"/>
        <v/>
      </c>
      <c r="BQ161" s="23" t="str">
        <f t="shared" si="151"/>
        <v/>
      </c>
      <c r="BR161" s="23" t="str">
        <f t="shared" si="151"/>
        <v/>
      </c>
      <c r="BS161" s="23" t="str">
        <f t="shared" si="151"/>
        <v/>
      </c>
      <c r="BU161" s="29" t="s">
        <v>519</v>
      </c>
    </row>
    <row r="162" spans="1:73" ht="17" outlineLevel="1" x14ac:dyDescent="0.2">
      <c r="A162" s="6" t="s">
        <v>520</v>
      </c>
      <c r="B162" s="25" t="s">
        <v>521</v>
      </c>
      <c r="C162" s="6" t="s">
        <v>55</v>
      </c>
      <c r="D162" s="24" t="s">
        <v>121</v>
      </c>
      <c r="F162" s="6" t="s">
        <v>517</v>
      </c>
      <c r="G162" s="22">
        <v>23</v>
      </c>
      <c r="H162" s="22">
        <v>1</v>
      </c>
      <c r="I162" s="22">
        <f>MEDIAN($I$160,$J$160,$I$160+ROUND((G162-$G$160)/$H$160*($J$160-$I$160+1),0))</f>
        <v>23</v>
      </c>
      <c r="J162" s="22">
        <f>MEDIAN(I162,$J$160,$I$160+ROUND((G162+H162-$G$160)/$H$160*($J$160-$I$160+1),0)-1)</f>
        <v>23</v>
      </c>
      <c r="K162" s="23" t="str">
        <f t="shared" si="146"/>
        <v/>
      </c>
      <c r="L162" s="23" t="str">
        <f t="shared" si="146"/>
        <v/>
      </c>
      <c r="M162" s="23" t="str">
        <f t="shared" si="146"/>
        <v/>
      </c>
      <c r="N162" s="23" t="str">
        <f t="shared" si="146"/>
        <v/>
      </c>
      <c r="O162" s="23" t="str">
        <f t="shared" si="146"/>
        <v/>
      </c>
      <c r="P162" s="23" t="str">
        <f t="shared" si="146"/>
        <v/>
      </c>
      <c r="Q162" s="23" t="str">
        <f t="shared" si="146"/>
        <v/>
      </c>
      <c r="R162" s="23" t="str">
        <f t="shared" si="146"/>
        <v/>
      </c>
      <c r="S162" s="23" t="str">
        <f t="shared" si="146"/>
        <v/>
      </c>
      <c r="T162" s="23" t="str">
        <f t="shared" si="146"/>
        <v/>
      </c>
      <c r="U162" s="23" t="str">
        <f t="shared" si="147"/>
        <v/>
      </c>
      <c r="V162" s="23" t="str">
        <f t="shared" si="147"/>
        <v/>
      </c>
      <c r="W162" s="23" t="str">
        <f t="shared" si="147"/>
        <v/>
      </c>
      <c r="X162" s="23" t="str">
        <f t="shared" si="147"/>
        <v/>
      </c>
      <c r="Y162" s="23" t="str">
        <f t="shared" si="147"/>
        <v/>
      </c>
      <c r="Z162" s="23" t="str">
        <f t="shared" si="147"/>
        <v/>
      </c>
      <c r="AA162" s="23" t="str">
        <f t="shared" si="147"/>
        <v/>
      </c>
      <c r="AB162" s="23" t="str">
        <f t="shared" si="147"/>
        <v/>
      </c>
      <c r="AC162" s="23" t="str">
        <f t="shared" si="147"/>
        <v/>
      </c>
      <c r="AD162" s="23" t="str">
        <f t="shared" si="147"/>
        <v/>
      </c>
      <c r="AE162" s="23" t="str">
        <f t="shared" si="148"/>
        <v/>
      </c>
      <c r="AF162" s="23" t="str">
        <f t="shared" si="148"/>
        <v/>
      </c>
      <c r="AG162" s="23">
        <f t="shared" si="148"/>
        <v>1</v>
      </c>
      <c r="AH162" s="23" t="str">
        <f t="shared" si="148"/>
        <v/>
      </c>
      <c r="AI162" s="23" t="str">
        <f t="shared" si="148"/>
        <v/>
      </c>
      <c r="AJ162" s="23" t="str">
        <f t="shared" si="148"/>
        <v/>
      </c>
      <c r="AK162" s="23" t="str">
        <f t="shared" si="148"/>
        <v/>
      </c>
      <c r="AL162" s="23" t="str">
        <f t="shared" si="148"/>
        <v/>
      </c>
      <c r="AM162" s="23" t="str">
        <f t="shared" si="148"/>
        <v/>
      </c>
      <c r="AN162" s="23" t="str">
        <f t="shared" si="148"/>
        <v/>
      </c>
      <c r="AO162" s="23" t="str">
        <f t="shared" si="149"/>
        <v/>
      </c>
      <c r="AP162" s="23" t="str">
        <f t="shared" si="149"/>
        <v/>
      </c>
      <c r="AQ162" s="23" t="str">
        <f t="shared" si="149"/>
        <v/>
      </c>
      <c r="AR162" s="23" t="str">
        <f t="shared" si="149"/>
        <v/>
      </c>
      <c r="AS162" s="23" t="str">
        <f t="shared" si="149"/>
        <v/>
      </c>
      <c r="AT162" s="23" t="str">
        <f t="shared" si="149"/>
        <v/>
      </c>
      <c r="AU162" s="23" t="str">
        <f t="shared" si="149"/>
        <v/>
      </c>
      <c r="AV162" s="23" t="str">
        <f t="shared" si="149"/>
        <v/>
      </c>
      <c r="AW162" s="23" t="str">
        <f t="shared" si="149"/>
        <v/>
      </c>
      <c r="AX162" s="23" t="str">
        <f t="shared" si="149"/>
        <v/>
      </c>
      <c r="AY162" s="23" t="str">
        <f t="shared" si="150"/>
        <v/>
      </c>
      <c r="AZ162" s="23" t="str">
        <f t="shared" si="150"/>
        <v/>
      </c>
      <c r="BA162" s="23" t="str">
        <f t="shared" si="150"/>
        <v/>
      </c>
      <c r="BB162" s="23" t="str">
        <f t="shared" si="150"/>
        <v/>
      </c>
      <c r="BC162" s="23" t="str">
        <f t="shared" si="150"/>
        <v/>
      </c>
      <c r="BD162" s="23" t="str">
        <f t="shared" si="150"/>
        <v/>
      </c>
      <c r="BE162" s="23" t="str">
        <f t="shared" si="150"/>
        <v/>
      </c>
      <c r="BF162" s="23" t="str">
        <f t="shared" si="150"/>
        <v/>
      </c>
      <c r="BG162" s="23" t="str">
        <f t="shared" si="150"/>
        <v/>
      </c>
      <c r="BH162" s="23" t="str">
        <f t="shared" si="150"/>
        <v/>
      </c>
      <c r="BI162" s="23" t="str">
        <f t="shared" si="151"/>
        <v/>
      </c>
      <c r="BJ162" s="23" t="str">
        <f t="shared" si="151"/>
        <v/>
      </c>
      <c r="BK162" s="23" t="str">
        <f t="shared" si="151"/>
        <v/>
      </c>
      <c r="BL162" s="23" t="str">
        <f t="shared" si="151"/>
        <v/>
      </c>
      <c r="BM162" s="23" t="str">
        <f t="shared" si="151"/>
        <v/>
      </c>
      <c r="BN162" s="23" t="str">
        <f t="shared" si="151"/>
        <v/>
      </c>
      <c r="BO162" s="23" t="str">
        <f t="shared" si="151"/>
        <v/>
      </c>
      <c r="BP162" s="23" t="str">
        <f t="shared" si="151"/>
        <v/>
      </c>
      <c r="BQ162" s="23" t="str">
        <f t="shared" si="151"/>
        <v/>
      </c>
      <c r="BR162" s="23" t="str">
        <f t="shared" si="151"/>
        <v/>
      </c>
      <c r="BS162" s="23" t="str">
        <f t="shared" si="151"/>
        <v/>
      </c>
      <c r="BU162" s="29" t="s">
        <v>522</v>
      </c>
    </row>
    <row r="163" spans="1:73" ht="34" outlineLevel="1" x14ac:dyDescent="0.2">
      <c r="A163" s="6" t="s">
        <v>523</v>
      </c>
      <c r="B163" s="25" t="s">
        <v>524</v>
      </c>
      <c r="C163" s="6" t="s">
        <v>55</v>
      </c>
      <c r="D163" s="24" t="s">
        <v>121</v>
      </c>
      <c r="F163" s="6" t="s">
        <v>520</v>
      </c>
      <c r="G163" s="22">
        <v>24</v>
      </c>
      <c r="H163" s="22">
        <v>1</v>
      </c>
      <c r="I163" s="22">
        <f>MEDIAN($I$160,$J$160,$I$160+ROUND((G163-$G$160)/$H$160*($J$160-$I$160+1),0))</f>
        <v>24</v>
      </c>
      <c r="J163" s="22">
        <f>MEDIAN(I163,$J$160,$I$160+ROUND((G163+H163-$G$160)/$H$160*($J$160-$I$160+1),0)-1)</f>
        <v>24</v>
      </c>
      <c r="K163" s="23" t="str">
        <f t="shared" si="146"/>
        <v/>
      </c>
      <c r="L163" s="23" t="str">
        <f t="shared" si="146"/>
        <v/>
      </c>
      <c r="M163" s="23" t="str">
        <f t="shared" si="146"/>
        <v/>
      </c>
      <c r="N163" s="23" t="str">
        <f t="shared" si="146"/>
        <v/>
      </c>
      <c r="O163" s="23" t="str">
        <f t="shared" si="146"/>
        <v/>
      </c>
      <c r="P163" s="23" t="str">
        <f t="shared" si="146"/>
        <v/>
      </c>
      <c r="Q163" s="23" t="str">
        <f t="shared" si="146"/>
        <v/>
      </c>
      <c r="R163" s="23" t="str">
        <f t="shared" si="146"/>
        <v/>
      </c>
      <c r="S163" s="23" t="str">
        <f t="shared" si="146"/>
        <v/>
      </c>
      <c r="T163" s="23" t="str">
        <f t="shared" si="146"/>
        <v/>
      </c>
      <c r="U163" s="23" t="str">
        <f t="shared" si="147"/>
        <v/>
      </c>
      <c r="V163" s="23" t="str">
        <f t="shared" si="147"/>
        <v/>
      </c>
      <c r="W163" s="23" t="str">
        <f t="shared" si="147"/>
        <v/>
      </c>
      <c r="X163" s="23" t="str">
        <f t="shared" si="147"/>
        <v/>
      </c>
      <c r="Y163" s="23" t="str">
        <f t="shared" si="147"/>
        <v/>
      </c>
      <c r="Z163" s="23" t="str">
        <f t="shared" si="147"/>
        <v/>
      </c>
      <c r="AA163" s="23" t="str">
        <f t="shared" si="147"/>
        <v/>
      </c>
      <c r="AB163" s="23" t="str">
        <f t="shared" si="147"/>
        <v/>
      </c>
      <c r="AC163" s="23" t="str">
        <f t="shared" si="147"/>
        <v/>
      </c>
      <c r="AD163" s="23" t="str">
        <f t="shared" si="147"/>
        <v/>
      </c>
      <c r="AE163" s="23" t="str">
        <f t="shared" si="148"/>
        <v/>
      </c>
      <c r="AF163" s="23" t="str">
        <f t="shared" si="148"/>
        <v/>
      </c>
      <c r="AG163" s="23" t="str">
        <f t="shared" si="148"/>
        <v/>
      </c>
      <c r="AH163" s="23">
        <f t="shared" si="148"/>
        <v>1</v>
      </c>
      <c r="AI163" s="23" t="str">
        <f t="shared" si="148"/>
        <v/>
      </c>
      <c r="AJ163" s="23" t="str">
        <f t="shared" si="148"/>
        <v/>
      </c>
      <c r="AK163" s="23" t="str">
        <f t="shared" si="148"/>
        <v/>
      </c>
      <c r="AL163" s="23" t="str">
        <f t="shared" si="148"/>
        <v/>
      </c>
      <c r="AM163" s="23" t="str">
        <f t="shared" si="148"/>
        <v/>
      </c>
      <c r="AN163" s="23" t="str">
        <f t="shared" si="148"/>
        <v/>
      </c>
      <c r="AO163" s="23" t="str">
        <f t="shared" si="149"/>
        <v/>
      </c>
      <c r="AP163" s="23" t="str">
        <f t="shared" si="149"/>
        <v/>
      </c>
      <c r="AQ163" s="23" t="str">
        <f t="shared" si="149"/>
        <v/>
      </c>
      <c r="AR163" s="23" t="str">
        <f t="shared" si="149"/>
        <v/>
      </c>
      <c r="AS163" s="23" t="str">
        <f t="shared" si="149"/>
        <v/>
      </c>
      <c r="AT163" s="23" t="str">
        <f t="shared" si="149"/>
        <v/>
      </c>
      <c r="AU163" s="23" t="str">
        <f t="shared" si="149"/>
        <v/>
      </c>
      <c r="AV163" s="23" t="str">
        <f t="shared" si="149"/>
        <v/>
      </c>
      <c r="AW163" s="23" t="str">
        <f t="shared" si="149"/>
        <v/>
      </c>
      <c r="AX163" s="23" t="str">
        <f t="shared" si="149"/>
        <v/>
      </c>
      <c r="AY163" s="23" t="str">
        <f t="shared" si="150"/>
        <v/>
      </c>
      <c r="AZ163" s="23" t="str">
        <f t="shared" si="150"/>
        <v/>
      </c>
      <c r="BA163" s="23" t="str">
        <f t="shared" si="150"/>
        <v/>
      </c>
      <c r="BB163" s="23" t="str">
        <f t="shared" si="150"/>
        <v/>
      </c>
      <c r="BC163" s="23" t="str">
        <f t="shared" si="150"/>
        <v/>
      </c>
      <c r="BD163" s="23" t="str">
        <f t="shared" si="150"/>
        <v/>
      </c>
      <c r="BE163" s="23" t="str">
        <f t="shared" si="150"/>
        <v/>
      </c>
      <c r="BF163" s="23" t="str">
        <f t="shared" si="150"/>
        <v/>
      </c>
      <c r="BG163" s="23" t="str">
        <f t="shared" si="150"/>
        <v/>
      </c>
      <c r="BH163" s="23" t="str">
        <f t="shared" si="150"/>
        <v/>
      </c>
      <c r="BI163" s="23" t="str">
        <f t="shared" si="151"/>
        <v/>
      </c>
      <c r="BJ163" s="23" t="str">
        <f t="shared" si="151"/>
        <v/>
      </c>
      <c r="BK163" s="23" t="str">
        <f t="shared" si="151"/>
        <v/>
      </c>
      <c r="BL163" s="23" t="str">
        <f t="shared" si="151"/>
        <v/>
      </c>
      <c r="BM163" s="23" t="str">
        <f t="shared" si="151"/>
        <v/>
      </c>
      <c r="BN163" s="23" t="str">
        <f t="shared" si="151"/>
        <v/>
      </c>
      <c r="BO163" s="23" t="str">
        <f t="shared" si="151"/>
        <v/>
      </c>
      <c r="BP163" s="23" t="str">
        <f t="shared" si="151"/>
        <v/>
      </c>
      <c r="BQ163" s="23" t="str">
        <f t="shared" si="151"/>
        <v/>
      </c>
      <c r="BR163" s="23" t="str">
        <f t="shared" si="151"/>
        <v/>
      </c>
      <c r="BS163" s="23" t="str">
        <f t="shared" si="151"/>
        <v/>
      </c>
      <c r="BU163" s="29" t="s">
        <v>525</v>
      </c>
    </row>
    <row r="164" spans="1:73" ht="34" outlineLevel="1" x14ac:dyDescent="0.2">
      <c r="A164" s="6" t="s">
        <v>526</v>
      </c>
      <c r="B164" s="25" t="s">
        <v>527</v>
      </c>
      <c r="C164" s="6" t="s">
        <v>55</v>
      </c>
      <c r="D164" s="24" t="s">
        <v>121</v>
      </c>
      <c r="F164" s="6" t="s">
        <v>523</v>
      </c>
      <c r="G164" s="22">
        <v>25</v>
      </c>
      <c r="H164" s="22">
        <v>1</v>
      </c>
      <c r="I164" s="22">
        <f>MEDIAN($I$160,$J$160,$I$160+ROUND((G164-$G$160)/$H$160*($J$160-$I$160+1),0))</f>
        <v>25</v>
      </c>
      <c r="J164" s="22">
        <f>MEDIAN(I164,$J$160,$I$160+ROUND((G164+H164-$G$160)/$H$160*($J$160-$I$160+1),0)-1)</f>
        <v>25</v>
      </c>
      <c r="K164" s="23" t="str">
        <f t="shared" si="146"/>
        <v/>
      </c>
      <c r="L164" s="23" t="str">
        <f t="shared" si="146"/>
        <v/>
      </c>
      <c r="M164" s="23" t="str">
        <f t="shared" si="146"/>
        <v/>
      </c>
      <c r="N164" s="23" t="str">
        <f t="shared" si="146"/>
        <v/>
      </c>
      <c r="O164" s="23" t="str">
        <f t="shared" si="146"/>
        <v/>
      </c>
      <c r="P164" s="23" t="str">
        <f t="shared" si="146"/>
        <v/>
      </c>
      <c r="Q164" s="23" t="str">
        <f t="shared" si="146"/>
        <v/>
      </c>
      <c r="R164" s="23" t="str">
        <f t="shared" si="146"/>
        <v/>
      </c>
      <c r="S164" s="23" t="str">
        <f t="shared" si="146"/>
        <v/>
      </c>
      <c r="T164" s="23" t="str">
        <f t="shared" si="146"/>
        <v/>
      </c>
      <c r="U164" s="23" t="str">
        <f t="shared" si="147"/>
        <v/>
      </c>
      <c r="V164" s="23" t="str">
        <f t="shared" si="147"/>
        <v/>
      </c>
      <c r="W164" s="23" t="str">
        <f t="shared" si="147"/>
        <v/>
      </c>
      <c r="X164" s="23" t="str">
        <f t="shared" si="147"/>
        <v/>
      </c>
      <c r="Y164" s="23" t="str">
        <f t="shared" si="147"/>
        <v/>
      </c>
      <c r="Z164" s="23" t="str">
        <f t="shared" si="147"/>
        <v/>
      </c>
      <c r="AA164" s="23" t="str">
        <f t="shared" si="147"/>
        <v/>
      </c>
      <c r="AB164" s="23" t="str">
        <f t="shared" si="147"/>
        <v/>
      </c>
      <c r="AC164" s="23" t="str">
        <f t="shared" si="147"/>
        <v/>
      </c>
      <c r="AD164" s="23" t="str">
        <f t="shared" si="147"/>
        <v/>
      </c>
      <c r="AE164" s="23" t="str">
        <f t="shared" si="148"/>
        <v/>
      </c>
      <c r="AF164" s="23" t="str">
        <f t="shared" si="148"/>
        <v/>
      </c>
      <c r="AG164" s="23" t="str">
        <f t="shared" si="148"/>
        <v/>
      </c>
      <c r="AH164" s="23" t="str">
        <f t="shared" si="148"/>
        <v/>
      </c>
      <c r="AI164" s="23">
        <f t="shared" si="148"/>
        <v>1</v>
      </c>
      <c r="AJ164" s="23" t="str">
        <f t="shared" si="148"/>
        <v/>
      </c>
      <c r="AK164" s="23" t="str">
        <f t="shared" si="148"/>
        <v/>
      </c>
      <c r="AL164" s="23" t="str">
        <f t="shared" si="148"/>
        <v/>
      </c>
      <c r="AM164" s="23" t="str">
        <f t="shared" si="148"/>
        <v/>
      </c>
      <c r="AN164" s="23" t="str">
        <f t="shared" si="148"/>
        <v/>
      </c>
      <c r="AO164" s="23" t="str">
        <f t="shared" si="149"/>
        <v/>
      </c>
      <c r="AP164" s="23" t="str">
        <f t="shared" si="149"/>
        <v/>
      </c>
      <c r="AQ164" s="23" t="str">
        <f t="shared" si="149"/>
        <v/>
      </c>
      <c r="AR164" s="23" t="str">
        <f t="shared" si="149"/>
        <v/>
      </c>
      <c r="AS164" s="23" t="str">
        <f t="shared" si="149"/>
        <v/>
      </c>
      <c r="AT164" s="23" t="str">
        <f t="shared" si="149"/>
        <v/>
      </c>
      <c r="AU164" s="23" t="str">
        <f t="shared" si="149"/>
        <v/>
      </c>
      <c r="AV164" s="23" t="str">
        <f t="shared" si="149"/>
        <v/>
      </c>
      <c r="AW164" s="23" t="str">
        <f t="shared" si="149"/>
        <v/>
      </c>
      <c r="AX164" s="23" t="str">
        <f t="shared" si="149"/>
        <v/>
      </c>
      <c r="AY164" s="23" t="str">
        <f t="shared" si="150"/>
        <v/>
      </c>
      <c r="AZ164" s="23" t="str">
        <f t="shared" si="150"/>
        <v/>
      </c>
      <c r="BA164" s="23" t="str">
        <f t="shared" si="150"/>
        <v/>
      </c>
      <c r="BB164" s="23" t="str">
        <f t="shared" si="150"/>
        <v/>
      </c>
      <c r="BC164" s="23" t="str">
        <f t="shared" si="150"/>
        <v/>
      </c>
      <c r="BD164" s="23" t="str">
        <f t="shared" si="150"/>
        <v/>
      </c>
      <c r="BE164" s="23" t="str">
        <f t="shared" si="150"/>
        <v/>
      </c>
      <c r="BF164" s="23" t="str">
        <f t="shared" si="150"/>
        <v/>
      </c>
      <c r="BG164" s="23" t="str">
        <f t="shared" si="150"/>
        <v/>
      </c>
      <c r="BH164" s="23" t="str">
        <f t="shared" si="150"/>
        <v/>
      </c>
      <c r="BI164" s="23" t="str">
        <f t="shared" si="151"/>
        <v/>
      </c>
      <c r="BJ164" s="23" t="str">
        <f t="shared" si="151"/>
        <v/>
      </c>
      <c r="BK164" s="23" t="str">
        <f t="shared" si="151"/>
        <v/>
      </c>
      <c r="BL164" s="23" t="str">
        <f t="shared" si="151"/>
        <v/>
      </c>
      <c r="BM164" s="23" t="str">
        <f t="shared" si="151"/>
        <v/>
      </c>
      <c r="BN164" s="23" t="str">
        <f t="shared" si="151"/>
        <v/>
      </c>
      <c r="BO164" s="23" t="str">
        <f t="shared" si="151"/>
        <v/>
      </c>
      <c r="BP164" s="23" t="str">
        <f t="shared" si="151"/>
        <v/>
      </c>
      <c r="BQ164" s="23" t="str">
        <f t="shared" si="151"/>
        <v/>
      </c>
      <c r="BR164" s="23" t="str">
        <f t="shared" si="151"/>
        <v/>
      </c>
      <c r="BS164" s="23" t="str">
        <f t="shared" si="151"/>
        <v/>
      </c>
      <c r="BU164" s="29" t="s">
        <v>528</v>
      </c>
    </row>
    <row r="165" spans="1:73" x14ac:dyDescent="0.2">
      <c r="BU165" s="30"/>
    </row>
    <row r="166" spans="1:73" ht="17" x14ac:dyDescent="0.2">
      <c r="A166" s="19" t="s">
        <v>529</v>
      </c>
      <c r="B166" s="20" t="s">
        <v>530</v>
      </c>
      <c r="C166" s="19" t="s">
        <v>58</v>
      </c>
      <c r="D166" s="21" t="s">
        <v>117</v>
      </c>
      <c r="E166" s="19" t="s">
        <v>531</v>
      </c>
      <c r="F166" s="19"/>
      <c r="G166" s="22">
        <v>22</v>
      </c>
      <c r="H166" s="22">
        <v>3</v>
      </c>
      <c r="I166" s="22">
        <f>MIN(61,IF(G166&lt;=29,ROUND((G166-1)*(29+SlipWeeks)/29,0)+1,G166+SlipWeeks))</f>
        <v>22</v>
      </c>
      <c r="J166" s="22">
        <f>MIN(61,I166+H166-1)</f>
        <v>24</v>
      </c>
      <c r="K166" s="23" t="str">
        <f t="shared" ref="K166:T169" si="152">IF(AND(K$4&gt;=$I166,K$4&lt;=$J166),1,"")</f>
        <v/>
      </c>
      <c r="L166" s="23" t="str">
        <f t="shared" si="152"/>
        <v/>
      </c>
      <c r="M166" s="23" t="str">
        <f t="shared" si="152"/>
        <v/>
      </c>
      <c r="N166" s="23" t="str">
        <f t="shared" si="152"/>
        <v/>
      </c>
      <c r="O166" s="23" t="str">
        <f t="shared" si="152"/>
        <v/>
      </c>
      <c r="P166" s="23" t="str">
        <f t="shared" si="152"/>
        <v/>
      </c>
      <c r="Q166" s="23" t="str">
        <f t="shared" si="152"/>
        <v/>
      </c>
      <c r="R166" s="23" t="str">
        <f t="shared" si="152"/>
        <v/>
      </c>
      <c r="S166" s="23" t="str">
        <f t="shared" si="152"/>
        <v/>
      </c>
      <c r="T166" s="23" t="str">
        <f t="shared" si="152"/>
        <v/>
      </c>
      <c r="U166" s="23" t="str">
        <f t="shared" ref="U166:AD169" si="153">IF(AND(U$4&gt;=$I166,U$4&lt;=$J166),1,"")</f>
        <v/>
      </c>
      <c r="V166" s="23" t="str">
        <f t="shared" si="153"/>
        <v/>
      </c>
      <c r="W166" s="23" t="str">
        <f t="shared" si="153"/>
        <v/>
      </c>
      <c r="X166" s="23" t="str">
        <f t="shared" si="153"/>
        <v/>
      </c>
      <c r="Y166" s="23" t="str">
        <f t="shared" si="153"/>
        <v/>
      </c>
      <c r="Z166" s="23" t="str">
        <f t="shared" si="153"/>
        <v/>
      </c>
      <c r="AA166" s="23" t="str">
        <f t="shared" si="153"/>
        <v/>
      </c>
      <c r="AB166" s="23" t="str">
        <f t="shared" si="153"/>
        <v/>
      </c>
      <c r="AC166" s="23" t="str">
        <f t="shared" si="153"/>
        <v/>
      </c>
      <c r="AD166" s="23" t="str">
        <f t="shared" si="153"/>
        <v/>
      </c>
      <c r="AE166" s="23" t="str">
        <f t="shared" ref="AE166:AN169" si="154">IF(AND(AE$4&gt;=$I166,AE$4&lt;=$J166),1,"")</f>
        <v/>
      </c>
      <c r="AF166" s="23">
        <f t="shared" si="154"/>
        <v>1</v>
      </c>
      <c r="AG166" s="23">
        <f t="shared" si="154"/>
        <v>1</v>
      </c>
      <c r="AH166" s="23">
        <f t="shared" si="154"/>
        <v>1</v>
      </c>
      <c r="AI166" s="23" t="str">
        <f t="shared" si="154"/>
        <v/>
      </c>
      <c r="AJ166" s="23" t="str">
        <f t="shared" si="154"/>
        <v/>
      </c>
      <c r="AK166" s="23" t="str">
        <f t="shared" si="154"/>
        <v/>
      </c>
      <c r="AL166" s="23" t="str">
        <f t="shared" si="154"/>
        <v/>
      </c>
      <c r="AM166" s="23" t="str">
        <f t="shared" si="154"/>
        <v/>
      </c>
      <c r="AN166" s="23" t="str">
        <f t="shared" si="154"/>
        <v/>
      </c>
      <c r="AO166" s="23" t="str">
        <f t="shared" ref="AO166:AX169" si="155">IF(AND(AO$4&gt;=$I166,AO$4&lt;=$J166),1,"")</f>
        <v/>
      </c>
      <c r="AP166" s="23" t="str">
        <f t="shared" si="155"/>
        <v/>
      </c>
      <c r="AQ166" s="23" t="str">
        <f t="shared" si="155"/>
        <v/>
      </c>
      <c r="AR166" s="23" t="str">
        <f t="shared" si="155"/>
        <v/>
      </c>
      <c r="AS166" s="23" t="str">
        <f t="shared" si="155"/>
        <v/>
      </c>
      <c r="AT166" s="23" t="str">
        <f t="shared" si="155"/>
        <v/>
      </c>
      <c r="AU166" s="23" t="str">
        <f t="shared" si="155"/>
        <v/>
      </c>
      <c r="AV166" s="23" t="str">
        <f t="shared" si="155"/>
        <v/>
      </c>
      <c r="AW166" s="23" t="str">
        <f t="shared" si="155"/>
        <v/>
      </c>
      <c r="AX166" s="23" t="str">
        <f t="shared" si="155"/>
        <v/>
      </c>
      <c r="AY166" s="23" t="str">
        <f t="shared" ref="AY166:BH169" si="156">IF(AND(AY$4&gt;=$I166,AY$4&lt;=$J166),1,"")</f>
        <v/>
      </c>
      <c r="AZ166" s="23" t="str">
        <f t="shared" si="156"/>
        <v/>
      </c>
      <c r="BA166" s="23" t="str">
        <f t="shared" si="156"/>
        <v/>
      </c>
      <c r="BB166" s="23" t="str">
        <f t="shared" si="156"/>
        <v/>
      </c>
      <c r="BC166" s="23" t="str">
        <f t="shared" si="156"/>
        <v/>
      </c>
      <c r="BD166" s="23" t="str">
        <f t="shared" si="156"/>
        <v/>
      </c>
      <c r="BE166" s="23" t="str">
        <f t="shared" si="156"/>
        <v/>
      </c>
      <c r="BF166" s="23" t="str">
        <f t="shared" si="156"/>
        <v/>
      </c>
      <c r="BG166" s="23" t="str">
        <f t="shared" si="156"/>
        <v/>
      </c>
      <c r="BH166" s="23" t="str">
        <f t="shared" si="156"/>
        <v/>
      </c>
      <c r="BI166" s="23" t="str">
        <f t="shared" ref="BI166:BS169" si="157">IF(AND(BI$4&gt;=$I166,BI$4&lt;=$J166),1,"")</f>
        <v/>
      </c>
      <c r="BJ166" s="23" t="str">
        <f t="shared" si="157"/>
        <v/>
      </c>
      <c r="BK166" s="23" t="str">
        <f t="shared" si="157"/>
        <v/>
      </c>
      <c r="BL166" s="23" t="str">
        <f t="shared" si="157"/>
        <v/>
      </c>
      <c r="BM166" s="23" t="str">
        <f t="shared" si="157"/>
        <v/>
      </c>
      <c r="BN166" s="23" t="str">
        <f t="shared" si="157"/>
        <v/>
      </c>
      <c r="BO166" s="23" t="str">
        <f t="shared" si="157"/>
        <v/>
      </c>
      <c r="BP166" s="23" t="str">
        <f t="shared" si="157"/>
        <v/>
      </c>
      <c r="BQ166" s="23" t="str">
        <f t="shared" si="157"/>
        <v/>
      </c>
      <c r="BR166" s="23" t="str">
        <f t="shared" si="157"/>
        <v/>
      </c>
      <c r="BS166" s="23" t="str">
        <f t="shared" si="157"/>
        <v/>
      </c>
      <c r="BT166" s="24" t="str">
        <f>IF($I166+H166-1&gt;61,"▶ clipped","")</f>
        <v/>
      </c>
      <c r="BU166" s="29" t="s">
        <v>532</v>
      </c>
    </row>
    <row r="167" spans="1:73" ht="17" outlineLevel="1" x14ac:dyDescent="0.2">
      <c r="A167" s="6" t="s">
        <v>533</v>
      </c>
      <c r="B167" s="25" t="s">
        <v>534</v>
      </c>
      <c r="C167" s="6" t="s">
        <v>58</v>
      </c>
      <c r="D167" s="24" t="s">
        <v>121</v>
      </c>
      <c r="F167" s="6"/>
      <c r="G167" s="22">
        <v>22</v>
      </c>
      <c r="H167" s="22">
        <v>1</v>
      </c>
      <c r="I167" s="22">
        <f>MEDIAN($I$166,$J$166,$I$166+ROUND((G167-$G$166)/$H$166*($J$166-$I$166+1),0))</f>
        <v>22</v>
      </c>
      <c r="J167" s="22">
        <f>MEDIAN(I167,$J$166,$I$166+ROUND((G167+H167-$G$166)/$H$166*($J$166-$I$166+1),0)-1)</f>
        <v>22</v>
      </c>
      <c r="K167" s="23" t="str">
        <f t="shared" si="152"/>
        <v/>
      </c>
      <c r="L167" s="23" t="str">
        <f t="shared" si="152"/>
        <v/>
      </c>
      <c r="M167" s="23" t="str">
        <f t="shared" si="152"/>
        <v/>
      </c>
      <c r="N167" s="23" t="str">
        <f t="shared" si="152"/>
        <v/>
      </c>
      <c r="O167" s="23" t="str">
        <f t="shared" si="152"/>
        <v/>
      </c>
      <c r="P167" s="23" t="str">
        <f t="shared" si="152"/>
        <v/>
      </c>
      <c r="Q167" s="23" t="str">
        <f t="shared" si="152"/>
        <v/>
      </c>
      <c r="R167" s="23" t="str">
        <f t="shared" si="152"/>
        <v/>
      </c>
      <c r="S167" s="23" t="str">
        <f t="shared" si="152"/>
        <v/>
      </c>
      <c r="T167" s="23" t="str">
        <f t="shared" si="152"/>
        <v/>
      </c>
      <c r="U167" s="23" t="str">
        <f t="shared" si="153"/>
        <v/>
      </c>
      <c r="V167" s="23" t="str">
        <f t="shared" si="153"/>
        <v/>
      </c>
      <c r="W167" s="23" t="str">
        <f t="shared" si="153"/>
        <v/>
      </c>
      <c r="X167" s="23" t="str">
        <f t="shared" si="153"/>
        <v/>
      </c>
      <c r="Y167" s="23" t="str">
        <f t="shared" si="153"/>
        <v/>
      </c>
      <c r="Z167" s="23" t="str">
        <f t="shared" si="153"/>
        <v/>
      </c>
      <c r="AA167" s="23" t="str">
        <f t="shared" si="153"/>
        <v/>
      </c>
      <c r="AB167" s="23" t="str">
        <f t="shared" si="153"/>
        <v/>
      </c>
      <c r="AC167" s="23" t="str">
        <f t="shared" si="153"/>
        <v/>
      </c>
      <c r="AD167" s="23" t="str">
        <f t="shared" si="153"/>
        <v/>
      </c>
      <c r="AE167" s="23" t="str">
        <f t="shared" si="154"/>
        <v/>
      </c>
      <c r="AF167" s="23">
        <f t="shared" si="154"/>
        <v>1</v>
      </c>
      <c r="AG167" s="23" t="str">
        <f t="shared" si="154"/>
        <v/>
      </c>
      <c r="AH167" s="23" t="str">
        <f t="shared" si="154"/>
        <v/>
      </c>
      <c r="AI167" s="23" t="str">
        <f t="shared" si="154"/>
        <v/>
      </c>
      <c r="AJ167" s="23" t="str">
        <f t="shared" si="154"/>
        <v/>
      </c>
      <c r="AK167" s="23" t="str">
        <f t="shared" si="154"/>
        <v/>
      </c>
      <c r="AL167" s="23" t="str">
        <f t="shared" si="154"/>
        <v/>
      </c>
      <c r="AM167" s="23" t="str">
        <f t="shared" si="154"/>
        <v/>
      </c>
      <c r="AN167" s="23" t="str">
        <f t="shared" si="154"/>
        <v/>
      </c>
      <c r="AO167" s="23" t="str">
        <f t="shared" si="155"/>
        <v/>
      </c>
      <c r="AP167" s="23" t="str">
        <f t="shared" si="155"/>
        <v/>
      </c>
      <c r="AQ167" s="23" t="str">
        <f t="shared" si="155"/>
        <v/>
      </c>
      <c r="AR167" s="23" t="str">
        <f t="shared" si="155"/>
        <v/>
      </c>
      <c r="AS167" s="23" t="str">
        <f t="shared" si="155"/>
        <v/>
      </c>
      <c r="AT167" s="23" t="str">
        <f t="shared" si="155"/>
        <v/>
      </c>
      <c r="AU167" s="23" t="str">
        <f t="shared" si="155"/>
        <v/>
      </c>
      <c r="AV167" s="23" t="str">
        <f t="shared" si="155"/>
        <v/>
      </c>
      <c r="AW167" s="23" t="str">
        <f t="shared" si="155"/>
        <v/>
      </c>
      <c r="AX167" s="23" t="str">
        <f t="shared" si="155"/>
        <v/>
      </c>
      <c r="AY167" s="23" t="str">
        <f t="shared" si="156"/>
        <v/>
      </c>
      <c r="AZ167" s="23" t="str">
        <f t="shared" si="156"/>
        <v/>
      </c>
      <c r="BA167" s="23" t="str">
        <f t="shared" si="156"/>
        <v/>
      </c>
      <c r="BB167" s="23" t="str">
        <f t="shared" si="156"/>
        <v/>
      </c>
      <c r="BC167" s="23" t="str">
        <f t="shared" si="156"/>
        <v/>
      </c>
      <c r="BD167" s="23" t="str">
        <f t="shared" si="156"/>
        <v/>
      </c>
      <c r="BE167" s="23" t="str">
        <f t="shared" si="156"/>
        <v/>
      </c>
      <c r="BF167" s="23" t="str">
        <f t="shared" si="156"/>
        <v/>
      </c>
      <c r="BG167" s="23" t="str">
        <f t="shared" si="156"/>
        <v/>
      </c>
      <c r="BH167" s="23" t="str">
        <f t="shared" si="156"/>
        <v/>
      </c>
      <c r="BI167" s="23" t="str">
        <f t="shared" si="157"/>
        <v/>
      </c>
      <c r="BJ167" s="23" t="str">
        <f t="shared" si="157"/>
        <v/>
      </c>
      <c r="BK167" s="23" t="str">
        <f t="shared" si="157"/>
        <v/>
      </c>
      <c r="BL167" s="23" t="str">
        <f t="shared" si="157"/>
        <v/>
      </c>
      <c r="BM167" s="23" t="str">
        <f t="shared" si="157"/>
        <v/>
      </c>
      <c r="BN167" s="23" t="str">
        <f t="shared" si="157"/>
        <v/>
      </c>
      <c r="BO167" s="23" t="str">
        <f t="shared" si="157"/>
        <v/>
      </c>
      <c r="BP167" s="23" t="str">
        <f t="shared" si="157"/>
        <v/>
      </c>
      <c r="BQ167" s="23" t="str">
        <f t="shared" si="157"/>
        <v/>
      </c>
      <c r="BR167" s="23" t="str">
        <f t="shared" si="157"/>
        <v/>
      </c>
      <c r="BS167" s="23" t="str">
        <f t="shared" si="157"/>
        <v/>
      </c>
      <c r="BU167" s="29" t="s">
        <v>535</v>
      </c>
    </row>
    <row r="168" spans="1:73" ht="17" outlineLevel="1" x14ac:dyDescent="0.2">
      <c r="A168" s="6" t="s">
        <v>536</v>
      </c>
      <c r="B168" s="25" t="s">
        <v>537</v>
      </c>
      <c r="C168" s="6" t="s">
        <v>58</v>
      </c>
      <c r="D168" s="24" t="s">
        <v>121</v>
      </c>
      <c r="F168" s="6" t="s">
        <v>533</v>
      </c>
      <c r="G168" s="22">
        <v>23</v>
      </c>
      <c r="H168" s="22">
        <v>1</v>
      </c>
      <c r="I168" s="22">
        <f>MEDIAN($I$166,$J$166,$I$166+ROUND((G168-$G$166)/$H$166*($J$166-$I$166+1),0))</f>
        <v>23</v>
      </c>
      <c r="J168" s="22">
        <f>MEDIAN(I168,$J$166,$I$166+ROUND((G168+H168-$G$166)/$H$166*($J$166-$I$166+1),0)-1)</f>
        <v>23</v>
      </c>
      <c r="K168" s="23" t="str">
        <f t="shared" si="152"/>
        <v/>
      </c>
      <c r="L168" s="23" t="str">
        <f t="shared" si="152"/>
        <v/>
      </c>
      <c r="M168" s="23" t="str">
        <f t="shared" si="152"/>
        <v/>
      </c>
      <c r="N168" s="23" t="str">
        <f t="shared" si="152"/>
        <v/>
      </c>
      <c r="O168" s="23" t="str">
        <f t="shared" si="152"/>
        <v/>
      </c>
      <c r="P168" s="23" t="str">
        <f t="shared" si="152"/>
        <v/>
      </c>
      <c r="Q168" s="23" t="str">
        <f t="shared" si="152"/>
        <v/>
      </c>
      <c r="R168" s="23" t="str">
        <f t="shared" si="152"/>
        <v/>
      </c>
      <c r="S168" s="23" t="str">
        <f t="shared" si="152"/>
        <v/>
      </c>
      <c r="T168" s="23" t="str">
        <f t="shared" si="152"/>
        <v/>
      </c>
      <c r="U168" s="23" t="str">
        <f t="shared" si="153"/>
        <v/>
      </c>
      <c r="V168" s="23" t="str">
        <f t="shared" si="153"/>
        <v/>
      </c>
      <c r="W168" s="23" t="str">
        <f t="shared" si="153"/>
        <v/>
      </c>
      <c r="X168" s="23" t="str">
        <f t="shared" si="153"/>
        <v/>
      </c>
      <c r="Y168" s="23" t="str">
        <f t="shared" si="153"/>
        <v/>
      </c>
      <c r="Z168" s="23" t="str">
        <f t="shared" si="153"/>
        <v/>
      </c>
      <c r="AA168" s="23" t="str">
        <f t="shared" si="153"/>
        <v/>
      </c>
      <c r="AB168" s="23" t="str">
        <f t="shared" si="153"/>
        <v/>
      </c>
      <c r="AC168" s="23" t="str">
        <f t="shared" si="153"/>
        <v/>
      </c>
      <c r="AD168" s="23" t="str">
        <f t="shared" si="153"/>
        <v/>
      </c>
      <c r="AE168" s="23" t="str">
        <f t="shared" si="154"/>
        <v/>
      </c>
      <c r="AF168" s="23" t="str">
        <f t="shared" si="154"/>
        <v/>
      </c>
      <c r="AG168" s="23">
        <f t="shared" si="154"/>
        <v>1</v>
      </c>
      <c r="AH168" s="23" t="str">
        <f t="shared" si="154"/>
        <v/>
      </c>
      <c r="AI168" s="23" t="str">
        <f t="shared" si="154"/>
        <v/>
      </c>
      <c r="AJ168" s="23" t="str">
        <f t="shared" si="154"/>
        <v/>
      </c>
      <c r="AK168" s="23" t="str">
        <f t="shared" si="154"/>
        <v/>
      </c>
      <c r="AL168" s="23" t="str">
        <f t="shared" si="154"/>
        <v/>
      </c>
      <c r="AM168" s="23" t="str">
        <f t="shared" si="154"/>
        <v/>
      </c>
      <c r="AN168" s="23" t="str">
        <f t="shared" si="154"/>
        <v/>
      </c>
      <c r="AO168" s="23" t="str">
        <f t="shared" si="155"/>
        <v/>
      </c>
      <c r="AP168" s="23" t="str">
        <f t="shared" si="155"/>
        <v/>
      </c>
      <c r="AQ168" s="23" t="str">
        <f t="shared" si="155"/>
        <v/>
      </c>
      <c r="AR168" s="23" t="str">
        <f t="shared" si="155"/>
        <v/>
      </c>
      <c r="AS168" s="23" t="str">
        <f t="shared" si="155"/>
        <v/>
      </c>
      <c r="AT168" s="23" t="str">
        <f t="shared" si="155"/>
        <v/>
      </c>
      <c r="AU168" s="23" t="str">
        <f t="shared" si="155"/>
        <v/>
      </c>
      <c r="AV168" s="23" t="str">
        <f t="shared" si="155"/>
        <v/>
      </c>
      <c r="AW168" s="23" t="str">
        <f t="shared" si="155"/>
        <v/>
      </c>
      <c r="AX168" s="23" t="str">
        <f t="shared" si="155"/>
        <v/>
      </c>
      <c r="AY168" s="23" t="str">
        <f t="shared" si="156"/>
        <v/>
      </c>
      <c r="AZ168" s="23" t="str">
        <f t="shared" si="156"/>
        <v/>
      </c>
      <c r="BA168" s="23" t="str">
        <f t="shared" si="156"/>
        <v/>
      </c>
      <c r="BB168" s="23" t="str">
        <f t="shared" si="156"/>
        <v/>
      </c>
      <c r="BC168" s="23" t="str">
        <f t="shared" si="156"/>
        <v/>
      </c>
      <c r="BD168" s="23" t="str">
        <f t="shared" si="156"/>
        <v/>
      </c>
      <c r="BE168" s="23" t="str">
        <f t="shared" si="156"/>
        <v/>
      </c>
      <c r="BF168" s="23" t="str">
        <f t="shared" si="156"/>
        <v/>
      </c>
      <c r="BG168" s="23" t="str">
        <f t="shared" si="156"/>
        <v/>
      </c>
      <c r="BH168" s="23" t="str">
        <f t="shared" si="156"/>
        <v/>
      </c>
      <c r="BI168" s="23" t="str">
        <f t="shared" si="157"/>
        <v/>
      </c>
      <c r="BJ168" s="23" t="str">
        <f t="shared" si="157"/>
        <v/>
      </c>
      <c r="BK168" s="23" t="str">
        <f t="shared" si="157"/>
        <v/>
      </c>
      <c r="BL168" s="23" t="str">
        <f t="shared" si="157"/>
        <v/>
      </c>
      <c r="BM168" s="23" t="str">
        <f t="shared" si="157"/>
        <v/>
      </c>
      <c r="BN168" s="23" t="str">
        <f t="shared" si="157"/>
        <v/>
      </c>
      <c r="BO168" s="23" t="str">
        <f t="shared" si="157"/>
        <v/>
      </c>
      <c r="BP168" s="23" t="str">
        <f t="shared" si="157"/>
        <v/>
      </c>
      <c r="BQ168" s="23" t="str">
        <f t="shared" si="157"/>
        <v/>
      </c>
      <c r="BR168" s="23" t="str">
        <f t="shared" si="157"/>
        <v/>
      </c>
      <c r="BS168" s="23" t="str">
        <f t="shared" si="157"/>
        <v/>
      </c>
      <c r="BU168" s="29" t="s">
        <v>538</v>
      </c>
    </row>
    <row r="169" spans="1:73" ht="17" outlineLevel="1" x14ac:dyDescent="0.2">
      <c r="A169" s="6" t="s">
        <v>539</v>
      </c>
      <c r="B169" s="25" t="s">
        <v>540</v>
      </c>
      <c r="C169" s="6" t="s">
        <v>58</v>
      </c>
      <c r="D169" s="24" t="s">
        <v>121</v>
      </c>
      <c r="F169" s="6" t="s">
        <v>536</v>
      </c>
      <c r="G169" s="22">
        <v>24</v>
      </c>
      <c r="H169" s="22">
        <v>1</v>
      </c>
      <c r="I169" s="22">
        <f>MEDIAN($I$166,$J$166,$I$166+ROUND((G169-$G$166)/$H$166*($J$166-$I$166+1),0))</f>
        <v>24</v>
      </c>
      <c r="J169" s="22">
        <f>MEDIAN(I169,$J$166,$I$166+ROUND((G169+H169-$G$166)/$H$166*($J$166-$I$166+1),0)-1)</f>
        <v>24</v>
      </c>
      <c r="K169" s="23" t="str">
        <f t="shared" si="152"/>
        <v/>
      </c>
      <c r="L169" s="23" t="str">
        <f t="shared" si="152"/>
        <v/>
      </c>
      <c r="M169" s="23" t="str">
        <f t="shared" si="152"/>
        <v/>
      </c>
      <c r="N169" s="23" t="str">
        <f t="shared" si="152"/>
        <v/>
      </c>
      <c r="O169" s="23" t="str">
        <f t="shared" si="152"/>
        <v/>
      </c>
      <c r="P169" s="23" t="str">
        <f t="shared" si="152"/>
        <v/>
      </c>
      <c r="Q169" s="23" t="str">
        <f t="shared" si="152"/>
        <v/>
      </c>
      <c r="R169" s="23" t="str">
        <f t="shared" si="152"/>
        <v/>
      </c>
      <c r="S169" s="23" t="str">
        <f t="shared" si="152"/>
        <v/>
      </c>
      <c r="T169" s="23" t="str">
        <f t="shared" si="152"/>
        <v/>
      </c>
      <c r="U169" s="23" t="str">
        <f t="shared" si="153"/>
        <v/>
      </c>
      <c r="V169" s="23" t="str">
        <f t="shared" si="153"/>
        <v/>
      </c>
      <c r="W169" s="23" t="str">
        <f t="shared" si="153"/>
        <v/>
      </c>
      <c r="X169" s="23" t="str">
        <f t="shared" si="153"/>
        <v/>
      </c>
      <c r="Y169" s="23" t="str">
        <f t="shared" si="153"/>
        <v/>
      </c>
      <c r="Z169" s="23" t="str">
        <f t="shared" si="153"/>
        <v/>
      </c>
      <c r="AA169" s="23" t="str">
        <f t="shared" si="153"/>
        <v/>
      </c>
      <c r="AB169" s="23" t="str">
        <f t="shared" si="153"/>
        <v/>
      </c>
      <c r="AC169" s="23" t="str">
        <f t="shared" si="153"/>
        <v/>
      </c>
      <c r="AD169" s="23" t="str">
        <f t="shared" si="153"/>
        <v/>
      </c>
      <c r="AE169" s="23" t="str">
        <f t="shared" si="154"/>
        <v/>
      </c>
      <c r="AF169" s="23" t="str">
        <f t="shared" si="154"/>
        <v/>
      </c>
      <c r="AG169" s="23" t="str">
        <f t="shared" si="154"/>
        <v/>
      </c>
      <c r="AH169" s="23">
        <f t="shared" si="154"/>
        <v>1</v>
      </c>
      <c r="AI169" s="23" t="str">
        <f t="shared" si="154"/>
        <v/>
      </c>
      <c r="AJ169" s="23" t="str">
        <f t="shared" si="154"/>
        <v/>
      </c>
      <c r="AK169" s="23" t="str">
        <f t="shared" si="154"/>
        <v/>
      </c>
      <c r="AL169" s="23" t="str">
        <f t="shared" si="154"/>
        <v/>
      </c>
      <c r="AM169" s="23" t="str">
        <f t="shared" si="154"/>
        <v/>
      </c>
      <c r="AN169" s="23" t="str">
        <f t="shared" si="154"/>
        <v/>
      </c>
      <c r="AO169" s="23" t="str">
        <f t="shared" si="155"/>
        <v/>
      </c>
      <c r="AP169" s="23" t="str">
        <f t="shared" si="155"/>
        <v/>
      </c>
      <c r="AQ169" s="23" t="str">
        <f t="shared" si="155"/>
        <v/>
      </c>
      <c r="AR169" s="23" t="str">
        <f t="shared" si="155"/>
        <v/>
      </c>
      <c r="AS169" s="23" t="str">
        <f t="shared" si="155"/>
        <v/>
      </c>
      <c r="AT169" s="23" t="str">
        <f t="shared" si="155"/>
        <v/>
      </c>
      <c r="AU169" s="23" t="str">
        <f t="shared" si="155"/>
        <v/>
      </c>
      <c r="AV169" s="23" t="str">
        <f t="shared" si="155"/>
        <v/>
      </c>
      <c r="AW169" s="23" t="str">
        <f t="shared" si="155"/>
        <v/>
      </c>
      <c r="AX169" s="23" t="str">
        <f t="shared" si="155"/>
        <v/>
      </c>
      <c r="AY169" s="23" t="str">
        <f t="shared" si="156"/>
        <v/>
      </c>
      <c r="AZ169" s="23" t="str">
        <f t="shared" si="156"/>
        <v/>
      </c>
      <c r="BA169" s="23" t="str">
        <f t="shared" si="156"/>
        <v/>
      </c>
      <c r="BB169" s="23" t="str">
        <f t="shared" si="156"/>
        <v/>
      </c>
      <c r="BC169" s="23" t="str">
        <f t="shared" si="156"/>
        <v/>
      </c>
      <c r="BD169" s="23" t="str">
        <f t="shared" si="156"/>
        <v/>
      </c>
      <c r="BE169" s="23" t="str">
        <f t="shared" si="156"/>
        <v/>
      </c>
      <c r="BF169" s="23" t="str">
        <f t="shared" si="156"/>
        <v/>
      </c>
      <c r="BG169" s="23" t="str">
        <f t="shared" si="156"/>
        <v/>
      </c>
      <c r="BH169" s="23" t="str">
        <f t="shared" si="156"/>
        <v/>
      </c>
      <c r="BI169" s="23" t="str">
        <f t="shared" si="157"/>
        <v/>
      </c>
      <c r="BJ169" s="23" t="str">
        <f t="shared" si="157"/>
        <v/>
      </c>
      <c r="BK169" s="23" t="str">
        <f t="shared" si="157"/>
        <v/>
      </c>
      <c r="BL169" s="23" t="str">
        <f t="shared" si="157"/>
        <v/>
      </c>
      <c r="BM169" s="23" t="str">
        <f t="shared" si="157"/>
        <v/>
      </c>
      <c r="BN169" s="23" t="str">
        <f t="shared" si="157"/>
        <v/>
      </c>
      <c r="BO169" s="23" t="str">
        <f t="shared" si="157"/>
        <v/>
      </c>
      <c r="BP169" s="23" t="str">
        <f t="shared" si="157"/>
        <v/>
      </c>
      <c r="BQ169" s="23" t="str">
        <f t="shared" si="157"/>
        <v/>
      </c>
      <c r="BR169" s="23" t="str">
        <f t="shared" si="157"/>
        <v/>
      </c>
      <c r="BS169" s="23" t="str">
        <f t="shared" si="157"/>
        <v/>
      </c>
      <c r="BU169" s="29" t="s">
        <v>541</v>
      </c>
    </row>
    <row r="170" spans="1:73" x14ac:dyDescent="0.2">
      <c r="BU170" s="30"/>
    </row>
    <row r="171" spans="1:73" ht="17" x14ac:dyDescent="0.2">
      <c r="A171" s="19" t="s">
        <v>542</v>
      </c>
      <c r="B171" s="20" t="s">
        <v>543</v>
      </c>
      <c r="C171" s="19" t="s">
        <v>55</v>
      </c>
      <c r="D171" s="21" t="s">
        <v>117</v>
      </c>
      <c r="E171" s="19" t="s">
        <v>71</v>
      </c>
      <c r="F171" s="19"/>
      <c r="G171" s="22">
        <v>23</v>
      </c>
      <c r="H171" s="22">
        <v>3</v>
      </c>
      <c r="I171" s="22">
        <f>MIN(61,IF(G171&lt;=29,ROUND((G171-1)*(29+SlipWeeks)/29,0)+1,G171+SlipWeeks))</f>
        <v>23</v>
      </c>
      <c r="J171" s="22">
        <f>MIN(61,IF(G171+H171-1&lt;=29,MAX(ROUND((G171+H171-1)*(29+SlipWeeks)/29,0),I171),G171+H171-1+SlipWeeks))</f>
        <v>25</v>
      </c>
      <c r="K171" s="23" t="str">
        <f t="shared" ref="K171:T174" si="158">IF(AND(K$4&gt;=$I171,K$4&lt;=$J171),1,"")</f>
        <v/>
      </c>
      <c r="L171" s="23" t="str">
        <f t="shared" si="158"/>
        <v/>
      </c>
      <c r="M171" s="23" t="str">
        <f t="shared" si="158"/>
        <v/>
      </c>
      <c r="N171" s="23" t="str">
        <f t="shared" si="158"/>
        <v/>
      </c>
      <c r="O171" s="23" t="str">
        <f t="shared" si="158"/>
        <v/>
      </c>
      <c r="P171" s="23" t="str">
        <f t="shared" si="158"/>
        <v/>
      </c>
      <c r="Q171" s="23" t="str">
        <f t="shared" si="158"/>
        <v/>
      </c>
      <c r="R171" s="23" t="str">
        <f t="shared" si="158"/>
        <v/>
      </c>
      <c r="S171" s="23" t="str">
        <f t="shared" si="158"/>
        <v/>
      </c>
      <c r="T171" s="23" t="str">
        <f t="shared" si="158"/>
        <v/>
      </c>
      <c r="U171" s="23" t="str">
        <f t="shared" ref="U171:AD174" si="159">IF(AND(U$4&gt;=$I171,U$4&lt;=$J171),1,"")</f>
        <v/>
      </c>
      <c r="V171" s="23" t="str">
        <f t="shared" si="159"/>
        <v/>
      </c>
      <c r="W171" s="23" t="str">
        <f t="shared" si="159"/>
        <v/>
      </c>
      <c r="X171" s="23" t="str">
        <f t="shared" si="159"/>
        <v/>
      </c>
      <c r="Y171" s="23" t="str">
        <f t="shared" si="159"/>
        <v/>
      </c>
      <c r="Z171" s="23" t="str">
        <f t="shared" si="159"/>
        <v/>
      </c>
      <c r="AA171" s="23" t="str">
        <f t="shared" si="159"/>
        <v/>
      </c>
      <c r="AB171" s="23" t="str">
        <f t="shared" si="159"/>
        <v/>
      </c>
      <c r="AC171" s="23" t="str">
        <f t="shared" si="159"/>
        <v/>
      </c>
      <c r="AD171" s="23" t="str">
        <f t="shared" si="159"/>
        <v/>
      </c>
      <c r="AE171" s="23" t="str">
        <f t="shared" ref="AE171:AN174" si="160">IF(AND(AE$4&gt;=$I171,AE$4&lt;=$J171),1,"")</f>
        <v/>
      </c>
      <c r="AF171" s="23" t="str">
        <f t="shared" si="160"/>
        <v/>
      </c>
      <c r="AG171" s="23">
        <f t="shared" si="160"/>
        <v>1</v>
      </c>
      <c r="AH171" s="23">
        <f t="shared" si="160"/>
        <v>1</v>
      </c>
      <c r="AI171" s="23">
        <f t="shared" si="160"/>
        <v>1</v>
      </c>
      <c r="AJ171" s="23" t="str">
        <f t="shared" si="160"/>
        <v/>
      </c>
      <c r="AK171" s="23" t="str">
        <f t="shared" si="160"/>
        <v/>
      </c>
      <c r="AL171" s="23" t="str">
        <f t="shared" si="160"/>
        <v/>
      </c>
      <c r="AM171" s="23" t="str">
        <f t="shared" si="160"/>
        <v/>
      </c>
      <c r="AN171" s="23" t="str">
        <f t="shared" si="160"/>
        <v/>
      </c>
      <c r="AO171" s="23" t="str">
        <f t="shared" ref="AO171:AX174" si="161">IF(AND(AO$4&gt;=$I171,AO$4&lt;=$J171),1,"")</f>
        <v/>
      </c>
      <c r="AP171" s="23" t="str">
        <f t="shared" si="161"/>
        <v/>
      </c>
      <c r="AQ171" s="23" t="str">
        <f t="shared" si="161"/>
        <v/>
      </c>
      <c r="AR171" s="23" t="str">
        <f t="shared" si="161"/>
        <v/>
      </c>
      <c r="AS171" s="23" t="str">
        <f t="shared" si="161"/>
        <v/>
      </c>
      <c r="AT171" s="23" t="str">
        <f t="shared" si="161"/>
        <v/>
      </c>
      <c r="AU171" s="23" t="str">
        <f t="shared" si="161"/>
        <v/>
      </c>
      <c r="AV171" s="23" t="str">
        <f t="shared" si="161"/>
        <v/>
      </c>
      <c r="AW171" s="23" t="str">
        <f t="shared" si="161"/>
        <v/>
      </c>
      <c r="AX171" s="23" t="str">
        <f t="shared" si="161"/>
        <v/>
      </c>
      <c r="AY171" s="23" t="str">
        <f t="shared" ref="AY171:BH174" si="162">IF(AND(AY$4&gt;=$I171,AY$4&lt;=$J171),1,"")</f>
        <v/>
      </c>
      <c r="AZ171" s="23" t="str">
        <f t="shared" si="162"/>
        <v/>
      </c>
      <c r="BA171" s="23" t="str">
        <f t="shared" si="162"/>
        <v/>
      </c>
      <c r="BB171" s="23" t="str">
        <f t="shared" si="162"/>
        <v/>
      </c>
      <c r="BC171" s="23" t="str">
        <f t="shared" si="162"/>
        <v/>
      </c>
      <c r="BD171" s="23" t="str">
        <f t="shared" si="162"/>
        <v/>
      </c>
      <c r="BE171" s="23" t="str">
        <f t="shared" si="162"/>
        <v/>
      </c>
      <c r="BF171" s="23" t="str">
        <f t="shared" si="162"/>
        <v/>
      </c>
      <c r="BG171" s="23" t="str">
        <f t="shared" si="162"/>
        <v/>
      </c>
      <c r="BH171" s="23" t="str">
        <f t="shared" si="162"/>
        <v/>
      </c>
      <c r="BI171" s="23" t="str">
        <f t="shared" ref="BI171:BS174" si="163">IF(AND(BI$4&gt;=$I171,BI$4&lt;=$J171),1,"")</f>
        <v/>
      </c>
      <c r="BJ171" s="23" t="str">
        <f t="shared" si="163"/>
        <v/>
      </c>
      <c r="BK171" s="23" t="str">
        <f t="shared" si="163"/>
        <v/>
      </c>
      <c r="BL171" s="23" t="str">
        <f t="shared" si="163"/>
        <v/>
      </c>
      <c r="BM171" s="23" t="str">
        <f t="shared" si="163"/>
        <v/>
      </c>
      <c r="BN171" s="23" t="str">
        <f t="shared" si="163"/>
        <v/>
      </c>
      <c r="BO171" s="23" t="str">
        <f t="shared" si="163"/>
        <v/>
      </c>
      <c r="BP171" s="23" t="str">
        <f t="shared" si="163"/>
        <v/>
      </c>
      <c r="BQ171" s="23" t="str">
        <f t="shared" si="163"/>
        <v/>
      </c>
      <c r="BR171" s="23" t="str">
        <f t="shared" si="163"/>
        <v/>
      </c>
      <c r="BS171" s="23" t="str">
        <f t="shared" si="163"/>
        <v/>
      </c>
      <c r="BT171" s="24" t="str">
        <f>IF(IF(G171+H171-1&lt;=29,MAX(ROUND((G171+H171-1)*(29+SlipWeeks)/29,0),$I171),G171+H171-1+SlipWeeks)&gt;61,"▶ clipped","")</f>
        <v/>
      </c>
      <c r="BU171" s="29" t="s">
        <v>544</v>
      </c>
    </row>
    <row r="172" spans="1:73" ht="34" outlineLevel="1" x14ac:dyDescent="0.2">
      <c r="A172" s="6" t="s">
        <v>545</v>
      </c>
      <c r="B172" s="25" t="s">
        <v>546</v>
      </c>
      <c r="C172" s="6" t="s">
        <v>55</v>
      </c>
      <c r="D172" s="24" t="s">
        <v>121</v>
      </c>
      <c r="F172" s="6"/>
      <c r="G172" s="22">
        <v>23</v>
      </c>
      <c r="H172" s="22">
        <v>1</v>
      </c>
      <c r="I172" s="22">
        <f>MEDIAN($I$171,$J$171,$I$171+ROUND((G172-$G$171)/$H$171*($J$171-$I$171+1),0))</f>
        <v>23</v>
      </c>
      <c r="J172" s="22">
        <f>MEDIAN(I172,$J$171,$I$171+ROUND((G172+H172-$G$171)/$H$171*($J$171-$I$171+1),0)-1)</f>
        <v>23</v>
      </c>
      <c r="K172" s="23" t="str">
        <f t="shared" si="158"/>
        <v/>
      </c>
      <c r="L172" s="23" t="str">
        <f t="shared" si="158"/>
        <v/>
      </c>
      <c r="M172" s="23" t="str">
        <f t="shared" si="158"/>
        <v/>
      </c>
      <c r="N172" s="23" t="str">
        <f t="shared" si="158"/>
        <v/>
      </c>
      <c r="O172" s="23" t="str">
        <f t="shared" si="158"/>
        <v/>
      </c>
      <c r="P172" s="23" t="str">
        <f t="shared" si="158"/>
        <v/>
      </c>
      <c r="Q172" s="23" t="str">
        <f t="shared" si="158"/>
        <v/>
      </c>
      <c r="R172" s="23" t="str">
        <f t="shared" si="158"/>
        <v/>
      </c>
      <c r="S172" s="23" t="str">
        <f t="shared" si="158"/>
        <v/>
      </c>
      <c r="T172" s="23" t="str">
        <f t="shared" si="158"/>
        <v/>
      </c>
      <c r="U172" s="23" t="str">
        <f t="shared" si="159"/>
        <v/>
      </c>
      <c r="V172" s="23" t="str">
        <f t="shared" si="159"/>
        <v/>
      </c>
      <c r="W172" s="23" t="str">
        <f t="shared" si="159"/>
        <v/>
      </c>
      <c r="X172" s="23" t="str">
        <f t="shared" si="159"/>
        <v/>
      </c>
      <c r="Y172" s="23" t="str">
        <f t="shared" si="159"/>
        <v/>
      </c>
      <c r="Z172" s="23" t="str">
        <f t="shared" si="159"/>
        <v/>
      </c>
      <c r="AA172" s="23" t="str">
        <f t="shared" si="159"/>
        <v/>
      </c>
      <c r="AB172" s="23" t="str">
        <f t="shared" si="159"/>
        <v/>
      </c>
      <c r="AC172" s="23" t="str">
        <f t="shared" si="159"/>
        <v/>
      </c>
      <c r="AD172" s="23" t="str">
        <f t="shared" si="159"/>
        <v/>
      </c>
      <c r="AE172" s="23" t="str">
        <f t="shared" si="160"/>
        <v/>
      </c>
      <c r="AF172" s="23" t="str">
        <f t="shared" si="160"/>
        <v/>
      </c>
      <c r="AG172" s="23">
        <f t="shared" si="160"/>
        <v>1</v>
      </c>
      <c r="AH172" s="23" t="str">
        <f t="shared" si="160"/>
        <v/>
      </c>
      <c r="AI172" s="23" t="str">
        <f t="shared" si="160"/>
        <v/>
      </c>
      <c r="AJ172" s="23" t="str">
        <f t="shared" si="160"/>
        <v/>
      </c>
      <c r="AK172" s="23" t="str">
        <f t="shared" si="160"/>
        <v/>
      </c>
      <c r="AL172" s="23" t="str">
        <f t="shared" si="160"/>
        <v/>
      </c>
      <c r="AM172" s="23" t="str">
        <f t="shared" si="160"/>
        <v/>
      </c>
      <c r="AN172" s="23" t="str">
        <f t="shared" si="160"/>
        <v/>
      </c>
      <c r="AO172" s="23" t="str">
        <f t="shared" si="161"/>
        <v/>
      </c>
      <c r="AP172" s="23" t="str">
        <f t="shared" si="161"/>
        <v/>
      </c>
      <c r="AQ172" s="23" t="str">
        <f t="shared" si="161"/>
        <v/>
      </c>
      <c r="AR172" s="23" t="str">
        <f t="shared" si="161"/>
        <v/>
      </c>
      <c r="AS172" s="23" t="str">
        <f t="shared" si="161"/>
        <v/>
      </c>
      <c r="AT172" s="23" t="str">
        <f t="shared" si="161"/>
        <v/>
      </c>
      <c r="AU172" s="23" t="str">
        <f t="shared" si="161"/>
        <v/>
      </c>
      <c r="AV172" s="23" t="str">
        <f t="shared" si="161"/>
        <v/>
      </c>
      <c r="AW172" s="23" t="str">
        <f t="shared" si="161"/>
        <v/>
      </c>
      <c r="AX172" s="23" t="str">
        <f t="shared" si="161"/>
        <v/>
      </c>
      <c r="AY172" s="23" t="str">
        <f t="shared" si="162"/>
        <v/>
      </c>
      <c r="AZ172" s="23" t="str">
        <f t="shared" si="162"/>
        <v/>
      </c>
      <c r="BA172" s="23" t="str">
        <f t="shared" si="162"/>
        <v/>
      </c>
      <c r="BB172" s="23" t="str">
        <f t="shared" si="162"/>
        <v/>
      </c>
      <c r="BC172" s="23" t="str">
        <f t="shared" si="162"/>
        <v/>
      </c>
      <c r="BD172" s="23" t="str">
        <f t="shared" si="162"/>
        <v/>
      </c>
      <c r="BE172" s="23" t="str">
        <f t="shared" si="162"/>
        <v/>
      </c>
      <c r="BF172" s="23" t="str">
        <f t="shared" si="162"/>
        <v/>
      </c>
      <c r="BG172" s="23" t="str">
        <f t="shared" si="162"/>
        <v/>
      </c>
      <c r="BH172" s="23" t="str">
        <f t="shared" si="162"/>
        <v/>
      </c>
      <c r="BI172" s="23" t="str">
        <f t="shared" si="163"/>
        <v/>
      </c>
      <c r="BJ172" s="23" t="str">
        <f t="shared" si="163"/>
        <v/>
      </c>
      <c r="BK172" s="23" t="str">
        <f t="shared" si="163"/>
        <v/>
      </c>
      <c r="BL172" s="23" t="str">
        <f t="shared" si="163"/>
        <v/>
      </c>
      <c r="BM172" s="23" t="str">
        <f t="shared" si="163"/>
        <v/>
      </c>
      <c r="BN172" s="23" t="str">
        <f t="shared" si="163"/>
        <v/>
      </c>
      <c r="BO172" s="23" t="str">
        <f t="shared" si="163"/>
        <v/>
      </c>
      <c r="BP172" s="23" t="str">
        <f t="shared" si="163"/>
        <v/>
      </c>
      <c r="BQ172" s="23" t="str">
        <f t="shared" si="163"/>
        <v/>
      </c>
      <c r="BR172" s="23" t="str">
        <f t="shared" si="163"/>
        <v/>
      </c>
      <c r="BS172" s="23" t="str">
        <f t="shared" si="163"/>
        <v/>
      </c>
      <c r="BU172" s="29" t="s">
        <v>547</v>
      </c>
    </row>
    <row r="173" spans="1:73" ht="17" outlineLevel="1" x14ac:dyDescent="0.2">
      <c r="A173" s="6" t="s">
        <v>548</v>
      </c>
      <c r="B173" s="25" t="s">
        <v>549</v>
      </c>
      <c r="C173" s="6" t="s">
        <v>55</v>
      </c>
      <c r="D173" s="24" t="s">
        <v>121</v>
      </c>
      <c r="F173" s="6" t="s">
        <v>545</v>
      </c>
      <c r="G173" s="22">
        <v>24</v>
      </c>
      <c r="H173" s="22">
        <v>1</v>
      </c>
      <c r="I173" s="22">
        <f>MEDIAN($I$171,$J$171,$I$171+ROUND((G173-$G$171)/$H$171*($J$171-$I$171+1),0))</f>
        <v>24</v>
      </c>
      <c r="J173" s="22">
        <f>MEDIAN(I173,$J$171,$I$171+ROUND((G173+H173-$G$171)/$H$171*($J$171-$I$171+1),0)-1)</f>
        <v>24</v>
      </c>
      <c r="K173" s="23" t="str">
        <f t="shared" si="158"/>
        <v/>
      </c>
      <c r="L173" s="23" t="str">
        <f t="shared" si="158"/>
        <v/>
      </c>
      <c r="M173" s="23" t="str">
        <f t="shared" si="158"/>
        <v/>
      </c>
      <c r="N173" s="23" t="str">
        <f t="shared" si="158"/>
        <v/>
      </c>
      <c r="O173" s="23" t="str">
        <f t="shared" si="158"/>
        <v/>
      </c>
      <c r="P173" s="23" t="str">
        <f t="shared" si="158"/>
        <v/>
      </c>
      <c r="Q173" s="23" t="str">
        <f t="shared" si="158"/>
        <v/>
      </c>
      <c r="R173" s="23" t="str">
        <f t="shared" si="158"/>
        <v/>
      </c>
      <c r="S173" s="23" t="str">
        <f t="shared" si="158"/>
        <v/>
      </c>
      <c r="T173" s="23" t="str">
        <f t="shared" si="158"/>
        <v/>
      </c>
      <c r="U173" s="23" t="str">
        <f t="shared" si="159"/>
        <v/>
      </c>
      <c r="V173" s="23" t="str">
        <f t="shared" si="159"/>
        <v/>
      </c>
      <c r="W173" s="23" t="str">
        <f t="shared" si="159"/>
        <v/>
      </c>
      <c r="X173" s="23" t="str">
        <f t="shared" si="159"/>
        <v/>
      </c>
      <c r="Y173" s="23" t="str">
        <f t="shared" si="159"/>
        <v/>
      </c>
      <c r="Z173" s="23" t="str">
        <f t="shared" si="159"/>
        <v/>
      </c>
      <c r="AA173" s="23" t="str">
        <f t="shared" si="159"/>
        <v/>
      </c>
      <c r="AB173" s="23" t="str">
        <f t="shared" si="159"/>
        <v/>
      </c>
      <c r="AC173" s="23" t="str">
        <f t="shared" si="159"/>
        <v/>
      </c>
      <c r="AD173" s="23" t="str">
        <f t="shared" si="159"/>
        <v/>
      </c>
      <c r="AE173" s="23" t="str">
        <f t="shared" si="160"/>
        <v/>
      </c>
      <c r="AF173" s="23" t="str">
        <f t="shared" si="160"/>
        <v/>
      </c>
      <c r="AG173" s="23" t="str">
        <f t="shared" si="160"/>
        <v/>
      </c>
      <c r="AH173" s="23">
        <f t="shared" si="160"/>
        <v>1</v>
      </c>
      <c r="AI173" s="23" t="str">
        <f t="shared" si="160"/>
        <v/>
      </c>
      <c r="AJ173" s="23" t="str">
        <f t="shared" si="160"/>
        <v/>
      </c>
      <c r="AK173" s="23" t="str">
        <f t="shared" si="160"/>
        <v/>
      </c>
      <c r="AL173" s="23" t="str">
        <f t="shared" si="160"/>
        <v/>
      </c>
      <c r="AM173" s="23" t="str">
        <f t="shared" si="160"/>
        <v/>
      </c>
      <c r="AN173" s="23" t="str">
        <f t="shared" si="160"/>
        <v/>
      </c>
      <c r="AO173" s="23" t="str">
        <f t="shared" si="161"/>
        <v/>
      </c>
      <c r="AP173" s="23" t="str">
        <f t="shared" si="161"/>
        <v/>
      </c>
      <c r="AQ173" s="23" t="str">
        <f t="shared" si="161"/>
        <v/>
      </c>
      <c r="AR173" s="23" t="str">
        <f t="shared" si="161"/>
        <v/>
      </c>
      <c r="AS173" s="23" t="str">
        <f t="shared" si="161"/>
        <v/>
      </c>
      <c r="AT173" s="23" t="str">
        <f t="shared" si="161"/>
        <v/>
      </c>
      <c r="AU173" s="23" t="str">
        <f t="shared" si="161"/>
        <v/>
      </c>
      <c r="AV173" s="23" t="str">
        <f t="shared" si="161"/>
        <v/>
      </c>
      <c r="AW173" s="23" t="str">
        <f t="shared" si="161"/>
        <v/>
      </c>
      <c r="AX173" s="23" t="str">
        <f t="shared" si="161"/>
        <v/>
      </c>
      <c r="AY173" s="23" t="str">
        <f t="shared" si="162"/>
        <v/>
      </c>
      <c r="AZ173" s="23" t="str">
        <f t="shared" si="162"/>
        <v/>
      </c>
      <c r="BA173" s="23" t="str">
        <f t="shared" si="162"/>
        <v/>
      </c>
      <c r="BB173" s="23" t="str">
        <f t="shared" si="162"/>
        <v/>
      </c>
      <c r="BC173" s="23" t="str">
        <f t="shared" si="162"/>
        <v/>
      </c>
      <c r="BD173" s="23" t="str">
        <f t="shared" si="162"/>
        <v/>
      </c>
      <c r="BE173" s="23" t="str">
        <f t="shared" si="162"/>
        <v/>
      </c>
      <c r="BF173" s="23" t="str">
        <f t="shared" si="162"/>
        <v/>
      </c>
      <c r="BG173" s="23" t="str">
        <f t="shared" si="162"/>
        <v/>
      </c>
      <c r="BH173" s="23" t="str">
        <f t="shared" si="162"/>
        <v/>
      </c>
      <c r="BI173" s="23" t="str">
        <f t="shared" si="163"/>
        <v/>
      </c>
      <c r="BJ173" s="23" t="str">
        <f t="shared" si="163"/>
        <v/>
      </c>
      <c r="BK173" s="23" t="str">
        <f t="shared" si="163"/>
        <v/>
      </c>
      <c r="BL173" s="23" t="str">
        <f t="shared" si="163"/>
        <v/>
      </c>
      <c r="BM173" s="23" t="str">
        <f t="shared" si="163"/>
        <v/>
      </c>
      <c r="BN173" s="23" t="str">
        <f t="shared" si="163"/>
        <v/>
      </c>
      <c r="BO173" s="23" t="str">
        <f t="shared" si="163"/>
        <v/>
      </c>
      <c r="BP173" s="23" t="str">
        <f t="shared" si="163"/>
        <v/>
      </c>
      <c r="BQ173" s="23" t="str">
        <f t="shared" si="163"/>
        <v/>
      </c>
      <c r="BR173" s="23" t="str">
        <f t="shared" si="163"/>
        <v/>
      </c>
      <c r="BS173" s="23" t="str">
        <f t="shared" si="163"/>
        <v/>
      </c>
      <c r="BU173" s="29" t="s">
        <v>550</v>
      </c>
    </row>
    <row r="174" spans="1:73" ht="17" outlineLevel="1" x14ac:dyDescent="0.2">
      <c r="A174" s="6" t="s">
        <v>551</v>
      </c>
      <c r="B174" s="25" t="s">
        <v>552</v>
      </c>
      <c r="C174" s="6" t="s">
        <v>55</v>
      </c>
      <c r="D174" s="24" t="s">
        <v>121</v>
      </c>
      <c r="F174" s="6" t="s">
        <v>548</v>
      </c>
      <c r="G174" s="22">
        <v>25</v>
      </c>
      <c r="H174" s="22">
        <v>1</v>
      </c>
      <c r="I174" s="22">
        <f>MEDIAN($I$171,$J$171,$I$171+ROUND((G174-$G$171)/$H$171*($J$171-$I$171+1),0))</f>
        <v>25</v>
      </c>
      <c r="J174" s="22">
        <f>MEDIAN(I174,$J$171,$I$171+ROUND((G174+H174-$G$171)/$H$171*($J$171-$I$171+1),0)-1)</f>
        <v>25</v>
      </c>
      <c r="K174" s="23" t="str">
        <f t="shared" si="158"/>
        <v/>
      </c>
      <c r="L174" s="23" t="str">
        <f t="shared" si="158"/>
        <v/>
      </c>
      <c r="M174" s="23" t="str">
        <f t="shared" si="158"/>
        <v/>
      </c>
      <c r="N174" s="23" t="str">
        <f t="shared" si="158"/>
        <v/>
      </c>
      <c r="O174" s="23" t="str">
        <f t="shared" si="158"/>
        <v/>
      </c>
      <c r="P174" s="23" t="str">
        <f t="shared" si="158"/>
        <v/>
      </c>
      <c r="Q174" s="23" t="str">
        <f t="shared" si="158"/>
        <v/>
      </c>
      <c r="R174" s="23" t="str">
        <f t="shared" si="158"/>
        <v/>
      </c>
      <c r="S174" s="23" t="str">
        <f t="shared" si="158"/>
        <v/>
      </c>
      <c r="T174" s="23" t="str">
        <f t="shared" si="158"/>
        <v/>
      </c>
      <c r="U174" s="23" t="str">
        <f t="shared" si="159"/>
        <v/>
      </c>
      <c r="V174" s="23" t="str">
        <f t="shared" si="159"/>
        <v/>
      </c>
      <c r="W174" s="23" t="str">
        <f t="shared" si="159"/>
        <v/>
      </c>
      <c r="X174" s="23" t="str">
        <f t="shared" si="159"/>
        <v/>
      </c>
      <c r="Y174" s="23" t="str">
        <f t="shared" si="159"/>
        <v/>
      </c>
      <c r="Z174" s="23" t="str">
        <f t="shared" si="159"/>
        <v/>
      </c>
      <c r="AA174" s="23" t="str">
        <f t="shared" si="159"/>
        <v/>
      </c>
      <c r="AB174" s="23" t="str">
        <f t="shared" si="159"/>
        <v/>
      </c>
      <c r="AC174" s="23" t="str">
        <f t="shared" si="159"/>
        <v/>
      </c>
      <c r="AD174" s="23" t="str">
        <f t="shared" si="159"/>
        <v/>
      </c>
      <c r="AE174" s="23" t="str">
        <f t="shared" si="160"/>
        <v/>
      </c>
      <c r="AF174" s="23" t="str">
        <f t="shared" si="160"/>
        <v/>
      </c>
      <c r="AG174" s="23" t="str">
        <f t="shared" si="160"/>
        <v/>
      </c>
      <c r="AH174" s="23" t="str">
        <f t="shared" si="160"/>
        <v/>
      </c>
      <c r="AI174" s="23">
        <f t="shared" si="160"/>
        <v>1</v>
      </c>
      <c r="AJ174" s="23" t="str">
        <f t="shared" si="160"/>
        <v/>
      </c>
      <c r="AK174" s="23" t="str">
        <f t="shared" si="160"/>
        <v/>
      </c>
      <c r="AL174" s="23" t="str">
        <f t="shared" si="160"/>
        <v/>
      </c>
      <c r="AM174" s="23" t="str">
        <f t="shared" si="160"/>
        <v/>
      </c>
      <c r="AN174" s="23" t="str">
        <f t="shared" si="160"/>
        <v/>
      </c>
      <c r="AO174" s="23" t="str">
        <f t="shared" si="161"/>
        <v/>
      </c>
      <c r="AP174" s="23" t="str">
        <f t="shared" si="161"/>
        <v/>
      </c>
      <c r="AQ174" s="23" t="str">
        <f t="shared" si="161"/>
        <v/>
      </c>
      <c r="AR174" s="23" t="str">
        <f t="shared" si="161"/>
        <v/>
      </c>
      <c r="AS174" s="23" t="str">
        <f t="shared" si="161"/>
        <v/>
      </c>
      <c r="AT174" s="23" t="str">
        <f t="shared" si="161"/>
        <v/>
      </c>
      <c r="AU174" s="23" t="str">
        <f t="shared" si="161"/>
        <v/>
      </c>
      <c r="AV174" s="23" t="str">
        <f t="shared" si="161"/>
        <v/>
      </c>
      <c r="AW174" s="23" t="str">
        <f t="shared" si="161"/>
        <v/>
      </c>
      <c r="AX174" s="23" t="str">
        <f t="shared" si="161"/>
        <v/>
      </c>
      <c r="AY174" s="23" t="str">
        <f t="shared" si="162"/>
        <v/>
      </c>
      <c r="AZ174" s="23" t="str">
        <f t="shared" si="162"/>
        <v/>
      </c>
      <c r="BA174" s="23" t="str">
        <f t="shared" si="162"/>
        <v/>
      </c>
      <c r="BB174" s="23" t="str">
        <f t="shared" si="162"/>
        <v/>
      </c>
      <c r="BC174" s="23" t="str">
        <f t="shared" si="162"/>
        <v/>
      </c>
      <c r="BD174" s="23" t="str">
        <f t="shared" si="162"/>
        <v/>
      </c>
      <c r="BE174" s="23" t="str">
        <f t="shared" si="162"/>
        <v/>
      </c>
      <c r="BF174" s="23" t="str">
        <f t="shared" si="162"/>
        <v/>
      </c>
      <c r="BG174" s="23" t="str">
        <f t="shared" si="162"/>
        <v/>
      </c>
      <c r="BH174" s="23" t="str">
        <f t="shared" si="162"/>
        <v/>
      </c>
      <c r="BI174" s="23" t="str">
        <f t="shared" si="163"/>
        <v/>
      </c>
      <c r="BJ174" s="23" t="str">
        <f t="shared" si="163"/>
        <v/>
      </c>
      <c r="BK174" s="23" t="str">
        <f t="shared" si="163"/>
        <v/>
      </c>
      <c r="BL174" s="23" t="str">
        <f t="shared" si="163"/>
        <v/>
      </c>
      <c r="BM174" s="23" t="str">
        <f t="shared" si="163"/>
        <v/>
      </c>
      <c r="BN174" s="23" t="str">
        <f t="shared" si="163"/>
        <v/>
      </c>
      <c r="BO174" s="23" t="str">
        <f t="shared" si="163"/>
        <v/>
      </c>
      <c r="BP174" s="23" t="str">
        <f t="shared" si="163"/>
        <v/>
      </c>
      <c r="BQ174" s="23" t="str">
        <f t="shared" si="163"/>
        <v/>
      </c>
      <c r="BR174" s="23" t="str">
        <f t="shared" si="163"/>
        <v/>
      </c>
      <c r="BS174" s="23" t="str">
        <f t="shared" si="163"/>
        <v/>
      </c>
      <c r="BU174" s="29" t="s">
        <v>553</v>
      </c>
    </row>
    <row r="175" spans="1:73" x14ac:dyDescent="0.2">
      <c r="BU175" s="30"/>
    </row>
    <row r="176" spans="1:73" ht="17" x14ac:dyDescent="0.2">
      <c r="A176" s="19" t="s">
        <v>554</v>
      </c>
      <c r="B176" s="20" t="s">
        <v>555</v>
      </c>
      <c r="C176" s="19" t="s">
        <v>55</v>
      </c>
      <c r="D176" s="21" t="s">
        <v>117</v>
      </c>
      <c r="E176" s="19" t="s">
        <v>71</v>
      </c>
      <c r="F176" s="19"/>
      <c r="G176" s="22">
        <v>23</v>
      </c>
      <c r="H176" s="22">
        <v>3</v>
      </c>
      <c r="I176" s="22">
        <f>MIN(61,IF(G176&lt;=29,ROUND((G176-1)*(29+SlipWeeks)/29,0)+1,G176+SlipWeeks))</f>
        <v>23</v>
      </c>
      <c r="J176" s="22">
        <f>MIN(61,IF(G176+H176-1&lt;=29,MAX(ROUND((G176+H176-1)*(29+SlipWeeks)/29,0),I176),G176+H176-1+SlipWeeks))</f>
        <v>25</v>
      </c>
      <c r="K176" s="23" t="str">
        <f t="shared" ref="K176:T179" si="164">IF(AND(K$4&gt;=$I176,K$4&lt;=$J176),1,"")</f>
        <v/>
      </c>
      <c r="L176" s="23" t="str">
        <f t="shared" si="164"/>
        <v/>
      </c>
      <c r="M176" s="23" t="str">
        <f t="shared" si="164"/>
        <v/>
      </c>
      <c r="N176" s="23" t="str">
        <f t="shared" si="164"/>
        <v/>
      </c>
      <c r="O176" s="23" t="str">
        <f t="shared" si="164"/>
        <v/>
      </c>
      <c r="P176" s="23" t="str">
        <f t="shared" si="164"/>
        <v/>
      </c>
      <c r="Q176" s="23" t="str">
        <f t="shared" si="164"/>
        <v/>
      </c>
      <c r="R176" s="23" t="str">
        <f t="shared" si="164"/>
        <v/>
      </c>
      <c r="S176" s="23" t="str">
        <f t="shared" si="164"/>
        <v/>
      </c>
      <c r="T176" s="23" t="str">
        <f t="shared" si="164"/>
        <v/>
      </c>
      <c r="U176" s="23" t="str">
        <f t="shared" ref="U176:AD179" si="165">IF(AND(U$4&gt;=$I176,U$4&lt;=$J176),1,"")</f>
        <v/>
      </c>
      <c r="V176" s="23" t="str">
        <f t="shared" si="165"/>
        <v/>
      </c>
      <c r="W176" s="23" t="str">
        <f t="shared" si="165"/>
        <v/>
      </c>
      <c r="X176" s="23" t="str">
        <f t="shared" si="165"/>
        <v/>
      </c>
      <c r="Y176" s="23" t="str">
        <f t="shared" si="165"/>
        <v/>
      </c>
      <c r="Z176" s="23" t="str">
        <f t="shared" si="165"/>
        <v/>
      </c>
      <c r="AA176" s="23" t="str">
        <f t="shared" si="165"/>
        <v/>
      </c>
      <c r="AB176" s="23" t="str">
        <f t="shared" si="165"/>
        <v/>
      </c>
      <c r="AC176" s="23" t="str">
        <f t="shared" si="165"/>
        <v/>
      </c>
      <c r="AD176" s="23" t="str">
        <f t="shared" si="165"/>
        <v/>
      </c>
      <c r="AE176" s="23" t="str">
        <f t="shared" ref="AE176:AN179" si="166">IF(AND(AE$4&gt;=$I176,AE$4&lt;=$J176),1,"")</f>
        <v/>
      </c>
      <c r="AF176" s="23" t="str">
        <f t="shared" si="166"/>
        <v/>
      </c>
      <c r="AG176" s="23">
        <f t="shared" si="166"/>
        <v>1</v>
      </c>
      <c r="AH176" s="23">
        <f t="shared" si="166"/>
        <v>1</v>
      </c>
      <c r="AI176" s="23">
        <f t="shared" si="166"/>
        <v>1</v>
      </c>
      <c r="AJ176" s="23" t="str">
        <f t="shared" si="166"/>
        <v/>
      </c>
      <c r="AK176" s="23" t="str">
        <f t="shared" si="166"/>
        <v/>
      </c>
      <c r="AL176" s="23" t="str">
        <f t="shared" si="166"/>
        <v/>
      </c>
      <c r="AM176" s="23" t="str">
        <f t="shared" si="166"/>
        <v/>
      </c>
      <c r="AN176" s="23" t="str">
        <f t="shared" si="166"/>
        <v/>
      </c>
      <c r="AO176" s="23" t="str">
        <f t="shared" ref="AO176:AX179" si="167">IF(AND(AO$4&gt;=$I176,AO$4&lt;=$J176),1,"")</f>
        <v/>
      </c>
      <c r="AP176" s="23" t="str">
        <f t="shared" si="167"/>
        <v/>
      </c>
      <c r="AQ176" s="23" t="str">
        <f t="shared" si="167"/>
        <v/>
      </c>
      <c r="AR176" s="23" t="str">
        <f t="shared" si="167"/>
        <v/>
      </c>
      <c r="AS176" s="23" t="str">
        <f t="shared" si="167"/>
        <v/>
      </c>
      <c r="AT176" s="23" t="str">
        <f t="shared" si="167"/>
        <v/>
      </c>
      <c r="AU176" s="23" t="str">
        <f t="shared" si="167"/>
        <v/>
      </c>
      <c r="AV176" s="23" t="str">
        <f t="shared" si="167"/>
        <v/>
      </c>
      <c r="AW176" s="23" t="str">
        <f t="shared" si="167"/>
        <v/>
      </c>
      <c r="AX176" s="23" t="str">
        <f t="shared" si="167"/>
        <v/>
      </c>
      <c r="AY176" s="23" t="str">
        <f t="shared" ref="AY176:BH179" si="168">IF(AND(AY$4&gt;=$I176,AY$4&lt;=$J176),1,"")</f>
        <v/>
      </c>
      <c r="AZ176" s="23" t="str">
        <f t="shared" si="168"/>
        <v/>
      </c>
      <c r="BA176" s="23" t="str">
        <f t="shared" si="168"/>
        <v/>
      </c>
      <c r="BB176" s="23" t="str">
        <f t="shared" si="168"/>
        <v/>
      </c>
      <c r="BC176" s="23" t="str">
        <f t="shared" si="168"/>
        <v/>
      </c>
      <c r="BD176" s="23" t="str">
        <f t="shared" si="168"/>
        <v/>
      </c>
      <c r="BE176" s="23" t="str">
        <f t="shared" si="168"/>
        <v/>
      </c>
      <c r="BF176" s="23" t="str">
        <f t="shared" si="168"/>
        <v/>
      </c>
      <c r="BG176" s="23" t="str">
        <f t="shared" si="168"/>
        <v/>
      </c>
      <c r="BH176" s="23" t="str">
        <f t="shared" si="168"/>
        <v/>
      </c>
      <c r="BI176" s="23" t="str">
        <f t="shared" ref="BI176:BS179" si="169">IF(AND(BI$4&gt;=$I176,BI$4&lt;=$J176),1,"")</f>
        <v/>
      </c>
      <c r="BJ176" s="23" t="str">
        <f t="shared" si="169"/>
        <v/>
      </c>
      <c r="BK176" s="23" t="str">
        <f t="shared" si="169"/>
        <v/>
      </c>
      <c r="BL176" s="23" t="str">
        <f t="shared" si="169"/>
        <v/>
      </c>
      <c r="BM176" s="23" t="str">
        <f t="shared" si="169"/>
        <v/>
      </c>
      <c r="BN176" s="23" t="str">
        <f t="shared" si="169"/>
        <v/>
      </c>
      <c r="BO176" s="23" t="str">
        <f t="shared" si="169"/>
        <v/>
      </c>
      <c r="BP176" s="23" t="str">
        <f t="shared" si="169"/>
        <v/>
      </c>
      <c r="BQ176" s="23" t="str">
        <f t="shared" si="169"/>
        <v/>
      </c>
      <c r="BR176" s="23" t="str">
        <f t="shared" si="169"/>
        <v/>
      </c>
      <c r="BS176" s="23" t="str">
        <f t="shared" si="169"/>
        <v/>
      </c>
      <c r="BT176" s="24" t="str">
        <f>IF(IF(G176+H176-1&lt;=29,MAX(ROUND((G176+H176-1)*(29+SlipWeeks)/29,0),$I176),G176+H176-1+SlipWeeks)&gt;61,"▶ clipped","")</f>
        <v/>
      </c>
      <c r="BU176" s="29" t="s">
        <v>556</v>
      </c>
    </row>
    <row r="177" spans="1:73" ht="34" outlineLevel="1" x14ac:dyDescent="0.2">
      <c r="A177" s="6" t="s">
        <v>557</v>
      </c>
      <c r="B177" s="25" t="s">
        <v>558</v>
      </c>
      <c r="C177" s="6" t="s">
        <v>55</v>
      </c>
      <c r="D177" s="24" t="s">
        <v>121</v>
      </c>
      <c r="F177" s="6"/>
      <c r="G177" s="22">
        <v>23</v>
      </c>
      <c r="H177" s="22">
        <v>1</v>
      </c>
      <c r="I177" s="22">
        <f>MEDIAN($I$176,$J$176,$I$176+ROUND((G177-$G$176)/$H$176*($J$176-$I$176+1),0))</f>
        <v>23</v>
      </c>
      <c r="J177" s="22">
        <f>MEDIAN(I177,$J$176,$I$176+ROUND((G177+H177-$G$176)/$H$176*($J$176-$I$176+1),0)-1)</f>
        <v>23</v>
      </c>
      <c r="K177" s="23" t="str">
        <f t="shared" si="164"/>
        <v/>
      </c>
      <c r="L177" s="23" t="str">
        <f t="shared" si="164"/>
        <v/>
      </c>
      <c r="M177" s="23" t="str">
        <f t="shared" si="164"/>
        <v/>
      </c>
      <c r="N177" s="23" t="str">
        <f t="shared" si="164"/>
        <v/>
      </c>
      <c r="O177" s="23" t="str">
        <f t="shared" si="164"/>
        <v/>
      </c>
      <c r="P177" s="23" t="str">
        <f t="shared" si="164"/>
        <v/>
      </c>
      <c r="Q177" s="23" t="str">
        <f t="shared" si="164"/>
        <v/>
      </c>
      <c r="R177" s="23" t="str">
        <f t="shared" si="164"/>
        <v/>
      </c>
      <c r="S177" s="23" t="str">
        <f t="shared" si="164"/>
        <v/>
      </c>
      <c r="T177" s="23" t="str">
        <f t="shared" si="164"/>
        <v/>
      </c>
      <c r="U177" s="23" t="str">
        <f t="shared" si="165"/>
        <v/>
      </c>
      <c r="V177" s="23" t="str">
        <f t="shared" si="165"/>
        <v/>
      </c>
      <c r="W177" s="23" t="str">
        <f t="shared" si="165"/>
        <v/>
      </c>
      <c r="X177" s="23" t="str">
        <f t="shared" si="165"/>
        <v/>
      </c>
      <c r="Y177" s="23" t="str">
        <f t="shared" si="165"/>
        <v/>
      </c>
      <c r="Z177" s="23" t="str">
        <f t="shared" si="165"/>
        <v/>
      </c>
      <c r="AA177" s="23" t="str">
        <f t="shared" si="165"/>
        <v/>
      </c>
      <c r="AB177" s="23" t="str">
        <f t="shared" si="165"/>
        <v/>
      </c>
      <c r="AC177" s="23" t="str">
        <f t="shared" si="165"/>
        <v/>
      </c>
      <c r="AD177" s="23" t="str">
        <f t="shared" si="165"/>
        <v/>
      </c>
      <c r="AE177" s="23" t="str">
        <f t="shared" si="166"/>
        <v/>
      </c>
      <c r="AF177" s="23" t="str">
        <f t="shared" si="166"/>
        <v/>
      </c>
      <c r="AG177" s="23">
        <f t="shared" si="166"/>
        <v>1</v>
      </c>
      <c r="AH177" s="23" t="str">
        <f t="shared" si="166"/>
        <v/>
      </c>
      <c r="AI177" s="23" t="str">
        <f t="shared" si="166"/>
        <v/>
      </c>
      <c r="AJ177" s="23" t="str">
        <f t="shared" si="166"/>
        <v/>
      </c>
      <c r="AK177" s="23" t="str">
        <f t="shared" si="166"/>
        <v/>
      </c>
      <c r="AL177" s="23" t="str">
        <f t="shared" si="166"/>
        <v/>
      </c>
      <c r="AM177" s="23" t="str">
        <f t="shared" si="166"/>
        <v/>
      </c>
      <c r="AN177" s="23" t="str">
        <f t="shared" si="166"/>
        <v/>
      </c>
      <c r="AO177" s="23" t="str">
        <f t="shared" si="167"/>
        <v/>
      </c>
      <c r="AP177" s="23" t="str">
        <f t="shared" si="167"/>
        <v/>
      </c>
      <c r="AQ177" s="23" t="str">
        <f t="shared" si="167"/>
        <v/>
      </c>
      <c r="AR177" s="23" t="str">
        <f t="shared" si="167"/>
        <v/>
      </c>
      <c r="AS177" s="23" t="str">
        <f t="shared" si="167"/>
        <v/>
      </c>
      <c r="AT177" s="23" t="str">
        <f t="shared" si="167"/>
        <v/>
      </c>
      <c r="AU177" s="23" t="str">
        <f t="shared" si="167"/>
        <v/>
      </c>
      <c r="AV177" s="23" t="str">
        <f t="shared" si="167"/>
        <v/>
      </c>
      <c r="AW177" s="23" t="str">
        <f t="shared" si="167"/>
        <v/>
      </c>
      <c r="AX177" s="23" t="str">
        <f t="shared" si="167"/>
        <v/>
      </c>
      <c r="AY177" s="23" t="str">
        <f t="shared" si="168"/>
        <v/>
      </c>
      <c r="AZ177" s="23" t="str">
        <f t="shared" si="168"/>
        <v/>
      </c>
      <c r="BA177" s="23" t="str">
        <f t="shared" si="168"/>
        <v/>
      </c>
      <c r="BB177" s="23" t="str">
        <f t="shared" si="168"/>
        <v/>
      </c>
      <c r="BC177" s="23" t="str">
        <f t="shared" si="168"/>
        <v/>
      </c>
      <c r="BD177" s="23" t="str">
        <f t="shared" si="168"/>
        <v/>
      </c>
      <c r="BE177" s="23" t="str">
        <f t="shared" si="168"/>
        <v/>
      </c>
      <c r="BF177" s="23" t="str">
        <f t="shared" si="168"/>
        <v/>
      </c>
      <c r="BG177" s="23" t="str">
        <f t="shared" si="168"/>
        <v/>
      </c>
      <c r="BH177" s="23" t="str">
        <f t="shared" si="168"/>
        <v/>
      </c>
      <c r="BI177" s="23" t="str">
        <f t="shared" si="169"/>
        <v/>
      </c>
      <c r="BJ177" s="23" t="str">
        <f t="shared" si="169"/>
        <v/>
      </c>
      <c r="BK177" s="23" t="str">
        <f t="shared" si="169"/>
        <v/>
      </c>
      <c r="BL177" s="23" t="str">
        <f t="shared" si="169"/>
        <v/>
      </c>
      <c r="BM177" s="23" t="str">
        <f t="shared" si="169"/>
        <v/>
      </c>
      <c r="BN177" s="23" t="str">
        <f t="shared" si="169"/>
        <v/>
      </c>
      <c r="BO177" s="23" t="str">
        <f t="shared" si="169"/>
        <v/>
      </c>
      <c r="BP177" s="23" t="str">
        <f t="shared" si="169"/>
        <v/>
      </c>
      <c r="BQ177" s="23" t="str">
        <f t="shared" si="169"/>
        <v/>
      </c>
      <c r="BR177" s="23" t="str">
        <f t="shared" si="169"/>
        <v/>
      </c>
      <c r="BS177" s="23" t="str">
        <f t="shared" si="169"/>
        <v/>
      </c>
      <c r="BU177" s="29" t="s">
        <v>559</v>
      </c>
    </row>
    <row r="178" spans="1:73" ht="17" outlineLevel="1" x14ac:dyDescent="0.2">
      <c r="A178" s="6" t="s">
        <v>560</v>
      </c>
      <c r="B178" s="25" t="s">
        <v>561</v>
      </c>
      <c r="C178" s="6" t="s">
        <v>55</v>
      </c>
      <c r="D178" s="24" t="s">
        <v>121</v>
      </c>
      <c r="F178" s="6" t="s">
        <v>557</v>
      </c>
      <c r="G178" s="22">
        <v>24</v>
      </c>
      <c r="H178" s="22">
        <v>1</v>
      </c>
      <c r="I178" s="22">
        <f>MEDIAN($I$176,$J$176,$I$176+ROUND((G178-$G$176)/$H$176*($J$176-$I$176+1),0))</f>
        <v>24</v>
      </c>
      <c r="J178" s="22">
        <f>MEDIAN(I178,$J$176,$I$176+ROUND((G178+H178-$G$176)/$H$176*($J$176-$I$176+1),0)-1)</f>
        <v>24</v>
      </c>
      <c r="K178" s="23" t="str">
        <f t="shared" si="164"/>
        <v/>
      </c>
      <c r="L178" s="23" t="str">
        <f t="shared" si="164"/>
        <v/>
      </c>
      <c r="M178" s="23" t="str">
        <f t="shared" si="164"/>
        <v/>
      </c>
      <c r="N178" s="23" t="str">
        <f t="shared" si="164"/>
        <v/>
      </c>
      <c r="O178" s="23" t="str">
        <f t="shared" si="164"/>
        <v/>
      </c>
      <c r="P178" s="23" t="str">
        <f t="shared" si="164"/>
        <v/>
      </c>
      <c r="Q178" s="23" t="str">
        <f t="shared" si="164"/>
        <v/>
      </c>
      <c r="R178" s="23" t="str">
        <f t="shared" si="164"/>
        <v/>
      </c>
      <c r="S178" s="23" t="str">
        <f t="shared" si="164"/>
        <v/>
      </c>
      <c r="T178" s="23" t="str">
        <f t="shared" si="164"/>
        <v/>
      </c>
      <c r="U178" s="23" t="str">
        <f t="shared" si="165"/>
        <v/>
      </c>
      <c r="V178" s="23" t="str">
        <f t="shared" si="165"/>
        <v/>
      </c>
      <c r="W178" s="23" t="str">
        <f t="shared" si="165"/>
        <v/>
      </c>
      <c r="X178" s="23" t="str">
        <f t="shared" si="165"/>
        <v/>
      </c>
      <c r="Y178" s="23" t="str">
        <f t="shared" si="165"/>
        <v/>
      </c>
      <c r="Z178" s="23" t="str">
        <f t="shared" si="165"/>
        <v/>
      </c>
      <c r="AA178" s="23" t="str">
        <f t="shared" si="165"/>
        <v/>
      </c>
      <c r="AB178" s="23" t="str">
        <f t="shared" si="165"/>
        <v/>
      </c>
      <c r="AC178" s="23" t="str">
        <f t="shared" si="165"/>
        <v/>
      </c>
      <c r="AD178" s="23" t="str">
        <f t="shared" si="165"/>
        <v/>
      </c>
      <c r="AE178" s="23" t="str">
        <f t="shared" si="166"/>
        <v/>
      </c>
      <c r="AF178" s="23" t="str">
        <f t="shared" si="166"/>
        <v/>
      </c>
      <c r="AG178" s="23" t="str">
        <f t="shared" si="166"/>
        <v/>
      </c>
      <c r="AH178" s="23">
        <f t="shared" si="166"/>
        <v>1</v>
      </c>
      <c r="AI178" s="23" t="str">
        <f t="shared" si="166"/>
        <v/>
      </c>
      <c r="AJ178" s="23" t="str">
        <f t="shared" si="166"/>
        <v/>
      </c>
      <c r="AK178" s="23" t="str">
        <f t="shared" si="166"/>
        <v/>
      </c>
      <c r="AL178" s="23" t="str">
        <f t="shared" si="166"/>
        <v/>
      </c>
      <c r="AM178" s="23" t="str">
        <f t="shared" si="166"/>
        <v/>
      </c>
      <c r="AN178" s="23" t="str">
        <f t="shared" si="166"/>
        <v/>
      </c>
      <c r="AO178" s="23" t="str">
        <f t="shared" si="167"/>
        <v/>
      </c>
      <c r="AP178" s="23" t="str">
        <f t="shared" si="167"/>
        <v/>
      </c>
      <c r="AQ178" s="23" t="str">
        <f t="shared" si="167"/>
        <v/>
      </c>
      <c r="AR178" s="23" t="str">
        <f t="shared" si="167"/>
        <v/>
      </c>
      <c r="AS178" s="23" t="str">
        <f t="shared" si="167"/>
        <v/>
      </c>
      <c r="AT178" s="23" t="str">
        <f t="shared" si="167"/>
        <v/>
      </c>
      <c r="AU178" s="23" t="str">
        <f t="shared" si="167"/>
        <v/>
      </c>
      <c r="AV178" s="23" t="str">
        <f t="shared" si="167"/>
        <v/>
      </c>
      <c r="AW178" s="23" t="str">
        <f t="shared" si="167"/>
        <v/>
      </c>
      <c r="AX178" s="23" t="str">
        <f t="shared" si="167"/>
        <v/>
      </c>
      <c r="AY178" s="23" t="str">
        <f t="shared" si="168"/>
        <v/>
      </c>
      <c r="AZ178" s="23" t="str">
        <f t="shared" si="168"/>
        <v/>
      </c>
      <c r="BA178" s="23" t="str">
        <f t="shared" si="168"/>
        <v/>
      </c>
      <c r="BB178" s="23" t="str">
        <f t="shared" si="168"/>
        <v/>
      </c>
      <c r="BC178" s="23" t="str">
        <f t="shared" si="168"/>
        <v/>
      </c>
      <c r="BD178" s="23" t="str">
        <f t="shared" si="168"/>
        <v/>
      </c>
      <c r="BE178" s="23" t="str">
        <f t="shared" si="168"/>
        <v/>
      </c>
      <c r="BF178" s="23" t="str">
        <f t="shared" si="168"/>
        <v/>
      </c>
      <c r="BG178" s="23" t="str">
        <f t="shared" si="168"/>
        <v/>
      </c>
      <c r="BH178" s="23" t="str">
        <f t="shared" si="168"/>
        <v/>
      </c>
      <c r="BI178" s="23" t="str">
        <f t="shared" si="169"/>
        <v/>
      </c>
      <c r="BJ178" s="23" t="str">
        <f t="shared" si="169"/>
        <v/>
      </c>
      <c r="BK178" s="23" t="str">
        <f t="shared" si="169"/>
        <v/>
      </c>
      <c r="BL178" s="23" t="str">
        <f t="shared" si="169"/>
        <v/>
      </c>
      <c r="BM178" s="23" t="str">
        <f t="shared" si="169"/>
        <v/>
      </c>
      <c r="BN178" s="23" t="str">
        <f t="shared" si="169"/>
        <v/>
      </c>
      <c r="BO178" s="23" t="str">
        <f t="shared" si="169"/>
        <v/>
      </c>
      <c r="BP178" s="23" t="str">
        <f t="shared" si="169"/>
        <v/>
      </c>
      <c r="BQ178" s="23" t="str">
        <f t="shared" si="169"/>
        <v/>
      </c>
      <c r="BR178" s="23" t="str">
        <f t="shared" si="169"/>
        <v/>
      </c>
      <c r="BS178" s="23" t="str">
        <f t="shared" si="169"/>
        <v/>
      </c>
      <c r="BU178" s="29" t="s">
        <v>562</v>
      </c>
    </row>
    <row r="179" spans="1:73" ht="17" outlineLevel="1" x14ac:dyDescent="0.2">
      <c r="A179" s="6" t="s">
        <v>563</v>
      </c>
      <c r="B179" s="25" t="s">
        <v>564</v>
      </c>
      <c r="C179" s="6" t="s">
        <v>55</v>
      </c>
      <c r="D179" s="24" t="s">
        <v>121</v>
      </c>
      <c r="F179" s="6" t="s">
        <v>560</v>
      </c>
      <c r="G179" s="22">
        <v>25</v>
      </c>
      <c r="H179" s="22">
        <v>1</v>
      </c>
      <c r="I179" s="22">
        <f>MEDIAN($I$176,$J$176,$I$176+ROUND((G179-$G$176)/$H$176*($J$176-$I$176+1),0))</f>
        <v>25</v>
      </c>
      <c r="J179" s="22">
        <f>MEDIAN(I179,$J$176,$I$176+ROUND((G179+H179-$G$176)/$H$176*($J$176-$I$176+1),0)-1)</f>
        <v>25</v>
      </c>
      <c r="K179" s="23" t="str">
        <f t="shared" si="164"/>
        <v/>
      </c>
      <c r="L179" s="23" t="str">
        <f t="shared" si="164"/>
        <v/>
      </c>
      <c r="M179" s="23" t="str">
        <f t="shared" si="164"/>
        <v/>
      </c>
      <c r="N179" s="23" t="str">
        <f t="shared" si="164"/>
        <v/>
      </c>
      <c r="O179" s="23" t="str">
        <f t="shared" si="164"/>
        <v/>
      </c>
      <c r="P179" s="23" t="str">
        <f t="shared" si="164"/>
        <v/>
      </c>
      <c r="Q179" s="23" t="str">
        <f t="shared" si="164"/>
        <v/>
      </c>
      <c r="R179" s="23" t="str">
        <f t="shared" si="164"/>
        <v/>
      </c>
      <c r="S179" s="23" t="str">
        <f t="shared" si="164"/>
        <v/>
      </c>
      <c r="T179" s="23" t="str">
        <f t="shared" si="164"/>
        <v/>
      </c>
      <c r="U179" s="23" t="str">
        <f t="shared" si="165"/>
        <v/>
      </c>
      <c r="V179" s="23" t="str">
        <f t="shared" si="165"/>
        <v/>
      </c>
      <c r="W179" s="23" t="str">
        <f t="shared" si="165"/>
        <v/>
      </c>
      <c r="X179" s="23" t="str">
        <f t="shared" si="165"/>
        <v/>
      </c>
      <c r="Y179" s="23" t="str">
        <f t="shared" si="165"/>
        <v/>
      </c>
      <c r="Z179" s="23" t="str">
        <f t="shared" si="165"/>
        <v/>
      </c>
      <c r="AA179" s="23" t="str">
        <f t="shared" si="165"/>
        <v/>
      </c>
      <c r="AB179" s="23" t="str">
        <f t="shared" si="165"/>
        <v/>
      </c>
      <c r="AC179" s="23" t="str">
        <f t="shared" si="165"/>
        <v/>
      </c>
      <c r="AD179" s="23" t="str">
        <f t="shared" si="165"/>
        <v/>
      </c>
      <c r="AE179" s="23" t="str">
        <f t="shared" si="166"/>
        <v/>
      </c>
      <c r="AF179" s="23" t="str">
        <f t="shared" si="166"/>
        <v/>
      </c>
      <c r="AG179" s="23" t="str">
        <f t="shared" si="166"/>
        <v/>
      </c>
      <c r="AH179" s="23" t="str">
        <f t="shared" si="166"/>
        <v/>
      </c>
      <c r="AI179" s="23">
        <f t="shared" si="166"/>
        <v>1</v>
      </c>
      <c r="AJ179" s="23" t="str">
        <f t="shared" si="166"/>
        <v/>
      </c>
      <c r="AK179" s="23" t="str">
        <f t="shared" si="166"/>
        <v/>
      </c>
      <c r="AL179" s="23" t="str">
        <f t="shared" si="166"/>
        <v/>
      </c>
      <c r="AM179" s="23" t="str">
        <f t="shared" si="166"/>
        <v/>
      </c>
      <c r="AN179" s="23" t="str">
        <f t="shared" si="166"/>
        <v/>
      </c>
      <c r="AO179" s="23" t="str">
        <f t="shared" si="167"/>
        <v/>
      </c>
      <c r="AP179" s="23" t="str">
        <f t="shared" si="167"/>
        <v/>
      </c>
      <c r="AQ179" s="23" t="str">
        <f t="shared" si="167"/>
        <v/>
      </c>
      <c r="AR179" s="23" t="str">
        <f t="shared" si="167"/>
        <v/>
      </c>
      <c r="AS179" s="23" t="str">
        <f t="shared" si="167"/>
        <v/>
      </c>
      <c r="AT179" s="23" t="str">
        <f t="shared" si="167"/>
        <v/>
      </c>
      <c r="AU179" s="23" t="str">
        <f t="shared" si="167"/>
        <v/>
      </c>
      <c r="AV179" s="23" t="str">
        <f t="shared" si="167"/>
        <v/>
      </c>
      <c r="AW179" s="23" t="str">
        <f t="shared" si="167"/>
        <v/>
      </c>
      <c r="AX179" s="23" t="str">
        <f t="shared" si="167"/>
        <v/>
      </c>
      <c r="AY179" s="23" t="str">
        <f t="shared" si="168"/>
        <v/>
      </c>
      <c r="AZ179" s="23" t="str">
        <f t="shared" si="168"/>
        <v/>
      </c>
      <c r="BA179" s="23" t="str">
        <f t="shared" si="168"/>
        <v/>
      </c>
      <c r="BB179" s="23" t="str">
        <f t="shared" si="168"/>
        <v/>
      </c>
      <c r="BC179" s="23" t="str">
        <f t="shared" si="168"/>
        <v/>
      </c>
      <c r="BD179" s="23" t="str">
        <f t="shared" si="168"/>
        <v/>
      </c>
      <c r="BE179" s="23" t="str">
        <f t="shared" si="168"/>
        <v/>
      </c>
      <c r="BF179" s="23" t="str">
        <f t="shared" si="168"/>
        <v/>
      </c>
      <c r="BG179" s="23" t="str">
        <f t="shared" si="168"/>
        <v/>
      </c>
      <c r="BH179" s="23" t="str">
        <f t="shared" si="168"/>
        <v/>
      </c>
      <c r="BI179" s="23" t="str">
        <f t="shared" si="169"/>
        <v/>
      </c>
      <c r="BJ179" s="23" t="str">
        <f t="shared" si="169"/>
        <v/>
      </c>
      <c r="BK179" s="23" t="str">
        <f t="shared" si="169"/>
        <v/>
      </c>
      <c r="BL179" s="23" t="str">
        <f t="shared" si="169"/>
        <v/>
      </c>
      <c r="BM179" s="23" t="str">
        <f t="shared" si="169"/>
        <v/>
      </c>
      <c r="BN179" s="23" t="str">
        <f t="shared" si="169"/>
        <v/>
      </c>
      <c r="BO179" s="23" t="str">
        <f t="shared" si="169"/>
        <v/>
      </c>
      <c r="BP179" s="23" t="str">
        <f t="shared" si="169"/>
        <v/>
      </c>
      <c r="BQ179" s="23" t="str">
        <f t="shared" si="169"/>
        <v/>
      </c>
      <c r="BR179" s="23" t="str">
        <f t="shared" si="169"/>
        <v/>
      </c>
      <c r="BS179" s="23" t="str">
        <f t="shared" si="169"/>
        <v/>
      </c>
      <c r="BU179" s="29" t="s">
        <v>565</v>
      </c>
    </row>
    <row r="180" spans="1:73" x14ac:dyDescent="0.2">
      <c r="BU180" s="30"/>
    </row>
    <row r="181" spans="1:73" ht="17" x14ac:dyDescent="0.2">
      <c r="A181" s="19" t="s">
        <v>566</v>
      </c>
      <c r="B181" s="20" t="s">
        <v>567</v>
      </c>
      <c r="C181" s="19" t="s">
        <v>56</v>
      </c>
      <c r="D181" s="21" t="s">
        <v>128</v>
      </c>
      <c r="E181" s="19" t="s">
        <v>568</v>
      </c>
      <c r="F181" s="19"/>
      <c r="G181" s="22">
        <v>22</v>
      </c>
      <c r="H181" s="22">
        <v>4</v>
      </c>
      <c r="I181" s="22">
        <f>MIN(61,IF(G181&lt;=29,ROUND((G181-1)*(29+SlipWeeks)/29,0)+1,G181+SlipWeeks))</f>
        <v>22</v>
      </c>
      <c r="J181" s="22">
        <f>MIN(61,IF(G181+H181-1&lt;=29,MAX(ROUND((G181+H181-1)*(29+SlipWeeks)/29,0),I181),G181+H181-1+SlipWeeks))</f>
        <v>25</v>
      </c>
      <c r="K181" s="23" t="str">
        <f t="shared" ref="K181:T185" si="170">IF(AND(K$4&gt;=$I181,K$4&lt;=$J181),1,"")</f>
        <v/>
      </c>
      <c r="L181" s="23" t="str">
        <f t="shared" si="170"/>
        <v/>
      </c>
      <c r="M181" s="23" t="str">
        <f t="shared" si="170"/>
        <v/>
      </c>
      <c r="N181" s="23" t="str">
        <f t="shared" si="170"/>
        <v/>
      </c>
      <c r="O181" s="23" t="str">
        <f t="shared" si="170"/>
        <v/>
      </c>
      <c r="P181" s="23" t="str">
        <f t="shared" si="170"/>
        <v/>
      </c>
      <c r="Q181" s="23" t="str">
        <f t="shared" si="170"/>
        <v/>
      </c>
      <c r="R181" s="23" t="str">
        <f t="shared" si="170"/>
        <v/>
      </c>
      <c r="S181" s="23" t="str">
        <f t="shared" si="170"/>
        <v/>
      </c>
      <c r="T181" s="23" t="str">
        <f t="shared" si="170"/>
        <v/>
      </c>
      <c r="U181" s="23" t="str">
        <f t="shared" ref="U181:AD185" si="171">IF(AND(U$4&gt;=$I181,U$4&lt;=$J181),1,"")</f>
        <v/>
      </c>
      <c r="V181" s="23" t="str">
        <f t="shared" si="171"/>
        <v/>
      </c>
      <c r="W181" s="23" t="str">
        <f t="shared" si="171"/>
        <v/>
      </c>
      <c r="X181" s="23" t="str">
        <f t="shared" si="171"/>
        <v/>
      </c>
      <c r="Y181" s="23" t="str">
        <f t="shared" si="171"/>
        <v/>
      </c>
      <c r="Z181" s="23" t="str">
        <f t="shared" si="171"/>
        <v/>
      </c>
      <c r="AA181" s="23" t="str">
        <f t="shared" si="171"/>
        <v/>
      </c>
      <c r="AB181" s="23" t="str">
        <f t="shared" si="171"/>
        <v/>
      </c>
      <c r="AC181" s="23" t="str">
        <f t="shared" si="171"/>
        <v/>
      </c>
      <c r="AD181" s="23" t="str">
        <f t="shared" si="171"/>
        <v/>
      </c>
      <c r="AE181" s="23" t="str">
        <f t="shared" ref="AE181:AN185" si="172">IF(AND(AE$4&gt;=$I181,AE$4&lt;=$J181),1,"")</f>
        <v/>
      </c>
      <c r="AF181" s="23">
        <f t="shared" si="172"/>
        <v>1</v>
      </c>
      <c r="AG181" s="23">
        <f t="shared" si="172"/>
        <v>1</v>
      </c>
      <c r="AH181" s="23">
        <f t="shared" si="172"/>
        <v>1</v>
      </c>
      <c r="AI181" s="23">
        <f t="shared" si="172"/>
        <v>1</v>
      </c>
      <c r="AJ181" s="23" t="str">
        <f t="shared" si="172"/>
        <v/>
      </c>
      <c r="AK181" s="23" t="str">
        <f t="shared" si="172"/>
        <v/>
      </c>
      <c r="AL181" s="23" t="str">
        <f t="shared" si="172"/>
        <v/>
      </c>
      <c r="AM181" s="23" t="str">
        <f t="shared" si="172"/>
        <v/>
      </c>
      <c r="AN181" s="23" t="str">
        <f t="shared" si="172"/>
        <v/>
      </c>
      <c r="AO181" s="23" t="str">
        <f t="shared" ref="AO181:AX185" si="173">IF(AND(AO$4&gt;=$I181,AO$4&lt;=$J181),1,"")</f>
        <v/>
      </c>
      <c r="AP181" s="23" t="str">
        <f t="shared" si="173"/>
        <v/>
      </c>
      <c r="AQ181" s="23" t="str">
        <f t="shared" si="173"/>
        <v/>
      </c>
      <c r="AR181" s="23" t="str">
        <f t="shared" si="173"/>
        <v/>
      </c>
      <c r="AS181" s="23" t="str">
        <f t="shared" si="173"/>
        <v/>
      </c>
      <c r="AT181" s="23" t="str">
        <f t="shared" si="173"/>
        <v/>
      </c>
      <c r="AU181" s="23" t="str">
        <f t="shared" si="173"/>
        <v/>
      </c>
      <c r="AV181" s="23" t="str">
        <f t="shared" si="173"/>
        <v/>
      </c>
      <c r="AW181" s="23" t="str">
        <f t="shared" si="173"/>
        <v/>
      </c>
      <c r="AX181" s="23" t="str">
        <f t="shared" si="173"/>
        <v/>
      </c>
      <c r="AY181" s="23" t="str">
        <f t="shared" ref="AY181:BH185" si="174">IF(AND(AY$4&gt;=$I181,AY$4&lt;=$J181),1,"")</f>
        <v/>
      </c>
      <c r="AZ181" s="23" t="str">
        <f t="shared" si="174"/>
        <v/>
      </c>
      <c r="BA181" s="23" t="str">
        <f t="shared" si="174"/>
        <v/>
      </c>
      <c r="BB181" s="23" t="str">
        <f t="shared" si="174"/>
        <v/>
      </c>
      <c r="BC181" s="23" t="str">
        <f t="shared" si="174"/>
        <v/>
      </c>
      <c r="BD181" s="23" t="str">
        <f t="shared" si="174"/>
        <v/>
      </c>
      <c r="BE181" s="23" t="str">
        <f t="shared" si="174"/>
        <v/>
      </c>
      <c r="BF181" s="23" t="str">
        <f t="shared" si="174"/>
        <v/>
      </c>
      <c r="BG181" s="23" t="str">
        <f t="shared" si="174"/>
        <v/>
      </c>
      <c r="BH181" s="23" t="str">
        <f t="shared" si="174"/>
        <v/>
      </c>
      <c r="BI181" s="23" t="str">
        <f t="shared" ref="BI181:BS185" si="175">IF(AND(BI$4&gt;=$I181,BI$4&lt;=$J181),1,"")</f>
        <v/>
      </c>
      <c r="BJ181" s="23" t="str">
        <f t="shared" si="175"/>
        <v/>
      </c>
      <c r="BK181" s="23" t="str">
        <f t="shared" si="175"/>
        <v/>
      </c>
      <c r="BL181" s="23" t="str">
        <f t="shared" si="175"/>
        <v/>
      </c>
      <c r="BM181" s="23" t="str">
        <f t="shared" si="175"/>
        <v/>
      </c>
      <c r="BN181" s="23" t="str">
        <f t="shared" si="175"/>
        <v/>
      </c>
      <c r="BO181" s="23" t="str">
        <f t="shared" si="175"/>
        <v/>
      </c>
      <c r="BP181" s="23" t="str">
        <f t="shared" si="175"/>
        <v/>
      </c>
      <c r="BQ181" s="23" t="str">
        <f t="shared" si="175"/>
        <v/>
      </c>
      <c r="BR181" s="23" t="str">
        <f t="shared" si="175"/>
        <v/>
      </c>
      <c r="BS181" s="23" t="str">
        <f t="shared" si="175"/>
        <v/>
      </c>
      <c r="BT181" s="24" t="str">
        <f>IF(IF(G181+H181-1&lt;=29,MAX(ROUND((G181+H181-1)*(29+SlipWeeks)/29,0),$I181),G181+H181-1+SlipWeeks)&gt;61,"▶ clipped","")</f>
        <v/>
      </c>
      <c r="BU181" s="29" t="s">
        <v>569</v>
      </c>
    </row>
    <row r="182" spans="1:73" ht="17" outlineLevel="1" x14ac:dyDescent="0.2">
      <c r="A182" s="6" t="s">
        <v>570</v>
      </c>
      <c r="B182" s="25" t="s">
        <v>571</v>
      </c>
      <c r="C182" s="6" t="s">
        <v>56</v>
      </c>
      <c r="D182" s="24" t="s">
        <v>128</v>
      </c>
      <c r="F182" s="6"/>
      <c r="G182" s="22">
        <v>22</v>
      </c>
      <c r="H182" s="22">
        <v>1</v>
      </c>
      <c r="I182" s="22">
        <f>MEDIAN($I$181,$J$181,$I$181+ROUND((G182-$G$181)/$H$181*($J$181-$I$181+1),0))</f>
        <v>22</v>
      </c>
      <c r="J182" s="22">
        <f>MEDIAN(I182,$J$181,$I$181+ROUND((G182+H182-$G$181)/$H$181*($J$181-$I$181+1),0)-1)</f>
        <v>22</v>
      </c>
      <c r="K182" s="23" t="str">
        <f t="shared" si="170"/>
        <v/>
      </c>
      <c r="L182" s="23" t="str">
        <f t="shared" si="170"/>
        <v/>
      </c>
      <c r="M182" s="23" t="str">
        <f t="shared" si="170"/>
        <v/>
      </c>
      <c r="N182" s="23" t="str">
        <f t="shared" si="170"/>
        <v/>
      </c>
      <c r="O182" s="23" t="str">
        <f t="shared" si="170"/>
        <v/>
      </c>
      <c r="P182" s="23" t="str">
        <f t="shared" si="170"/>
        <v/>
      </c>
      <c r="Q182" s="23" t="str">
        <f t="shared" si="170"/>
        <v/>
      </c>
      <c r="R182" s="23" t="str">
        <f t="shared" si="170"/>
        <v/>
      </c>
      <c r="S182" s="23" t="str">
        <f t="shared" si="170"/>
        <v/>
      </c>
      <c r="T182" s="23" t="str">
        <f t="shared" si="170"/>
        <v/>
      </c>
      <c r="U182" s="23" t="str">
        <f t="shared" si="171"/>
        <v/>
      </c>
      <c r="V182" s="23" t="str">
        <f t="shared" si="171"/>
        <v/>
      </c>
      <c r="W182" s="23" t="str">
        <f t="shared" si="171"/>
        <v/>
      </c>
      <c r="X182" s="23" t="str">
        <f t="shared" si="171"/>
        <v/>
      </c>
      <c r="Y182" s="23" t="str">
        <f t="shared" si="171"/>
        <v/>
      </c>
      <c r="Z182" s="23" t="str">
        <f t="shared" si="171"/>
        <v/>
      </c>
      <c r="AA182" s="23" t="str">
        <f t="shared" si="171"/>
        <v/>
      </c>
      <c r="AB182" s="23" t="str">
        <f t="shared" si="171"/>
        <v/>
      </c>
      <c r="AC182" s="23" t="str">
        <f t="shared" si="171"/>
        <v/>
      </c>
      <c r="AD182" s="23" t="str">
        <f t="shared" si="171"/>
        <v/>
      </c>
      <c r="AE182" s="23" t="str">
        <f t="shared" si="172"/>
        <v/>
      </c>
      <c r="AF182" s="23">
        <f t="shared" si="172"/>
        <v>1</v>
      </c>
      <c r="AG182" s="23" t="str">
        <f t="shared" si="172"/>
        <v/>
      </c>
      <c r="AH182" s="23" t="str">
        <f t="shared" si="172"/>
        <v/>
      </c>
      <c r="AI182" s="23" t="str">
        <f t="shared" si="172"/>
        <v/>
      </c>
      <c r="AJ182" s="23" t="str">
        <f t="shared" si="172"/>
        <v/>
      </c>
      <c r="AK182" s="23" t="str">
        <f t="shared" si="172"/>
        <v/>
      </c>
      <c r="AL182" s="23" t="str">
        <f t="shared" si="172"/>
        <v/>
      </c>
      <c r="AM182" s="23" t="str">
        <f t="shared" si="172"/>
        <v/>
      </c>
      <c r="AN182" s="23" t="str">
        <f t="shared" si="172"/>
        <v/>
      </c>
      <c r="AO182" s="23" t="str">
        <f t="shared" si="173"/>
        <v/>
      </c>
      <c r="AP182" s="23" t="str">
        <f t="shared" si="173"/>
        <v/>
      </c>
      <c r="AQ182" s="23" t="str">
        <f t="shared" si="173"/>
        <v/>
      </c>
      <c r="AR182" s="23" t="str">
        <f t="shared" si="173"/>
        <v/>
      </c>
      <c r="AS182" s="23" t="str">
        <f t="shared" si="173"/>
        <v/>
      </c>
      <c r="AT182" s="23" t="str">
        <f t="shared" si="173"/>
        <v/>
      </c>
      <c r="AU182" s="23" t="str">
        <f t="shared" si="173"/>
        <v/>
      </c>
      <c r="AV182" s="23" t="str">
        <f t="shared" si="173"/>
        <v/>
      </c>
      <c r="AW182" s="23" t="str">
        <f t="shared" si="173"/>
        <v/>
      </c>
      <c r="AX182" s="23" t="str">
        <f t="shared" si="173"/>
        <v/>
      </c>
      <c r="AY182" s="23" t="str">
        <f t="shared" si="174"/>
        <v/>
      </c>
      <c r="AZ182" s="23" t="str">
        <f t="shared" si="174"/>
        <v/>
      </c>
      <c r="BA182" s="23" t="str">
        <f t="shared" si="174"/>
        <v/>
      </c>
      <c r="BB182" s="23" t="str">
        <f t="shared" si="174"/>
        <v/>
      </c>
      <c r="BC182" s="23" t="str">
        <f t="shared" si="174"/>
        <v/>
      </c>
      <c r="BD182" s="23" t="str">
        <f t="shared" si="174"/>
        <v/>
      </c>
      <c r="BE182" s="23" t="str">
        <f t="shared" si="174"/>
        <v/>
      </c>
      <c r="BF182" s="23" t="str">
        <f t="shared" si="174"/>
        <v/>
      </c>
      <c r="BG182" s="23" t="str">
        <f t="shared" si="174"/>
        <v/>
      </c>
      <c r="BH182" s="23" t="str">
        <f t="shared" si="174"/>
        <v/>
      </c>
      <c r="BI182" s="23" t="str">
        <f t="shared" si="175"/>
        <v/>
      </c>
      <c r="BJ182" s="23" t="str">
        <f t="shared" si="175"/>
        <v/>
      </c>
      <c r="BK182" s="23" t="str">
        <f t="shared" si="175"/>
        <v/>
      </c>
      <c r="BL182" s="23" t="str">
        <f t="shared" si="175"/>
        <v/>
      </c>
      <c r="BM182" s="23" t="str">
        <f t="shared" si="175"/>
        <v/>
      </c>
      <c r="BN182" s="23" t="str">
        <f t="shared" si="175"/>
        <v/>
      </c>
      <c r="BO182" s="23" t="str">
        <f t="shared" si="175"/>
        <v/>
      </c>
      <c r="BP182" s="23" t="str">
        <f t="shared" si="175"/>
        <v/>
      </c>
      <c r="BQ182" s="23" t="str">
        <f t="shared" si="175"/>
        <v/>
      </c>
      <c r="BR182" s="23" t="str">
        <f t="shared" si="175"/>
        <v/>
      </c>
      <c r="BS182" s="23" t="str">
        <f t="shared" si="175"/>
        <v/>
      </c>
      <c r="BU182" s="29" t="s">
        <v>572</v>
      </c>
    </row>
    <row r="183" spans="1:73" ht="17" outlineLevel="1" x14ac:dyDescent="0.2">
      <c r="A183" s="6" t="s">
        <v>573</v>
      </c>
      <c r="B183" s="25" t="s">
        <v>574</v>
      </c>
      <c r="C183" s="6" t="s">
        <v>56</v>
      </c>
      <c r="D183" s="24" t="s">
        <v>128</v>
      </c>
      <c r="F183" s="6" t="s">
        <v>570</v>
      </c>
      <c r="G183" s="22">
        <v>23</v>
      </c>
      <c r="H183" s="22">
        <v>1</v>
      </c>
      <c r="I183" s="22">
        <f>MEDIAN($I$181,$J$181,$I$181+ROUND((G183-$G$181)/$H$181*($J$181-$I$181+1),0))</f>
        <v>23</v>
      </c>
      <c r="J183" s="22">
        <f>MEDIAN(I183,$J$181,$I$181+ROUND((G183+H183-$G$181)/$H$181*($J$181-$I$181+1),0)-1)</f>
        <v>23</v>
      </c>
      <c r="K183" s="23" t="str">
        <f t="shared" si="170"/>
        <v/>
      </c>
      <c r="L183" s="23" t="str">
        <f t="shared" si="170"/>
        <v/>
      </c>
      <c r="M183" s="23" t="str">
        <f t="shared" si="170"/>
        <v/>
      </c>
      <c r="N183" s="23" t="str">
        <f t="shared" si="170"/>
        <v/>
      </c>
      <c r="O183" s="23" t="str">
        <f t="shared" si="170"/>
        <v/>
      </c>
      <c r="P183" s="23" t="str">
        <f t="shared" si="170"/>
        <v/>
      </c>
      <c r="Q183" s="23" t="str">
        <f t="shared" si="170"/>
        <v/>
      </c>
      <c r="R183" s="23" t="str">
        <f t="shared" si="170"/>
        <v/>
      </c>
      <c r="S183" s="23" t="str">
        <f t="shared" si="170"/>
        <v/>
      </c>
      <c r="T183" s="23" t="str">
        <f t="shared" si="170"/>
        <v/>
      </c>
      <c r="U183" s="23" t="str">
        <f t="shared" si="171"/>
        <v/>
      </c>
      <c r="V183" s="23" t="str">
        <f t="shared" si="171"/>
        <v/>
      </c>
      <c r="W183" s="23" t="str">
        <f t="shared" si="171"/>
        <v/>
      </c>
      <c r="X183" s="23" t="str">
        <f t="shared" si="171"/>
        <v/>
      </c>
      <c r="Y183" s="23" t="str">
        <f t="shared" si="171"/>
        <v/>
      </c>
      <c r="Z183" s="23" t="str">
        <f t="shared" si="171"/>
        <v/>
      </c>
      <c r="AA183" s="23" t="str">
        <f t="shared" si="171"/>
        <v/>
      </c>
      <c r="AB183" s="23" t="str">
        <f t="shared" si="171"/>
        <v/>
      </c>
      <c r="AC183" s="23" t="str">
        <f t="shared" si="171"/>
        <v/>
      </c>
      <c r="AD183" s="23" t="str">
        <f t="shared" si="171"/>
        <v/>
      </c>
      <c r="AE183" s="23" t="str">
        <f t="shared" si="172"/>
        <v/>
      </c>
      <c r="AF183" s="23" t="str">
        <f t="shared" si="172"/>
        <v/>
      </c>
      <c r="AG183" s="23">
        <f t="shared" si="172"/>
        <v>1</v>
      </c>
      <c r="AH183" s="23" t="str">
        <f t="shared" si="172"/>
        <v/>
      </c>
      <c r="AI183" s="23" t="str">
        <f t="shared" si="172"/>
        <v/>
      </c>
      <c r="AJ183" s="23" t="str">
        <f t="shared" si="172"/>
        <v/>
      </c>
      <c r="AK183" s="23" t="str">
        <f t="shared" si="172"/>
        <v/>
      </c>
      <c r="AL183" s="23" t="str">
        <f t="shared" si="172"/>
        <v/>
      </c>
      <c r="AM183" s="23" t="str">
        <f t="shared" si="172"/>
        <v/>
      </c>
      <c r="AN183" s="23" t="str">
        <f t="shared" si="172"/>
        <v/>
      </c>
      <c r="AO183" s="23" t="str">
        <f t="shared" si="173"/>
        <v/>
      </c>
      <c r="AP183" s="23" t="str">
        <f t="shared" si="173"/>
        <v/>
      </c>
      <c r="AQ183" s="23" t="str">
        <f t="shared" si="173"/>
        <v/>
      </c>
      <c r="AR183" s="23" t="str">
        <f t="shared" si="173"/>
        <v/>
      </c>
      <c r="AS183" s="23" t="str">
        <f t="shared" si="173"/>
        <v/>
      </c>
      <c r="AT183" s="23" t="str">
        <f t="shared" si="173"/>
        <v/>
      </c>
      <c r="AU183" s="23" t="str">
        <f t="shared" si="173"/>
        <v/>
      </c>
      <c r="AV183" s="23" t="str">
        <f t="shared" si="173"/>
        <v/>
      </c>
      <c r="AW183" s="23" t="str">
        <f t="shared" si="173"/>
        <v/>
      </c>
      <c r="AX183" s="23" t="str">
        <f t="shared" si="173"/>
        <v/>
      </c>
      <c r="AY183" s="23" t="str">
        <f t="shared" si="174"/>
        <v/>
      </c>
      <c r="AZ183" s="23" t="str">
        <f t="shared" si="174"/>
        <v/>
      </c>
      <c r="BA183" s="23" t="str">
        <f t="shared" si="174"/>
        <v/>
      </c>
      <c r="BB183" s="23" t="str">
        <f t="shared" si="174"/>
        <v/>
      </c>
      <c r="BC183" s="23" t="str">
        <f t="shared" si="174"/>
        <v/>
      </c>
      <c r="BD183" s="23" t="str">
        <f t="shared" si="174"/>
        <v/>
      </c>
      <c r="BE183" s="23" t="str">
        <f t="shared" si="174"/>
        <v/>
      </c>
      <c r="BF183" s="23" t="str">
        <f t="shared" si="174"/>
        <v/>
      </c>
      <c r="BG183" s="23" t="str">
        <f t="shared" si="174"/>
        <v/>
      </c>
      <c r="BH183" s="23" t="str">
        <f t="shared" si="174"/>
        <v/>
      </c>
      <c r="BI183" s="23" t="str">
        <f t="shared" si="175"/>
        <v/>
      </c>
      <c r="BJ183" s="23" t="str">
        <f t="shared" si="175"/>
        <v/>
      </c>
      <c r="BK183" s="23" t="str">
        <f t="shared" si="175"/>
        <v/>
      </c>
      <c r="BL183" s="23" t="str">
        <f t="shared" si="175"/>
        <v/>
      </c>
      <c r="BM183" s="23" t="str">
        <f t="shared" si="175"/>
        <v/>
      </c>
      <c r="BN183" s="23" t="str">
        <f t="shared" si="175"/>
        <v/>
      </c>
      <c r="BO183" s="23" t="str">
        <f t="shared" si="175"/>
        <v/>
      </c>
      <c r="BP183" s="23" t="str">
        <f t="shared" si="175"/>
        <v/>
      </c>
      <c r="BQ183" s="23" t="str">
        <f t="shared" si="175"/>
        <v/>
      </c>
      <c r="BR183" s="23" t="str">
        <f t="shared" si="175"/>
        <v/>
      </c>
      <c r="BS183" s="23" t="str">
        <f t="shared" si="175"/>
        <v/>
      </c>
      <c r="BU183" s="29" t="s">
        <v>575</v>
      </c>
    </row>
    <row r="184" spans="1:73" ht="17" outlineLevel="1" x14ac:dyDescent="0.2">
      <c r="A184" s="6" t="s">
        <v>576</v>
      </c>
      <c r="B184" s="25" t="s">
        <v>577</v>
      </c>
      <c r="C184" s="6" t="s">
        <v>56</v>
      </c>
      <c r="D184" s="24" t="s">
        <v>128</v>
      </c>
      <c r="F184" s="6" t="s">
        <v>573</v>
      </c>
      <c r="G184" s="22">
        <v>24</v>
      </c>
      <c r="H184" s="22">
        <v>1</v>
      </c>
      <c r="I184" s="22">
        <f>MEDIAN($I$181,$J$181,$I$181+ROUND((G184-$G$181)/$H$181*($J$181-$I$181+1),0))</f>
        <v>24</v>
      </c>
      <c r="J184" s="22">
        <f>MEDIAN(I184,$J$181,$I$181+ROUND((G184+H184-$G$181)/$H$181*($J$181-$I$181+1),0)-1)</f>
        <v>24</v>
      </c>
      <c r="K184" s="23" t="str">
        <f t="shared" si="170"/>
        <v/>
      </c>
      <c r="L184" s="23" t="str">
        <f t="shared" si="170"/>
        <v/>
      </c>
      <c r="M184" s="23" t="str">
        <f t="shared" si="170"/>
        <v/>
      </c>
      <c r="N184" s="23" t="str">
        <f t="shared" si="170"/>
        <v/>
      </c>
      <c r="O184" s="23" t="str">
        <f t="shared" si="170"/>
        <v/>
      </c>
      <c r="P184" s="23" t="str">
        <f t="shared" si="170"/>
        <v/>
      </c>
      <c r="Q184" s="23" t="str">
        <f t="shared" si="170"/>
        <v/>
      </c>
      <c r="R184" s="23" t="str">
        <f t="shared" si="170"/>
        <v/>
      </c>
      <c r="S184" s="23" t="str">
        <f t="shared" si="170"/>
        <v/>
      </c>
      <c r="T184" s="23" t="str">
        <f t="shared" si="170"/>
        <v/>
      </c>
      <c r="U184" s="23" t="str">
        <f t="shared" si="171"/>
        <v/>
      </c>
      <c r="V184" s="23" t="str">
        <f t="shared" si="171"/>
        <v/>
      </c>
      <c r="W184" s="23" t="str">
        <f t="shared" si="171"/>
        <v/>
      </c>
      <c r="X184" s="23" t="str">
        <f t="shared" si="171"/>
        <v/>
      </c>
      <c r="Y184" s="23" t="str">
        <f t="shared" si="171"/>
        <v/>
      </c>
      <c r="Z184" s="23" t="str">
        <f t="shared" si="171"/>
        <v/>
      </c>
      <c r="AA184" s="23" t="str">
        <f t="shared" si="171"/>
        <v/>
      </c>
      <c r="AB184" s="23" t="str">
        <f t="shared" si="171"/>
        <v/>
      </c>
      <c r="AC184" s="23" t="str">
        <f t="shared" si="171"/>
        <v/>
      </c>
      <c r="AD184" s="23" t="str">
        <f t="shared" si="171"/>
        <v/>
      </c>
      <c r="AE184" s="23" t="str">
        <f t="shared" si="172"/>
        <v/>
      </c>
      <c r="AF184" s="23" t="str">
        <f t="shared" si="172"/>
        <v/>
      </c>
      <c r="AG184" s="23" t="str">
        <f t="shared" si="172"/>
        <v/>
      </c>
      <c r="AH184" s="23">
        <f t="shared" si="172"/>
        <v>1</v>
      </c>
      <c r="AI184" s="23" t="str">
        <f t="shared" si="172"/>
        <v/>
      </c>
      <c r="AJ184" s="23" t="str">
        <f t="shared" si="172"/>
        <v/>
      </c>
      <c r="AK184" s="23" t="str">
        <f t="shared" si="172"/>
        <v/>
      </c>
      <c r="AL184" s="23" t="str">
        <f t="shared" si="172"/>
        <v/>
      </c>
      <c r="AM184" s="23" t="str">
        <f t="shared" si="172"/>
        <v/>
      </c>
      <c r="AN184" s="23" t="str">
        <f t="shared" si="172"/>
        <v/>
      </c>
      <c r="AO184" s="23" t="str">
        <f t="shared" si="173"/>
        <v/>
      </c>
      <c r="AP184" s="23" t="str">
        <f t="shared" si="173"/>
        <v/>
      </c>
      <c r="AQ184" s="23" t="str">
        <f t="shared" si="173"/>
        <v/>
      </c>
      <c r="AR184" s="23" t="str">
        <f t="shared" si="173"/>
        <v/>
      </c>
      <c r="AS184" s="23" t="str">
        <f t="shared" si="173"/>
        <v/>
      </c>
      <c r="AT184" s="23" t="str">
        <f t="shared" si="173"/>
        <v/>
      </c>
      <c r="AU184" s="23" t="str">
        <f t="shared" si="173"/>
        <v/>
      </c>
      <c r="AV184" s="23" t="str">
        <f t="shared" si="173"/>
        <v/>
      </c>
      <c r="AW184" s="23" t="str">
        <f t="shared" si="173"/>
        <v/>
      </c>
      <c r="AX184" s="23" t="str">
        <f t="shared" si="173"/>
        <v/>
      </c>
      <c r="AY184" s="23" t="str">
        <f t="shared" si="174"/>
        <v/>
      </c>
      <c r="AZ184" s="23" t="str">
        <f t="shared" si="174"/>
        <v/>
      </c>
      <c r="BA184" s="23" t="str">
        <f t="shared" si="174"/>
        <v/>
      </c>
      <c r="BB184" s="23" t="str">
        <f t="shared" si="174"/>
        <v/>
      </c>
      <c r="BC184" s="23" t="str">
        <f t="shared" si="174"/>
        <v/>
      </c>
      <c r="BD184" s="23" t="str">
        <f t="shared" si="174"/>
        <v/>
      </c>
      <c r="BE184" s="23" t="str">
        <f t="shared" si="174"/>
        <v/>
      </c>
      <c r="BF184" s="23" t="str">
        <f t="shared" si="174"/>
        <v/>
      </c>
      <c r="BG184" s="23" t="str">
        <f t="shared" si="174"/>
        <v/>
      </c>
      <c r="BH184" s="23" t="str">
        <f t="shared" si="174"/>
        <v/>
      </c>
      <c r="BI184" s="23" t="str">
        <f t="shared" si="175"/>
        <v/>
      </c>
      <c r="BJ184" s="23" t="str">
        <f t="shared" si="175"/>
        <v/>
      </c>
      <c r="BK184" s="23" t="str">
        <f t="shared" si="175"/>
        <v/>
      </c>
      <c r="BL184" s="23" t="str">
        <f t="shared" si="175"/>
        <v/>
      </c>
      <c r="BM184" s="23" t="str">
        <f t="shared" si="175"/>
        <v/>
      </c>
      <c r="BN184" s="23" t="str">
        <f t="shared" si="175"/>
        <v/>
      </c>
      <c r="BO184" s="23" t="str">
        <f t="shared" si="175"/>
        <v/>
      </c>
      <c r="BP184" s="23" t="str">
        <f t="shared" si="175"/>
        <v/>
      </c>
      <c r="BQ184" s="23" t="str">
        <f t="shared" si="175"/>
        <v/>
      </c>
      <c r="BR184" s="23" t="str">
        <f t="shared" si="175"/>
        <v/>
      </c>
      <c r="BS184" s="23" t="str">
        <f t="shared" si="175"/>
        <v/>
      </c>
      <c r="BU184" s="29" t="s">
        <v>578</v>
      </c>
    </row>
    <row r="185" spans="1:73" ht="34" outlineLevel="1" x14ac:dyDescent="0.2">
      <c r="A185" s="6" t="s">
        <v>579</v>
      </c>
      <c r="B185" s="25" t="s">
        <v>580</v>
      </c>
      <c r="C185" s="6" t="s">
        <v>56</v>
      </c>
      <c r="D185" s="24" t="s">
        <v>128</v>
      </c>
      <c r="F185" s="6" t="s">
        <v>576</v>
      </c>
      <c r="G185" s="22">
        <v>25</v>
      </c>
      <c r="H185" s="22">
        <v>1</v>
      </c>
      <c r="I185" s="22">
        <f>MEDIAN($I$181,$J$181,$I$181+ROUND((G185-$G$181)/$H$181*($J$181-$I$181+1),0))</f>
        <v>25</v>
      </c>
      <c r="J185" s="22">
        <f>MEDIAN(I185,$J$181,$I$181+ROUND((G185+H185-$G$181)/$H$181*($J$181-$I$181+1),0)-1)</f>
        <v>25</v>
      </c>
      <c r="K185" s="23" t="str">
        <f t="shared" si="170"/>
        <v/>
      </c>
      <c r="L185" s="23" t="str">
        <f t="shared" si="170"/>
        <v/>
      </c>
      <c r="M185" s="23" t="str">
        <f t="shared" si="170"/>
        <v/>
      </c>
      <c r="N185" s="23" t="str">
        <f t="shared" si="170"/>
        <v/>
      </c>
      <c r="O185" s="23" t="str">
        <f t="shared" si="170"/>
        <v/>
      </c>
      <c r="P185" s="23" t="str">
        <f t="shared" si="170"/>
        <v/>
      </c>
      <c r="Q185" s="23" t="str">
        <f t="shared" si="170"/>
        <v/>
      </c>
      <c r="R185" s="23" t="str">
        <f t="shared" si="170"/>
        <v/>
      </c>
      <c r="S185" s="23" t="str">
        <f t="shared" si="170"/>
        <v/>
      </c>
      <c r="T185" s="23" t="str">
        <f t="shared" si="170"/>
        <v/>
      </c>
      <c r="U185" s="23" t="str">
        <f t="shared" si="171"/>
        <v/>
      </c>
      <c r="V185" s="23" t="str">
        <f t="shared" si="171"/>
        <v/>
      </c>
      <c r="W185" s="23" t="str">
        <f t="shared" si="171"/>
        <v/>
      </c>
      <c r="X185" s="23" t="str">
        <f t="shared" si="171"/>
        <v/>
      </c>
      <c r="Y185" s="23" t="str">
        <f t="shared" si="171"/>
        <v/>
      </c>
      <c r="Z185" s="23" t="str">
        <f t="shared" si="171"/>
        <v/>
      </c>
      <c r="AA185" s="23" t="str">
        <f t="shared" si="171"/>
        <v/>
      </c>
      <c r="AB185" s="23" t="str">
        <f t="shared" si="171"/>
        <v/>
      </c>
      <c r="AC185" s="23" t="str">
        <f t="shared" si="171"/>
        <v/>
      </c>
      <c r="AD185" s="23" t="str">
        <f t="shared" si="171"/>
        <v/>
      </c>
      <c r="AE185" s="23" t="str">
        <f t="shared" si="172"/>
        <v/>
      </c>
      <c r="AF185" s="23" t="str">
        <f t="shared" si="172"/>
        <v/>
      </c>
      <c r="AG185" s="23" t="str">
        <f t="shared" si="172"/>
        <v/>
      </c>
      <c r="AH185" s="23" t="str">
        <f t="shared" si="172"/>
        <v/>
      </c>
      <c r="AI185" s="23">
        <f t="shared" si="172"/>
        <v>1</v>
      </c>
      <c r="AJ185" s="23" t="str">
        <f t="shared" si="172"/>
        <v/>
      </c>
      <c r="AK185" s="23" t="str">
        <f t="shared" si="172"/>
        <v/>
      </c>
      <c r="AL185" s="23" t="str">
        <f t="shared" si="172"/>
        <v/>
      </c>
      <c r="AM185" s="23" t="str">
        <f t="shared" si="172"/>
        <v/>
      </c>
      <c r="AN185" s="23" t="str">
        <f t="shared" si="172"/>
        <v/>
      </c>
      <c r="AO185" s="23" t="str">
        <f t="shared" si="173"/>
        <v/>
      </c>
      <c r="AP185" s="23" t="str">
        <f t="shared" si="173"/>
        <v/>
      </c>
      <c r="AQ185" s="23" t="str">
        <f t="shared" si="173"/>
        <v/>
      </c>
      <c r="AR185" s="23" t="str">
        <f t="shared" si="173"/>
        <v/>
      </c>
      <c r="AS185" s="23" t="str">
        <f t="shared" si="173"/>
        <v/>
      </c>
      <c r="AT185" s="23" t="str">
        <f t="shared" si="173"/>
        <v/>
      </c>
      <c r="AU185" s="23" t="str">
        <f t="shared" si="173"/>
        <v/>
      </c>
      <c r="AV185" s="23" t="str">
        <f t="shared" si="173"/>
        <v/>
      </c>
      <c r="AW185" s="23" t="str">
        <f t="shared" si="173"/>
        <v/>
      </c>
      <c r="AX185" s="23" t="str">
        <f t="shared" si="173"/>
        <v/>
      </c>
      <c r="AY185" s="23" t="str">
        <f t="shared" si="174"/>
        <v/>
      </c>
      <c r="AZ185" s="23" t="str">
        <f t="shared" si="174"/>
        <v/>
      </c>
      <c r="BA185" s="23" t="str">
        <f t="shared" si="174"/>
        <v/>
      </c>
      <c r="BB185" s="23" t="str">
        <f t="shared" si="174"/>
        <v/>
      </c>
      <c r="BC185" s="23" t="str">
        <f t="shared" si="174"/>
        <v/>
      </c>
      <c r="BD185" s="23" t="str">
        <f t="shared" si="174"/>
        <v/>
      </c>
      <c r="BE185" s="23" t="str">
        <f t="shared" si="174"/>
        <v/>
      </c>
      <c r="BF185" s="23" t="str">
        <f t="shared" si="174"/>
        <v/>
      </c>
      <c r="BG185" s="23" t="str">
        <f t="shared" si="174"/>
        <v/>
      </c>
      <c r="BH185" s="23" t="str">
        <f t="shared" si="174"/>
        <v/>
      </c>
      <c r="BI185" s="23" t="str">
        <f t="shared" si="175"/>
        <v/>
      </c>
      <c r="BJ185" s="23" t="str">
        <f t="shared" si="175"/>
        <v/>
      </c>
      <c r="BK185" s="23" t="str">
        <f t="shared" si="175"/>
        <v/>
      </c>
      <c r="BL185" s="23" t="str">
        <f t="shared" si="175"/>
        <v/>
      </c>
      <c r="BM185" s="23" t="str">
        <f t="shared" si="175"/>
        <v/>
      </c>
      <c r="BN185" s="23" t="str">
        <f t="shared" si="175"/>
        <v/>
      </c>
      <c r="BO185" s="23" t="str">
        <f t="shared" si="175"/>
        <v/>
      </c>
      <c r="BP185" s="23" t="str">
        <f t="shared" si="175"/>
        <v/>
      </c>
      <c r="BQ185" s="23" t="str">
        <f t="shared" si="175"/>
        <v/>
      </c>
      <c r="BR185" s="23" t="str">
        <f t="shared" si="175"/>
        <v/>
      </c>
      <c r="BS185" s="23" t="str">
        <f t="shared" si="175"/>
        <v/>
      </c>
      <c r="BU185" s="29" t="s">
        <v>581</v>
      </c>
    </row>
    <row r="186" spans="1:73" x14ac:dyDescent="0.2">
      <c r="BU186" s="30"/>
    </row>
    <row r="187" spans="1:73" ht="17" x14ac:dyDescent="0.2">
      <c r="A187" s="19" t="s">
        <v>582</v>
      </c>
      <c r="B187" s="20" t="s">
        <v>583</v>
      </c>
      <c r="C187" s="19" t="s">
        <v>55</v>
      </c>
      <c r="D187" s="21" t="s">
        <v>128</v>
      </c>
      <c r="E187" s="19" t="s">
        <v>71</v>
      </c>
      <c r="F187" s="19"/>
      <c r="G187" s="22">
        <v>22</v>
      </c>
      <c r="H187" s="22">
        <v>4</v>
      </c>
      <c r="I187" s="22">
        <f>MIN(61,IF(G187&lt;=29,ROUND((G187-1)*(29+SlipWeeks)/29,0)+1,G187+SlipWeeks))</f>
        <v>22</v>
      </c>
      <c r="J187" s="22">
        <f>MIN(61,IF(G187+H187-1&lt;=29,MAX(ROUND((G187+H187-1)*(29+SlipWeeks)/29,0),I187),G187+H187-1+SlipWeeks))</f>
        <v>25</v>
      </c>
      <c r="K187" s="23" t="str">
        <f t="shared" ref="K187:T190" si="176">IF(AND(K$4&gt;=$I187,K$4&lt;=$J187),1,"")</f>
        <v/>
      </c>
      <c r="L187" s="23" t="str">
        <f t="shared" si="176"/>
        <v/>
      </c>
      <c r="M187" s="23" t="str">
        <f t="shared" si="176"/>
        <v/>
      </c>
      <c r="N187" s="23" t="str">
        <f t="shared" si="176"/>
        <v/>
      </c>
      <c r="O187" s="23" t="str">
        <f t="shared" si="176"/>
        <v/>
      </c>
      <c r="P187" s="23" t="str">
        <f t="shared" si="176"/>
        <v/>
      </c>
      <c r="Q187" s="23" t="str">
        <f t="shared" si="176"/>
        <v/>
      </c>
      <c r="R187" s="23" t="str">
        <f t="shared" si="176"/>
        <v/>
      </c>
      <c r="S187" s="23" t="str">
        <f t="shared" si="176"/>
        <v/>
      </c>
      <c r="T187" s="23" t="str">
        <f t="shared" si="176"/>
        <v/>
      </c>
      <c r="U187" s="23" t="str">
        <f t="shared" ref="U187:AD190" si="177">IF(AND(U$4&gt;=$I187,U$4&lt;=$J187),1,"")</f>
        <v/>
      </c>
      <c r="V187" s="23" t="str">
        <f t="shared" si="177"/>
        <v/>
      </c>
      <c r="W187" s="23" t="str">
        <f t="shared" si="177"/>
        <v/>
      </c>
      <c r="X187" s="23" t="str">
        <f t="shared" si="177"/>
        <v/>
      </c>
      <c r="Y187" s="23" t="str">
        <f t="shared" si="177"/>
        <v/>
      </c>
      <c r="Z187" s="23" t="str">
        <f t="shared" si="177"/>
        <v/>
      </c>
      <c r="AA187" s="23" t="str">
        <f t="shared" si="177"/>
        <v/>
      </c>
      <c r="AB187" s="23" t="str">
        <f t="shared" si="177"/>
        <v/>
      </c>
      <c r="AC187" s="23" t="str">
        <f t="shared" si="177"/>
        <v/>
      </c>
      <c r="AD187" s="23" t="str">
        <f t="shared" si="177"/>
        <v/>
      </c>
      <c r="AE187" s="23" t="str">
        <f t="shared" ref="AE187:AN190" si="178">IF(AND(AE$4&gt;=$I187,AE$4&lt;=$J187),1,"")</f>
        <v/>
      </c>
      <c r="AF187" s="23">
        <f t="shared" si="178"/>
        <v>1</v>
      </c>
      <c r="AG187" s="23">
        <f t="shared" si="178"/>
        <v>1</v>
      </c>
      <c r="AH187" s="23">
        <f t="shared" si="178"/>
        <v>1</v>
      </c>
      <c r="AI187" s="23">
        <f t="shared" si="178"/>
        <v>1</v>
      </c>
      <c r="AJ187" s="23" t="str">
        <f t="shared" si="178"/>
        <v/>
      </c>
      <c r="AK187" s="23" t="str">
        <f t="shared" si="178"/>
        <v/>
      </c>
      <c r="AL187" s="23" t="str">
        <f t="shared" si="178"/>
        <v/>
      </c>
      <c r="AM187" s="23" t="str">
        <f t="shared" si="178"/>
        <v/>
      </c>
      <c r="AN187" s="23" t="str">
        <f t="shared" si="178"/>
        <v/>
      </c>
      <c r="AO187" s="23" t="str">
        <f t="shared" ref="AO187:AX190" si="179">IF(AND(AO$4&gt;=$I187,AO$4&lt;=$J187),1,"")</f>
        <v/>
      </c>
      <c r="AP187" s="23" t="str">
        <f t="shared" si="179"/>
        <v/>
      </c>
      <c r="AQ187" s="23" t="str">
        <f t="shared" si="179"/>
        <v/>
      </c>
      <c r="AR187" s="23" t="str">
        <f t="shared" si="179"/>
        <v/>
      </c>
      <c r="AS187" s="23" t="str">
        <f t="shared" si="179"/>
        <v/>
      </c>
      <c r="AT187" s="23" t="str">
        <f t="shared" si="179"/>
        <v/>
      </c>
      <c r="AU187" s="23" t="str">
        <f t="shared" si="179"/>
        <v/>
      </c>
      <c r="AV187" s="23" t="str">
        <f t="shared" si="179"/>
        <v/>
      </c>
      <c r="AW187" s="23" t="str">
        <f t="shared" si="179"/>
        <v/>
      </c>
      <c r="AX187" s="23" t="str">
        <f t="shared" si="179"/>
        <v/>
      </c>
      <c r="AY187" s="23" t="str">
        <f t="shared" ref="AY187:BH190" si="180">IF(AND(AY$4&gt;=$I187,AY$4&lt;=$J187),1,"")</f>
        <v/>
      </c>
      <c r="AZ187" s="23" t="str">
        <f t="shared" si="180"/>
        <v/>
      </c>
      <c r="BA187" s="23" t="str">
        <f t="shared" si="180"/>
        <v/>
      </c>
      <c r="BB187" s="23" t="str">
        <f t="shared" si="180"/>
        <v/>
      </c>
      <c r="BC187" s="23" t="str">
        <f t="shared" si="180"/>
        <v/>
      </c>
      <c r="BD187" s="23" t="str">
        <f t="shared" si="180"/>
        <v/>
      </c>
      <c r="BE187" s="23" t="str">
        <f t="shared" si="180"/>
        <v/>
      </c>
      <c r="BF187" s="23" t="str">
        <f t="shared" si="180"/>
        <v/>
      </c>
      <c r="BG187" s="23" t="str">
        <f t="shared" si="180"/>
        <v/>
      </c>
      <c r="BH187" s="23" t="str">
        <f t="shared" si="180"/>
        <v/>
      </c>
      <c r="BI187" s="23" t="str">
        <f t="shared" ref="BI187:BS190" si="181">IF(AND(BI$4&gt;=$I187,BI$4&lt;=$J187),1,"")</f>
        <v/>
      </c>
      <c r="BJ187" s="23" t="str">
        <f t="shared" si="181"/>
        <v/>
      </c>
      <c r="BK187" s="23" t="str">
        <f t="shared" si="181"/>
        <v/>
      </c>
      <c r="BL187" s="23" t="str">
        <f t="shared" si="181"/>
        <v/>
      </c>
      <c r="BM187" s="23" t="str">
        <f t="shared" si="181"/>
        <v/>
      </c>
      <c r="BN187" s="23" t="str">
        <f t="shared" si="181"/>
        <v/>
      </c>
      <c r="BO187" s="23" t="str">
        <f t="shared" si="181"/>
        <v/>
      </c>
      <c r="BP187" s="23" t="str">
        <f t="shared" si="181"/>
        <v/>
      </c>
      <c r="BQ187" s="23" t="str">
        <f t="shared" si="181"/>
        <v/>
      </c>
      <c r="BR187" s="23" t="str">
        <f t="shared" si="181"/>
        <v/>
      </c>
      <c r="BS187" s="23" t="str">
        <f t="shared" si="181"/>
        <v/>
      </c>
      <c r="BT187" s="24" t="str">
        <f>IF(IF(G187+H187-1&lt;=29,MAX(ROUND((G187+H187-1)*(29+SlipWeeks)/29,0),$I187),G187+H187-1+SlipWeeks)&gt;61,"▶ clipped","")</f>
        <v/>
      </c>
      <c r="BU187" s="29" t="s">
        <v>584</v>
      </c>
    </row>
    <row r="188" spans="1:73" ht="34" outlineLevel="1" x14ac:dyDescent="0.2">
      <c r="A188" s="6" t="s">
        <v>585</v>
      </c>
      <c r="B188" s="25" t="s">
        <v>586</v>
      </c>
      <c r="C188" s="6" t="s">
        <v>55</v>
      </c>
      <c r="D188" s="24" t="s">
        <v>128</v>
      </c>
      <c r="F188" s="6"/>
      <c r="G188" s="22">
        <v>22</v>
      </c>
      <c r="H188" s="22">
        <v>1</v>
      </c>
      <c r="I188" s="22">
        <f>MEDIAN($I$187,$J$187,$I$187+ROUND((G188-$G$187)/$H$187*($J$187-$I$187+1),0))</f>
        <v>22</v>
      </c>
      <c r="J188" s="22">
        <f>MEDIAN(I188,$J$187,$I$187+ROUND((G188+H188-$G$187)/$H$187*($J$187-$I$187+1),0)-1)</f>
        <v>22</v>
      </c>
      <c r="K188" s="23" t="str">
        <f t="shared" si="176"/>
        <v/>
      </c>
      <c r="L188" s="23" t="str">
        <f t="shared" si="176"/>
        <v/>
      </c>
      <c r="M188" s="23" t="str">
        <f t="shared" si="176"/>
        <v/>
      </c>
      <c r="N188" s="23" t="str">
        <f t="shared" si="176"/>
        <v/>
      </c>
      <c r="O188" s="23" t="str">
        <f t="shared" si="176"/>
        <v/>
      </c>
      <c r="P188" s="23" t="str">
        <f t="shared" si="176"/>
        <v/>
      </c>
      <c r="Q188" s="23" t="str">
        <f t="shared" si="176"/>
        <v/>
      </c>
      <c r="R188" s="23" t="str">
        <f t="shared" si="176"/>
        <v/>
      </c>
      <c r="S188" s="23" t="str">
        <f t="shared" si="176"/>
        <v/>
      </c>
      <c r="T188" s="23" t="str">
        <f t="shared" si="176"/>
        <v/>
      </c>
      <c r="U188" s="23" t="str">
        <f t="shared" si="177"/>
        <v/>
      </c>
      <c r="V188" s="23" t="str">
        <f t="shared" si="177"/>
        <v/>
      </c>
      <c r="W188" s="23" t="str">
        <f t="shared" si="177"/>
        <v/>
      </c>
      <c r="X188" s="23" t="str">
        <f t="shared" si="177"/>
        <v/>
      </c>
      <c r="Y188" s="23" t="str">
        <f t="shared" si="177"/>
        <v/>
      </c>
      <c r="Z188" s="23" t="str">
        <f t="shared" si="177"/>
        <v/>
      </c>
      <c r="AA188" s="23" t="str">
        <f t="shared" si="177"/>
        <v/>
      </c>
      <c r="AB188" s="23" t="str">
        <f t="shared" si="177"/>
        <v/>
      </c>
      <c r="AC188" s="23" t="str">
        <f t="shared" si="177"/>
        <v/>
      </c>
      <c r="AD188" s="23" t="str">
        <f t="shared" si="177"/>
        <v/>
      </c>
      <c r="AE188" s="23" t="str">
        <f t="shared" si="178"/>
        <v/>
      </c>
      <c r="AF188" s="23">
        <f t="shared" si="178"/>
        <v>1</v>
      </c>
      <c r="AG188" s="23" t="str">
        <f t="shared" si="178"/>
        <v/>
      </c>
      <c r="AH188" s="23" t="str">
        <f t="shared" si="178"/>
        <v/>
      </c>
      <c r="AI188" s="23" t="str">
        <f t="shared" si="178"/>
        <v/>
      </c>
      <c r="AJ188" s="23" t="str">
        <f t="shared" si="178"/>
        <v/>
      </c>
      <c r="AK188" s="23" t="str">
        <f t="shared" si="178"/>
        <v/>
      </c>
      <c r="AL188" s="23" t="str">
        <f t="shared" si="178"/>
        <v/>
      </c>
      <c r="AM188" s="23" t="str">
        <f t="shared" si="178"/>
        <v/>
      </c>
      <c r="AN188" s="23" t="str">
        <f t="shared" si="178"/>
        <v/>
      </c>
      <c r="AO188" s="23" t="str">
        <f t="shared" si="179"/>
        <v/>
      </c>
      <c r="AP188" s="23" t="str">
        <f t="shared" si="179"/>
        <v/>
      </c>
      <c r="AQ188" s="23" t="str">
        <f t="shared" si="179"/>
        <v/>
      </c>
      <c r="AR188" s="23" t="str">
        <f t="shared" si="179"/>
        <v/>
      </c>
      <c r="AS188" s="23" t="str">
        <f t="shared" si="179"/>
        <v/>
      </c>
      <c r="AT188" s="23" t="str">
        <f t="shared" si="179"/>
        <v/>
      </c>
      <c r="AU188" s="23" t="str">
        <f t="shared" si="179"/>
        <v/>
      </c>
      <c r="AV188" s="23" t="str">
        <f t="shared" si="179"/>
        <v/>
      </c>
      <c r="AW188" s="23" t="str">
        <f t="shared" si="179"/>
        <v/>
      </c>
      <c r="AX188" s="23" t="str">
        <f t="shared" si="179"/>
        <v/>
      </c>
      <c r="AY188" s="23" t="str">
        <f t="shared" si="180"/>
        <v/>
      </c>
      <c r="AZ188" s="23" t="str">
        <f t="shared" si="180"/>
        <v/>
      </c>
      <c r="BA188" s="23" t="str">
        <f t="shared" si="180"/>
        <v/>
      </c>
      <c r="BB188" s="23" t="str">
        <f t="shared" si="180"/>
        <v/>
      </c>
      <c r="BC188" s="23" t="str">
        <f t="shared" si="180"/>
        <v/>
      </c>
      <c r="BD188" s="23" t="str">
        <f t="shared" si="180"/>
        <v/>
      </c>
      <c r="BE188" s="23" t="str">
        <f t="shared" si="180"/>
        <v/>
      </c>
      <c r="BF188" s="23" t="str">
        <f t="shared" si="180"/>
        <v/>
      </c>
      <c r="BG188" s="23" t="str">
        <f t="shared" si="180"/>
        <v/>
      </c>
      <c r="BH188" s="23" t="str">
        <f t="shared" si="180"/>
        <v/>
      </c>
      <c r="BI188" s="23" t="str">
        <f t="shared" si="181"/>
        <v/>
      </c>
      <c r="BJ188" s="23" t="str">
        <f t="shared" si="181"/>
        <v/>
      </c>
      <c r="BK188" s="23" t="str">
        <f t="shared" si="181"/>
        <v/>
      </c>
      <c r="BL188" s="23" t="str">
        <f t="shared" si="181"/>
        <v/>
      </c>
      <c r="BM188" s="23" t="str">
        <f t="shared" si="181"/>
        <v/>
      </c>
      <c r="BN188" s="23" t="str">
        <f t="shared" si="181"/>
        <v/>
      </c>
      <c r="BO188" s="23" t="str">
        <f t="shared" si="181"/>
        <v/>
      </c>
      <c r="BP188" s="23" t="str">
        <f t="shared" si="181"/>
        <v/>
      </c>
      <c r="BQ188" s="23" t="str">
        <f t="shared" si="181"/>
        <v/>
      </c>
      <c r="BR188" s="23" t="str">
        <f t="shared" si="181"/>
        <v/>
      </c>
      <c r="BS188" s="23" t="str">
        <f t="shared" si="181"/>
        <v/>
      </c>
      <c r="BU188" s="29" t="s">
        <v>587</v>
      </c>
    </row>
    <row r="189" spans="1:73" ht="17" outlineLevel="1" x14ac:dyDescent="0.2">
      <c r="A189" s="6" t="s">
        <v>588</v>
      </c>
      <c r="B189" s="25" t="s">
        <v>589</v>
      </c>
      <c r="C189" s="6" t="s">
        <v>55</v>
      </c>
      <c r="D189" s="24" t="s">
        <v>128</v>
      </c>
      <c r="F189" s="6" t="s">
        <v>585</v>
      </c>
      <c r="G189" s="22">
        <v>23</v>
      </c>
      <c r="H189" s="22">
        <v>1</v>
      </c>
      <c r="I189" s="22">
        <f>MEDIAN($I$187,$J$187,$I$187+ROUND((G189-$G$187)/$H$187*($J$187-$I$187+1),0))</f>
        <v>23</v>
      </c>
      <c r="J189" s="22">
        <f>MEDIAN(I189,$J$187,$I$187+ROUND((G189+H189-$G$187)/$H$187*($J$187-$I$187+1),0)-1)</f>
        <v>23</v>
      </c>
      <c r="K189" s="23" t="str">
        <f t="shared" si="176"/>
        <v/>
      </c>
      <c r="L189" s="23" t="str">
        <f t="shared" si="176"/>
        <v/>
      </c>
      <c r="M189" s="23" t="str">
        <f t="shared" si="176"/>
        <v/>
      </c>
      <c r="N189" s="23" t="str">
        <f t="shared" si="176"/>
        <v/>
      </c>
      <c r="O189" s="23" t="str">
        <f t="shared" si="176"/>
        <v/>
      </c>
      <c r="P189" s="23" t="str">
        <f t="shared" si="176"/>
        <v/>
      </c>
      <c r="Q189" s="23" t="str">
        <f t="shared" si="176"/>
        <v/>
      </c>
      <c r="R189" s="23" t="str">
        <f t="shared" si="176"/>
        <v/>
      </c>
      <c r="S189" s="23" t="str">
        <f t="shared" si="176"/>
        <v/>
      </c>
      <c r="T189" s="23" t="str">
        <f t="shared" si="176"/>
        <v/>
      </c>
      <c r="U189" s="23" t="str">
        <f t="shared" si="177"/>
        <v/>
      </c>
      <c r="V189" s="23" t="str">
        <f t="shared" si="177"/>
        <v/>
      </c>
      <c r="W189" s="23" t="str">
        <f t="shared" si="177"/>
        <v/>
      </c>
      <c r="X189" s="23" t="str">
        <f t="shared" si="177"/>
        <v/>
      </c>
      <c r="Y189" s="23" t="str">
        <f t="shared" si="177"/>
        <v/>
      </c>
      <c r="Z189" s="23" t="str">
        <f t="shared" si="177"/>
        <v/>
      </c>
      <c r="AA189" s="23" t="str">
        <f t="shared" si="177"/>
        <v/>
      </c>
      <c r="AB189" s="23" t="str">
        <f t="shared" si="177"/>
        <v/>
      </c>
      <c r="AC189" s="23" t="str">
        <f t="shared" si="177"/>
        <v/>
      </c>
      <c r="AD189" s="23" t="str">
        <f t="shared" si="177"/>
        <v/>
      </c>
      <c r="AE189" s="23" t="str">
        <f t="shared" si="178"/>
        <v/>
      </c>
      <c r="AF189" s="23" t="str">
        <f t="shared" si="178"/>
        <v/>
      </c>
      <c r="AG189" s="23">
        <f t="shared" si="178"/>
        <v>1</v>
      </c>
      <c r="AH189" s="23" t="str">
        <f t="shared" si="178"/>
        <v/>
      </c>
      <c r="AI189" s="23" t="str">
        <f t="shared" si="178"/>
        <v/>
      </c>
      <c r="AJ189" s="23" t="str">
        <f t="shared" si="178"/>
        <v/>
      </c>
      <c r="AK189" s="23" t="str">
        <f t="shared" si="178"/>
        <v/>
      </c>
      <c r="AL189" s="23" t="str">
        <f t="shared" si="178"/>
        <v/>
      </c>
      <c r="AM189" s="23" t="str">
        <f t="shared" si="178"/>
        <v/>
      </c>
      <c r="AN189" s="23" t="str">
        <f t="shared" si="178"/>
        <v/>
      </c>
      <c r="AO189" s="23" t="str">
        <f t="shared" si="179"/>
        <v/>
      </c>
      <c r="AP189" s="23" t="str">
        <f t="shared" si="179"/>
        <v/>
      </c>
      <c r="AQ189" s="23" t="str">
        <f t="shared" si="179"/>
        <v/>
      </c>
      <c r="AR189" s="23" t="str">
        <f t="shared" si="179"/>
        <v/>
      </c>
      <c r="AS189" s="23" t="str">
        <f t="shared" si="179"/>
        <v/>
      </c>
      <c r="AT189" s="23" t="str">
        <f t="shared" si="179"/>
        <v/>
      </c>
      <c r="AU189" s="23" t="str">
        <f t="shared" si="179"/>
        <v/>
      </c>
      <c r="AV189" s="23" t="str">
        <f t="shared" si="179"/>
        <v/>
      </c>
      <c r="AW189" s="23" t="str">
        <f t="shared" si="179"/>
        <v/>
      </c>
      <c r="AX189" s="23" t="str">
        <f t="shared" si="179"/>
        <v/>
      </c>
      <c r="AY189" s="23" t="str">
        <f t="shared" si="180"/>
        <v/>
      </c>
      <c r="AZ189" s="23" t="str">
        <f t="shared" si="180"/>
        <v/>
      </c>
      <c r="BA189" s="23" t="str">
        <f t="shared" si="180"/>
        <v/>
      </c>
      <c r="BB189" s="23" t="str">
        <f t="shared" si="180"/>
        <v/>
      </c>
      <c r="BC189" s="23" t="str">
        <f t="shared" si="180"/>
        <v/>
      </c>
      <c r="BD189" s="23" t="str">
        <f t="shared" si="180"/>
        <v/>
      </c>
      <c r="BE189" s="23" t="str">
        <f t="shared" si="180"/>
        <v/>
      </c>
      <c r="BF189" s="23" t="str">
        <f t="shared" si="180"/>
        <v/>
      </c>
      <c r="BG189" s="23" t="str">
        <f t="shared" si="180"/>
        <v/>
      </c>
      <c r="BH189" s="23" t="str">
        <f t="shared" si="180"/>
        <v/>
      </c>
      <c r="BI189" s="23" t="str">
        <f t="shared" si="181"/>
        <v/>
      </c>
      <c r="BJ189" s="23" t="str">
        <f t="shared" si="181"/>
        <v/>
      </c>
      <c r="BK189" s="23" t="str">
        <f t="shared" si="181"/>
        <v/>
      </c>
      <c r="BL189" s="23" t="str">
        <f t="shared" si="181"/>
        <v/>
      </c>
      <c r="BM189" s="23" t="str">
        <f t="shared" si="181"/>
        <v/>
      </c>
      <c r="BN189" s="23" t="str">
        <f t="shared" si="181"/>
        <v/>
      </c>
      <c r="BO189" s="23" t="str">
        <f t="shared" si="181"/>
        <v/>
      </c>
      <c r="BP189" s="23" t="str">
        <f t="shared" si="181"/>
        <v/>
      </c>
      <c r="BQ189" s="23" t="str">
        <f t="shared" si="181"/>
        <v/>
      </c>
      <c r="BR189" s="23" t="str">
        <f t="shared" si="181"/>
        <v/>
      </c>
      <c r="BS189" s="23" t="str">
        <f t="shared" si="181"/>
        <v/>
      </c>
      <c r="BU189" s="29" t="s">
        <v>590</v>
      </c>
    </row>
    <row r="190" spans="1:73" ht="34" outlineLevel="1" x14ac:dyDescent="0.2">
      <c r="A190" s="6" t="s">
        <v>591</v>
      </c>
      <c r="B190" s="25" t="s">
        <v>592</v>
      </c>
      <c r="C190" s="6" t="s">
        <v>55</v>
      </c>
      <c r="D190" s="24" t="s">
        <v>128</v>
      </c>
      <c r="F190" s="6" t="s">
        <v>588</v>
      </c>
      <c r="G190" s="22">
        <v>24</v>
      </c>
      <c r="H190" s="22">
        <v>2</v>
      </c>
      <c r="I190" s="22">
        <f>MEDIAN($I$187,$J$187,$I$187+ROUND((G190-$G$187)/$H$187*($J$187-$I$187+1),0))</f>
        <v>24</v>
      </c>
      <c r="J190" s="22">
        <f>MEDIAN(I190,$J$187,$I$187+ROUND((G190+H190-$G$187)/$H$187*($J$187-$I$187+1),0)-1)</f>
        <v>25</v>
      </c>
      <c r="K190" s="23" t="str">
        <f t="shared" si="176"/>
        <v/>
      </c>
      <c r="L190" s="23" t="str">
        <f t="shared" si="176"/>
        <v/>
      </c>
      <c r="M190" s="23" t="str">
        <f t="shared" si="176"/>
        <v/>
      </c>
      <c r="N190" s="23" t="str">
        <f t="shared" si="176"/>
        <v/>
      </c>
      <c r="O190" s="23" t="str">
        <f t="shared" si="176"/>
        <v/>
      </c>
      <c r="P190" s="23" t="str">
        <f t="shared" si="176"/>
        <v/>
      </c>
      <c r="Q190" s="23" t="str">
        <f t="shared" si="176"/>
        <v/>
      </c>
      <c r="R190" s="23" t="str">
        <f t="shared" si="176"/>
        <v/>
      </c>
      <c r="S190" s="23" t="str">
        <f t="shared" si="176"/>
        <v/>
      </c>
      <c r="T190" s="23" t="str">
        <f t="shared" si="176"/>
        <v/>
      </c>
      <c r="U190" s="23" t="str">
        <f t="shared" si="177"/>
        <v/>
      </c>
      <c r="V190" s="23" t="str">
        <f t="shared" si="177"/>
        <v/>
      </c>
      <c r="W190" s="23" t="str">
        <f t="shared" si="177"/>
        <v/>
      </c>
      <c r="X190" s="23" t="str">
        <f t="shared" si="177"/>
        <v/>
      </c>
      <c r="Y190" s="23" t="str">
        <f t="shared" si="177"/>
        <v/>
      </c>
      <c r="Z190" s="23" t="str">
        <f t="shared" si="177"/>
        <v/>
      </c>
      <c r="AA190" s="23" t="str">
        <f t="shared" si="177"/>
        <v/>
      </c>
      <c r="AB190" s="23" t="str">
        <f t="shared" si="177"/>
        <v/>
      </c>
      <c r="AC190" s="23" t="str">
        <f t="shared" si="177"/>
        <v/>
      </c>
      <c r="AD190" s="23" t="str">
        <f t="shared" si="177"/>
        <v/>
      </c>
      <c r="AE190" s="23" t="str">
        <f t="shared" si="178"/>
        <v/>
      </c>
      <c r="AF190" s="23" t="str">
        <f t="shared" si="178"/>
        <v/>
      </c>
      <c r="AG190" s="23" t="str">
        <f t="shared" si="178"/>
        <v/>
      </c>
      <c r="AH190" s="23">
        <f t="shared" si="178"/>
        <v>1</v>
      </c>
      <c r="AI190" s="23">
        <f t="shared" si="178"/>
        <v>1</v>
      </c>
      <c r="AJ190" s="23" t="str">
        <f t="shared" si="178"/>
        <v/>
      </c>
      <c r="AK190" s="23" t="str">
        <f t="shared" si="178"/>
        <v/>
      </c>
      <c r="AL190" s="23" t="str">
        <f t="shared" si="178"/>
        <v/>
      </c>
      <c r="AM190" s="23" t="str">
        <f t="shared" si="178"/>
        <v/>
      </c>
      <c r="AN190" s="23" t="str">
        <f t="shared" si="178"/>
        <v/>
      </c>
      <c r="AO190" s="23" t="str">
        <f t="shared" si="179"/>
        <v/>
      </c>
      <c r="AP190" s="23" t="str">
        <f t="shared" si="179"/>
        <v/>
      </c>
      <c r="AQ190" s="23" t="str">
        <f t="shared" si="179"/>
        <v/>
      </c>
      <c r="AR190" s="23" t="str">
        <f t="shared" si="179"/>
        <v/>
      </c>
      <c r="AS190" s="23" t="str">
        <f t="shared" si="179"/>
        <v/>
      </c>
      <c r="AT190" s="23" t="str">
        <f t="shared" si="179"/>
        <v/>
      </c>
      <c r="AU190" s="23" t="str">
        <f t="shared" si="179"/>
        <v/>
      </c>
      <c r="AV190" s="23" t="str">
        <f t="shared" si="179"/>
        <v/>
      </c>
      <c r="AW190" s="23" t="str">
        <f t="shared" si="179"/>
        <v/>
      </c>
      <c r="AX190" s="23" t="str">
        <f t="shared" si="179"/>
        <v/>
      </c>
      <c r="AY190" s="23" t="str">
        <f t="shared" si="180"/>
        <v/>
      </c>
      <c r="AZ190" s="23" t="str">
        <f t="shared" si="180"/>
        <v/>
      </c>
      <c r="BA190" s="23" t="str">
        <f t="shared" si="180"/>
        <v/>
      </c>
      <c r="BB190" s="23" t="str">
        <f t="shared" si="180"/>
        <v/>
      </c>
      <c r="BC190" s="23" t="str">
        <f t="shared" si="180"/>
        <v/>
      </c>
      <c r="BD190" s="23" t="str">
        <f t="shared" si="180"/>
        <v/>
      </c>
      <c r="BE190" s="23" t="str">
        <f t="shared" si="180"/>
        <v/>
      </c>
      <c r="BF190" s="23" t="str">
        <f t="shared" si="180"/>
        <v/>
      </c>
      <c r="BG190" s="23" t="str">
        <f t="shared" si="180"/>
        <v/>
      </c>
      <c r="BH190" s="23" t="str">
        <f t="shared" si="180"/>
        <v/>
      </c>
      <c r="BI190" s="23" t="str">
        <f t="shared" si="181"/>
        <v/>
      </c>
      <c r="BJ190" s="23" t="str">
        <f t="shared" si="181"/>
        <v/>
      </c>
      <c r="BK190" s="23" t="str">
        <f t="shared" si="181"/>
        <v/>
      </c>
      <c r="BL190" s="23" t="str">
        <f t="shared" si="181"/>
        <v/>
      </c>
      <c r="BM190" s="23" t="str">
        <f t="shared" si="181"/>
        <v/>
      </c>
      <c r="BN190" s="23" t="str">
        <f t="shared" si="181"/>
        <v/>
      </c>
      <c r="BO190" s="23" t="str">
        <f t="shared" si="181"/>
        <v/>
      </c>
      <c r="BP190" s="23" t="str">
        <f t="shared" si="181"/>
        <v/>
      </c>
      <c r="BQ190" s="23" t="str">
        <f t="shared" si="181"/>
        <v/>
      </c>
      <c r="BR190" s="23" t="str">
        <f t="shared" si="181"/>
        <v/>
      </c>
      <c r="BS190" s="23" t="str">
        <f t="shared" si="181"/>
        <v/>
      </c>
      <c r="BU190" s="29" t="s">
        <v>593</v>
      </c>
    </row>
    <row r="191" spans="1:73" x14ac:dyDescent="0.2">
      <c r="BU191" s="30"/>
    </row>
    <row r="192" spans="1:73" ht="17" x14ac:dyDescent="0.2">
      <c r="A192" s="19" t="s">
        <v>594</v>
      </c>
      <c r="B192" s="20" t="s">
        <v>595</v>
      </c>
      <c r="C192" s="19" t="s">
        <v>58</v>
      </c>
      <c r="D192" s="21" t="s">
        <v>128</v>
      </c>
      <c r="E192" s="19" t="s">
        <v>84</v>
      </c>
      <c r="F192" s="19"/>
      <c r="G192" s="22">
        <v>22</v>
      </c>
      <c r="H192" s="22">
        <v>3</v>
      </c>
      <c r="I192" s="22">
        <f>MIN(61,IF(G192&lt;=29,ROUND((G192-1)*(29+SlipWeeks)/29,0)+1,G192+SlipWeeks))</f>
        <v>22</v>
      </c>
      <c r="J192" s="22">
        <f>MIN(61,I192+H192-1)</f>
        <v>24</v>
      </c>
      <c r="K192" s="23" t="str">
        <f t="shared" ref="K192:T195" si="182">IF(AND(K$4&gt;=$I192,K$4&lt;=$J192),1,"")</f>
        <v/>
      </c>
      <c r="L192" s="23" t="str">
        <f t="shared" si="182"/>
        <v/>
      </c>
      <c r="M192" s="23" t="str">
        <f t="shared" si="182"/>
        <v/>
      </c>
      <c r="N192" s="23" t="str">
        <f t="shared" si="182"/>
        <v/>
      </c>
      <c r="O192" s="23" t="str">
        <f t="shared" si="182"/>
        <v/>
      </c>
      <c r="P192" s="23" t="str">
        <f t="shared" si="182"/>
        <v/>
      </c>
      <c r="Q192" s="23" t="str">
        <f t="shared" si="182"/>
        <v/>
      </c>
      <c r="R192" s="23" t="str">
        <f t="shared" si="182"/>
        <v/>
      </c>
      <c r="S192" s="23" t="str">
        <f t="shared" si="182"/>
        <v/>
      </c>
      <c r="T192" s="23" t="str">
        <f t="shared" si="182"/>
        <v/>
      </c>
      <c r="U192" s="23" t="str">
        <f t="shared" ref="U192:AD195" si="183">IF(AND(U$4&gt;=$I192,U$4&lt;=$J192),1,"")</f>
        <v/>
      </c>
      <c r="V192" s="23" t="str">
        <f t="shared" si="183"/>
        <v/>
      </c>
      <c r="W192" s="23" t="str">
        <f t="shared" si="183"/>
        <v/>
      </c>
      <c r="X192" s="23" t="str">
        <f t="shared" si="183"/>
        <v/>
      </c>
      <c r="Y192" s="23" t="str">
        <f t="shared" si="183"/>
        <v/>
      </c>
      <c r="Z192" s="23" t="str">
        <f t="shared" si="183"/>
        <v/>
      </c>
      <c r="AA192" s="23" t="str">
        <f t="shared" si="183"/>
        <v/>
      </c>
      <c r="AB192" s="23" t="str">
        <f t="shared" si="183"/>
        <v/>
      </c>
      <c r="AC192" s="23" t="str">
        <f t="shared" si="183"/>
        <v/>
      </c>
      <c r="AD192" s="23" t="str">
        <f t="shared" si="183"/>
        <v/>
      </c>
      <c r="AE192" s="23" t="str">
        <f t="shared" ref="AE192:AN195" si="184">IF(AND(AE$4&gt;=$I192,AE$4&lt;=$J192),1,"")</f>
        <v/>
      </c>
      <c r="AF192" s="23">
        <f t="shared" si="184"/>
        <v>1</v>
      </c>
      <c r="AG192" s="23">
        <f t="shared" si="184"/>
        <v>1</v>
      </c>
      <c r="AH192" s="23">
        <f t="shared" si="184"/>
        <v>1</v>
      </c>
      <c r="AI192" s="23" t="str">
        <f t="shared" si="184"/>
        <v/>
      </c>
      <c r="AJ192" s="23" t="str">
        <f t="shared" si="184"/>
        <v/>
      </c>
      <c r="AK192" s="23" t="str">
        <f t="shared" si="184"/>
        <v/>
      </c>
      <c r="AL192" s="23" t="str">
        <f t="shared" si="184"/>
        <v/>
      </c>
      <c r="AM192" s="23" t="str">
        <f t="shared" si="184"/>
        <v/>
      </c>
      <c r="AN192" s="23" t="str">
        <f t="shared" si="184"/>
        <v/>
      </c>
      <c r="AO192" s="23" t="str">
        <f t="shared" ref="AO192:AX195" si="185">IF(AND(AO$4&gt;=$I192,AO$4&lt;=$J192),1,"")</f>
        <v/>
      </c>
      <c r="AP192" s="23" t="str">
        <f t="shared" si="185"/>
        <v/>
      </c>
      <c r="AQ192" s="23" t="str">
        <f t="shared" si="185"/>
        <v/>
      </c>
      <c r="AR192" s="23" t="str">
        <f t="shared" si="185"/>
        <v/>
      </c>
      <c r="AS192" s="23" t="str">
        <f t="shared" si="185"/>
        <v/>
      </c>
      <c r="AT192" s="23" t="str">
        <f t="shared" si="185"/>
        <v/>
      </c>
      <c r="AU192" s="23" t="str">
        <f t="shared" si="185"/>
        <v/>
      </c>
      <c r="AV192" s="23" t="str">
        <f t="shared" si="185"/>
        <v/>
      </c>
      <c r="AW192" s="23" t="str">
        <f t="shared" si="185"/>
        <v/>
      </c>
      <c r="AX192" s="23" t="str">
        <f t="shared" si="185"/>
        <v/>
      </c>
      <c r="AY192" s="23" t="str">
        <f t="shared" ref="AY192:BH195" si="186">IF(AND(AY$4&gt;=$I192,AY$4&lt;=$J192),1,"")</f>
        <v/>
      </c>
      <c r="AZ192" s="23" t="str">
        <f t="shared" si="186"/>
        <v/>
      </c>
      <c r="BA192" s="23" t="str">
        <f t="shared" si="186"/>
        <v/>
      </c>
      <c r="BB192" s="23" t="str">
        <f t="shared" si="186"/>
        <v/>
      </c>
      <c r="BC192" s="23" t="str">
        <f t="shared" si="186"/>
        <v/>
      </c>
      <c r="BD192" s="23" t="str">
        <f t="shared" si="186"/>
        <v/>
      </c>
      <c r="BE192" s="23" t="str">
        <f t="shared" si="186"/>
        <v/>
      </c>
      <c r="BF192" s="23" t="str">
        <f t="shared" si="186"/>
        <v/>
      </c>
      <c r="BG192" s="23" t="str">
        <f t="shared" si="186"/>
        <v/>
      </c>
      <c r="BH192" s="23" t="str">
        <f t="shared" si="186"/>
        <v/>
      </c>
      <c r="BI192" s="23" t="str">
        <f t="shared" ref="BI192:BS195" si="187">IF(AND(BI$4&gt;=$I192,BI$4&lt;=$J192),1,"")</f>
        <v/>
      </c>
      <c r="BJ192" s="23" t="str">
        <f t="shared" si="187"/>
        <v/>
      </c>
      <c r="BK192" s="23" t="str">
        <f t="shared" si="187"/>
        <v/>
      </c>
      <c r="BL192" s="23" t="str">
        <f t="shared" si="187"/>
        <v/>
      </c>
      <c r="BM192" s="23" t="str">
        <f t="shared" si="187"/>
        <v/>
      </c>
      <c r="BN192" s="23" t="str">
        <f t="shared" si="187"/>
        <v/>
      </c>
      <c r="BO192" s="23" t="str">
        <f t="shared" si="187"/>
        <v/>
      </c>
      <c r="BP192" s="23" t="str">
        <f t="shared" si="187"/>
        <v/>
      </c>
      <c r="BQ192" s="23" t="str">
        <f t="shared" si="187"/>
        <v/>
      </c>
      <c r="BR192" s="23" t="str">
        <f t="shared" si="187"/>
        <v/>
      </c>
      <c r="BS192" s="23" t="str">
        <f t="shared" si="187"/>
        <v/>
      </c>
      <c r="BT192" s="24" t="str">
        <f>IF($I192+H192-1&gt;61,"▶ clipped","")</f>
        <v/>
      </c>
      <c r="BU192" s="29" t="s">
        <v>596</v>
      </c>
    </row>
    <row r="193" spans="1:73" ht="34" outlineLevel="1" x14ac:dyDescent="0.2">
      <c r="A193" s="6" t="s">
        <v>597</v>
      </c>
      <c r="B193" s="25" t="s">
        <v>598</v>
      </c>
      <c r="C193" s="6" t="s">
        <v>58</v>
      </c>
      <c r="D193" s="24" t="s">
        <v>128</v>
      </c>
      <c r="F193" s="6"/>
      <c r="G193" s="22">
        <v>22</v>
      </c>
      <c r="H193" s="22">
        <v>1</v>
      </c>
      <c r="I193" s="22">
        <f>MEDIAN($I$192,$J$192,$I$192+ROUND((G193-$G$192)/$H$192*($J$192-$I$192+1),0))</f>
        <v>22</v>
      </c>
      <c r="J193" s="22">
        <f>MEDIAN(I193,$J$192,$I$192+ROUND((G193+H193-$G$192)/$H$192*($J$192-$I$192+1),0)-1)</f>
        <v>22</v>
      </c>
      <c r="K193" s="23" t="str">
        <f t="shared" si="182"/>
        <v/>
      </c>
      <c r="L193" s="23" t="str">
        <f t="shared" si="182"/>
        <v/>
      </c>
      <c r="M193" s="23" t="str">
        <f t="shared" si="182"/>
        <v/>
      </c>
      <c r="N193" s="23" t="str">
        <f t="shared" si="182"/>
        <v/>
      </c>
      <c r="O193" s="23" t="str">
        <f t="shared" si="182"/>
        <v/>
      </c>
      <c r="P193" s="23" t="str">
        <f t="shared" si="182"/>
        <v/>
      </c>
      <c r="Q193" s="23" t="str">
        <f t="shared" si="182"/>
        <v/>
      </c>
      <c r="R193" s="23" t="str">
        <f t="shared" si="182"/>
        <v/>
      </c>
      <c r="S193" s="23" t="str">
        <f t="shared" si="182"/>
        <v/>
      </c>
      <c r="T193" s="23" t="str">
        <f t="shared" si="182"/>
        <v/>
      </c>
      <c r="U193" s="23" t="str">
        <f t="shared" si="183"/>
        <v/>
      </c>
      <c r="V193" s="23" t="str">
        <f t="shared" si="183"/>
        <v/>
      </c>
      <c r="W193" s="23" t="str">
        <f t="shared" si="183"/>
        <v/>
      </c>
      <c r="X193" s="23" t="str">
        <f t="shared" si="183"/>
        <v/>
      </c>
      <c r="Y193" s="23" t="str">
        <f t="shared" si="183"/>
        <v/>
      </c>
      <c r="Z193" s="23" t="str">
        <f t="shared" si="183"/>
        <v/>
      </c>
      <c r="AA193" s="23" t="str">
        <f t="shared" si="183"/>
        <v/>
      </c>
      <c r="AB193" s="23" t="str">
        <f t="shared" si="183"/>
        <v/>
      </c>
      <c r="AC193" s="23" t="str">
        <f t="shared" si="183"/>
        <v/>
      </c>
      <c r="AD193" s="23" t="str">
        <f t="shared" si="183"/>
        <v/>
      </c>
      <c r="AE193" s="23" t="str">
        <f t="shared" si="184"/>
        <v/>
      </c>
      <c r="AF193" s="23">
        <f t="shared" si="184"/>
        <v>1</v>
      </c>
      <c r="AG193" s="23" t="str">
        <f t="shared" si="184"/>
        <v/>
      </c>
      <c r="AH193" s="23" t="str">
        <f t="shared" si="184"/>
        <v/>
      </c>
      <c r="AI193" s="23" t="str">
        <f t="shared" si="184"/>
        <v/>
      </c>
      <c r="AJ193" s="23" t="str">
        <f t="shared" si="184"/>
        <v/>
      </c>
      <c r="AK193" s="23" t="str">
        <f t="shared" si="184"/>
        <v/>
      </c>
      <c r="AL193" s="23" t="str">
        <f t="shared" si="184"/>
        <v/>
      </c>
      <c r="AM193" s="23" t="str">
        <f t="shared" si="184"/>
        <v/>
      </c>
      <c r="AN193" s="23" t="str">
        <f t="shared" si="184"/>
        <v/>
      </c>
      <c r="AO193" s="23" t="str">
        <f t="shared" si="185"/>
        <v/>
      </c>
      <c r="AP193" s="23" t="str">
        <f t="shared" si="185"/>
        <v/>
      </c>
      <c r="AQ193" s="23" t="str">
        <f t="shared" si="185"/>
        <v/>
      </c>
      <c r="AR193" s="23" t="str">
        <f t="shared" si="185"/>
        <v/>
      </c>
      <c r="AS193" s="23" t="str">
        <f t="shared" si="185"/>
        <v/>
      </c>
      <c r="AT193" s="23" t="str">
        <f t="shared" si="185"/>
        <v/>
      </c>
      <c r="AU193" s="23" t="str">
        <f t="shared" si="185"/>
        <v/>
      </c>
      <c r="AV193" s="23" t="str">
        <f t="shared" si="185"/>
        <v/>
      </c>
      <c r="AW193" s="23" t="str">
        <f t="shared" si="185"/>
        <v/>
      </c>
      <c r="AX193" s="23" t="str">
        <f t="shared" si="185"/>
        <v/>
      </c>
      <c r="AY193" s="23" t="str">
        <f t="shared" si="186"/>
        <v/>
      </c>
      <c r="AZ193" s="23" t="str">
        <f t="shared" si="186"/>
        <v/>
      </c>
      <c r="BA193" s="23" t="str">
        <f t="shared" si="186"/>
        <v/>
      </c>
      <c r="BB193" s="23" t="str">
        <f t="shared" si="186"/>
        <v/>
      </c>
      <c r="BC193" s="23" t="str">
        <f t="shared" si="186"/>
        <v/>
      </c>
      <c r="BD193" s="23" t="str">
        <f t="shared" si="186"/>
        <v/>
      </c>
      <c r="BE193" s="23" t="str">
        <f t="shared" si="186"/>
        <v/>
      </c>
      <c r="BF193" s="23" t="str">
        <f t="shared" si="186"/>
        <v/>
      </c>
      <c r="BG193" s="23" t="str">
        <f t="shared" si="186"/>
        <v/>
      </c>
      <c r="BH193" s="23" t="str">
        <f t="shared" si="186"/>
        <v/>
      </c>
      <c r="BI193" s="23" t="str">
        <f t="shared" si="187"/>
        <v/>
      </c>
      <c r="BJ193" s="23" t="str">
        <f t="shared" si="187"/>
        <v/>
      </c>
      <c r="BK193" s="23" t="str">
        <f t="shared" si="187"/>
        <v/>
      </c>
      <c r="BL193" s="23" t="str">
        <f t="shared" si="187"/>
        <v/>
      </c>
      <c r="BM193" s="23" t="str">
        <f t="shared" si="187"/>
        <v/>
      </c>
      <c r="BN193" s="23" t="str">
        <f t="shared" si="187"/>
        <v/>
      </c>
      <c r="BO193" s="23" t="str">
        <f t="shared" si="187"/>
        <v/>
      </c>
      <c r="BP193" s="23" t="str">
        <f t="shared" si="187"/>
        <v/>
      </c>
      <c r="BQ193" s="23" t="str">
        <f t="shared" si="187"/>
        <v/>
      </c>
      <c r="BR193" s="23" t="str">
        <f t="shared" si="187"/>
        <v/>
      </c>
      <c r="BS193" s="23" t="str">
        <f t="shared" si="187"/>
        <v/>
      </c>
      <c r="BU193" s="29" t="s">
        <v>599</v>
      </c>
    </row>
    <row r="194" spans="1:73" ht="34" outlineLevel="1" x14ac:dyDescent="0.2">
      <c r="A194" s="6" t="s">
        <v>600</v>
      </c>
      <c r="B194" s="25" t="s">
        <v>601</v>
      </c>
      <c r="C194" s="6" t="s">
        <v>58</v>
      </c>
      <c r="D194" s="24" t="s">
        <v>128</v>
      </c>
      <c r="F194" s="6" t="s">
        <v>597</v>
      </c>
      <c r="G194" s="22">
        <v>23</v>
      </c>
      <c r="H194" s="22">
        <v>1</v>
      </c>
      <c r="I194" s="22">
        <f>MEDIAN($I$192,$J$192,$I$192+ROUND((G194-$G$192)/$H$192*($J$192-$I$192+1),0))</f>
        <v>23</v>
      </c>
      <c r="J194" s="22">
        <f>MEDIAN(I194,$J$192,$I$192+ROUND((G194+H194-$G$192)/$H$192*($J$192-$I$192+1),0)-1)</f>
        <v>23</v>
      </c>
      <c r="K194" s="23" t="str">
        <f t="shared" si="182"/>
        <v/>
      </c>
      <c r="L194" s="23" t="str">
        <f t="shared" si="182"/>
        <v/>
      </c>
      <c r="M194" s="23" t="str">
        <f t="shared" si="182"/>
        <v/>
      </c>
      <c r="N194" s="23" t="str">
        <f t="shared" si="182"/>
        <v/>
      </c>
      <c r="O194" s="23" t="str">
        <f t="shared" si="182"/>
        <v/>
      </c>
      <c r="P194" s="23" t="str">
        <f t="shared" si="182"/>
        <v/>
      </c>
      <c r="Q194" s="23" t="str">
        <f t="shared" si="182"/>
        <v/>
      </c>
      <c r="R194" s="23" t="str">
        <f t="shared" si="182"/>
        <v/>
      </c>
      <c r="S194" s="23" t="str">
        <f t="shared" si="182"/>
        <v/>
      </c>
      <c r="T194" s="23" t="str">
        <f t="shared" si="182"/>
        <v/>
      </c>
      <c r="U194" s="23" t="str">
        <f t="shared" si="183"/>
        <v/>
      </c>
      <c r="V194" s="23" t="str">
        <f t="shared" si="183"/>
        <v/>
      </c>
      <c r="W194" s="23" t="str">
        <f t="shared" si="183"/>
        <v/>
      </c>
      <c r="X194" s="23" t="str">
        <f t="shared" si="183"/>
        <v/>
      </c>
      <c r="Y194" s="23" t="str">
        <f t="shared" si="183"/>
        <v/>
      </c>
      <c r="Z194" s="23" t="str">
        <f t="shared" si="183"/>
        <v/>
      </c>
      <c r="AA194" s="23" t="str">
        <f t="shared" si="183"/>
        <v/>
      </c>
      <c r="AB194" s="23" t="str">
        <f t="shared" si="183"/>
        <v/>
      </c>
      <c r="AC194" s="23" t="str">
        <f t="shared" si="183"/>
        <v/>
      </c>
      <c r="AD194" s="23" t="str">
        <f t="shared" si="183"/>
        <v/>
      </c>
      <c r="AE194" s="23" t="str">
        <f t="shared" si="184"/>
        <v/>
      </c>
      <c r="AF194" s="23" t="str">
        <f t="shared" si="184"/>
        <v/>
      </c>
      <c r="AG194" s="23">
        <f t="shared" si="184"/>
        <v>1</v>
      </c>
      <c r="AH194" s="23" t="str">
        <f t="shared" si="184"/>
        <v/>
      </c>
      <c r="AI194" s="23" t="str">
        <f t="shared" si="184"/>
        <v/>
      </c>
      <c r="AJ194" s="23" t="str">
        <f t="shared" si="184"/>
        <v/>
      </c>
      <c r="AK194" s="23" t="str">
        <f t="shared" si="184"/>
        <v/>
      </c>
      <c r="AL194" s="23" t="str">
        <f t="shared" si="184"/>
        <v/>
      </c>
      <c r="AM194" s="23" t="str">
        <f t="shared" si="184"/>
        <v/>
      </c>
      <c r="AN194" s="23" t="str">
        <f t="shared" si="184"/>
        <v/>
      </c>
      <c r="AO194" s="23" t="str">
        <f t="shared" si="185"/>
        <v/>
      </c>
      <c r="AP194" s="23" t="str">
        <f t="shared" si="185"/>
        <v/>
      </c>
      <c r="AQ194" s="23" t="str">
        <f t="shared" si="185"/>
        <v/>
      </c>
      <c r="AR194" s="23" t="str">
        <f t="shared" si="185"/>
        <v/>
      </c>
      <c r="AS194" s="23" t="str">
        <f t="shared" si="185"/>
        <v/>
      </c>
      <c r="AT194" s="23" t="str">
        <f t="shared" si="185"/>
        <v/>
      </c>
      <c r="AU194" s="23" t="str">
        <f t="shared" si="185"/>
        <v/>
      </c>
      <c r="AV194" s="23" t="str">
        <f t="shared" si="185"/>
        <v/>
      </c>
      <c r="AW194" s="23" t="str">
        <f t="shared" si="185"/>
        <v/>
      </c>
      <c r="AX194" s="23" t="str">
        <f t="shared" si="185"/>
        <v/>
      </c>
      <c r="AY194" s="23" t="str">
        <f t="shared" si="186"/>
        <v/>
      </c>
      <c r="AZ194" s="23" t="str">
        <f t="shared" si="186"/>
        <v/>
      </c>
      <c r="BA194" s="23" t="str">
        <f t="shared" si="186"/>
        <v/>
      </c>
      <c r="BB194" s="23" t="str">
        <f t="shared" si="186"/>
        <v/>
      </c>
      <c r="BC194" s="23" t="str">
        <f t="shared" si="186"/>
        <v/>
      </c>
      <c r="BD194" s="23" t="str">
        <f t="shared" si="186"/>
        <v/>
      </c>
      <c r="BE194" s="23" t="str">
        <f t="shared" si="186"/>
        <v/>
      </c>
      <c r="BF194" s="23" t="str">
        <f t="shared" si="186"/>
        <v/>
      </c>
      <c r="BG194" s="23" t="str">
        <f t="shared" si="186"/>
        <v/>
      </c>
      <c r="BH194" s="23" t="str">
        <f t="shared" si="186"/>
        <v/>
      </c>
      <c r="BI194" s="23" t="str">
        <f t="shared" si="187"/>
        <v/>
      </c>
      <c r="BJ194" s="23" t="str">
        <f t="shared" si="187"/>
        <v/>
      </c>
      <c r="BK194" s="23" t="str">
        <f t="shared" si="187"/>
        <v/>
      </c>
      <c r="BL194" s="23" t="str">
        <f t="shared" si="187"/>
        <v/>
      </c>
      <c r="BM194" s="23" t="str">
        <f t="shared" si="187"/>
        <v/>
      </c>
      <c r="BN194" s="23" t="str">
        <f t="shared" si="187"/>
        <v/>
      </c>
      <c r="BO194" s="23" t="str">
        <f t="shared" si="187"/>
        <v/>
      </c>
      <c r="BP194" s="23" t="str">
        <f t="shared" si="187"/>
        <v/>
      </c>
      <c r="BQ194" s="23" t="str">
        <f t="shared" si="187"/>
        <v/>
      </c>
      <c r="BR194" s="23" t="str">
        <f t="shared" si="187"/>
        <v/>
      </c>
      <c r="BS194" s="23" t="str">
        <f t="shared" si="187"/>
        <v/>
      </c>
      <c r="BU194" s="29" t="s">
        <v>602</v>
      </c>
    </row>
    <row r="195" spans="1:73" ht="34" outlineLevel="1" x14ac:dyDescent="0.2">
      <c r="A195" s="6" t="s">
        <v>603</v>
      </c>
      <c r="B195" s="25" t="s">
        <v>604</v>
      </c>
      <c r="C195" s="6" t="s">
        <v>58</v>
      </c>
      <c r="D195" s="24" t="s">
        <v>128</v>
      </c>
      <c r="F195" s="6" t="s">
        <v>600</v>
      </c>
      <c r="G195" s="22">
        <v>24</v>
      </c>
      <c r="H195" s="22">
        <v>1</v>
      </c>
      <c r="I195" s="22">
        <f>MEDIAN($I$192,$J$192,$I$192+ROUND((G195-$G$192)/$H$192*($J$192-$I$192+1),0))</f>
        <v>24</v>
      </c>
      <c r="J195" s="22">
        <f>MEDIAN(I195,$J$192,$I$192+ROUND((G195+H195-$G$192)/$H$192*($J$192-$I$192+1),0)-1)</f>
        <v>24</v>
      </c>
      <c r="K195" s="23" t="str">
        <f t="shared" si="182"/>
        <v/>
      </c>
      <c r="L195" s="23" t="str">
        <f t="shared" si="182"/>
        <v/>
      </c>
      <c r="M195" s="23" t="str">
        <f t="shared" si="182"/>
        <v/>
      </c>
      <c r="N195" s="23" t="str">
        <f t="shared" si="182"/>
        <v/>
      </c>
      <c r="O195" s="23" t="str">
        <f t="shared" si="182"/>
        <v/>
      </c>
      <c r="P195" s="23" t="str">
        <f t="shared" si="182"/>
        <v/>
      </c>
      <c r="Q195" s="23" t="str">
        <f t="shared" si="182"/>
        <v/>
      </c>
      <c r="R195" s="23" t="str">
        <f t="shared" si="182"/>
        <v/>
      </c>
      <c r="S195" s="23" t="str">
        <f t="shared" si="182"/>
        <v/>
      </c>
      <c r="T195" s="23" t="str">
        <f t="shared" si="182"/>
        <v/>
      </c>
      <c r="U195" s="23" t="str">
        <f t="shared" si="183"/>
        <v/>
      </c>
      <c r="V195" s="23" t="str">
        <f t="shared" si="183"/>
        <v/>
      </c>
      <c r="W195" s="23" t="str">
        <f t="shared" si="183"/>
        <v/>
      </c>
      <c r="X195" s="23" t="str">
        <f t="shared" si="183"/>
        <v/>
      </c>
      <c r="Y195" s="23" t="str">
        <f t="shared" si="183"/>
        <v/>
      </c>
      <c r="Z195" s="23" t="str">
        <f t="shared" si="183"/>
        <v/>
      </c>
      <c r="AA195" s="23" t="str">
        <f t="shared" si="183"/>
        <v/>
      </c>
      <c r="AB195" s="23" t="str">
        <f t="shared" si="183"/>
        <v/>
      </c>
      <c r="AC195" s="23" t="str">
        <f t="shared" si="183"/>
        <v/>
      </c>
      <c r="AD195" s="23" t="str">
        <f t="shared" si="183"/>
        <v/>
      </c>
      <c r="AE195" s="23" t="str">
        <f t="shared" si="184"/>
        <v/>
      </c>
      <c r="AF195" s="23" t="str">
        <f t="shared" si="184"/>
        <v/>
      </c>
      <c r="AG195" s="23" t="str">
        <f t="shared" si="184"/>
        <v/>
      </c>
      <c r="AH195" s="23">
        <f t="shared" si="184"/>
        <v>1</v>
      </c>
      <c r="AI195" s="23" t="str">
        <f t="shared" si="184"/>
        <v/>
      </c>
      <c r="AJ195" s="23" t="str">
        <f t="shared" si="184"/>
        <v/>
      </c>
      <c r="AK195" s="23" t="str">
        <f t="shared" si="184"/>
        <v/>
      </c>
      <c r="AL195" s="23" t="str">
        <f t="shared" si="184"/>
        <v/>
      </c>
      <c r="AM195" s="23" t="str">
        <f t="shared" si="184"/>
        <v/>
      </c>
      <c r="AN195" s="23" t="str">
        <f t="shared" si="184"/>
        <v/>
      </c>
      <c r="AO195" s="23" t="str">
        <f t="shared" si="185"/>
        <v/>
      </c>
      <c r="AP195" s="23" t="str">
        <f t="shared" si="185"/>
        <v/>
      </c>
      <c r="AQ195" s="23" t="str">
        <f t="shared" si="185"/>
        <v/>
      </c>
      <c r="AR195" s="23" t="str">
        <f t="shared" si="185"/>
        <v/>
      </c>
      <c r="AS195" s="23" t="str">
        <f t="shared" si="185"/>
        <v/>
      </c>
      <c r="AT195" s="23" t="str">
        <f t="shared" si="185"/>
        <v/>
      </c>
      <c r="AU195" s="23" t="str">
        <f t="shared" si="185"/>
        <v/>
      </c>
      <c r="AV195" s="23" t="str">
        <f t="shared" si="185"/>
        <v/>
      </c>
      <c r="AW195" s="23" t="str">
        <f t="shared" si="185"/>
        <v/>
      </c>
      <c r="AX195" s="23" t="str">
        <f t="shared" si="185"/>
        <v/>
      </c>
      <c r="AY195" s="23" t="str">
        <f t="shared" si="186"/>
        <v/>
      </c>
      <c r="AZ195" s="23" t="str">
        <f t="shared" si="186"/>
        <v/>
      </c>
      <c r="BA195" s="23" t="str">
        <f t="shared" si="186"/>
        <v/>
      </c>
      <c r="BB195" s="23" t="str">
        <f t="shared" si="186"/>
        <v/>
      </c>
      <c r="BC195" s="23" t="str">
        <f t="shared" si="186"/>
        <v/>
      </c>
      <c r="BD195" s="23" t="str">
        <f t="shared" si="186"/>
        <v/>
      </c>
      <c r="BE195" s="23" t="str">
        <f t="shared" si="186"/>
        <v/>
      </c>
      <c r="BF195" s="23" t="str">
        <f t="shared" si="186"/>
        <v/>
      </c>
      <c r="BG195" s="23" t="str">
        <f t="shared" si="186"/>
        <v/>
      </c>
      <c r="BH195" s="23" t="str">
        <f t="shared" si="186"/>
        <v/>
      </c>
      <c r="BI195" s="23" t="str">
        <f t="shared" si="187"/>
        <v/>
      </c>
      <c r="BJ195" s="23" t="str">
        <f t="shared" si="187"/>
        <v/>
      </c>
      <c r="BK195" s="23" t="str">
        <f t="shared" si="187"/>
        <v/>
      </c>
      <c r="BL195" s="23" t="str">
        <f t="shared" si="187"/>
        <v/>
      </c>
      <c r="BM195" s="23" t="str">
        <f t="shared" si="187"/>
        <v/>
      </c>
      <c r="BN195" s="23" t="str">
        <f t="shared" si="187"/>
        <v/>
      </c>
      <c r="BO195" s="23" t="str">
        <f t="shared" si="187"/>
        <v/>
      </c>
      <c r="BP195" s="23" t="str">
        <f t="shared" si="187"/>
        <v/>
      </c>
      <c r="BQ195" s="23" t="str">
        <f t="shared" si="187"/>
        <v/>
      </c>
      <c r="BR195" s="23" t="str">
        <f t="shared" si="187"/>
        <v/>
      </c>
      <c r="BS195" s="23" t="str">
        <f t="shared" si="187"/>
        <v/>
      </c>
      <c r="BU195" s="29" t="s">
        <v>605</v>
      </c>
    </row>
    <row r="196" spans="1:73" x14ac:dyDescent="0.2">
      <c r="BU196" s="30"/>
    </row>
    <row r="197" spans="1:73" ht="17" x14ac:dyDescent="0.2">
      <c r="A197" s="19" t="s">
        <v>606</v>
      </c>
      <c r="B197" s="20" t="s">
        <v>607</v>
      </c>
      <c r="C197" s="19" t="s">
        <v>55</v>
      </c>
      <c r="D197" s="21" t="s">
        <v>117</v>
      </c>
      <c r="E197" s="19"/>
      <c r="F197" s="19"/>
      <c r="G197" s="22">
        <v>26</v>
      </c>
      <c r="H197" s="22">
        <v>4</v>
      </c>
      <c r="I197" s="22">
        <f>MIN(61,IF(G197&lt;=29,ROUND((G197-1)*(29+SlipWeeks)/29,0)+1,G197+SlipWeeks))</f>
        <v>26</v>
      </c>
      <c r="J197" s="22">
        <f>MIN(61,IF(G197+H197-1&lt;=29,MAX(ROUND((G197+H197-1)*(29+SlipWeeks)/29,0),I197),G197+H197-1+SlipWeeks))</f>
        <v>29</v>
      </c>
      <c r="K197" s="23" t="str">
        <f t="shared" ref="K197:T202" si="188">IF(AND(K$4&gt;=$I197,K$4&lt;=$J197),1,"")</f>
        <v/>
      </c>
      <c r="L197" s="23" t="str">
        <f t="shared" si="188"/>
        <v/>
      </c>
      <c r="M197" s="23" t="str">
        <f t="shared" si="188"/>
        <v/>
      </c>
      <c r="N197" s="23" t="str">
        <f t="shared" si="188"/>
        <v/>
      </c>
      <c r="O197" s="23" t="str">
        <f t="shared" si="188"/>
        <v/>
      </c>
      <c r="P197" s="23" t="str">
        <f t="shared" si="188"/>
        <v/>
      </c>
      <c r="Q197" s="23" t="str">
        <f t="shared" si="188"/>
        <v/>
      </c>
      <c r="R197" s="23" t="str">
        <f t="shared" si="188"/>
        <v/>
      </c>
      <c r="S197" s="23" t="str">
        <f t="shared" si="188"/>
        <v/>
      </c>
      <c r="T197" s="23" t="str">
        <f t="shared" si="188"/>
        <v/>
      </c>
      <c r="U197" s="23" t="str">
        <f t="shared" ref="U197:AD202" si="189">IF(AND(U$4&gt;=$I197,U$4&lt;=$J197),1,"")</f>
        <v/>
      </c>
      <c r="V197" s="23" t="str">
        <f t="shared" si="189"/>
        <v/>
      </c>
      <c r="W197" s="23" t="str">
        <f t="shared" si="189"/>
        <v/>
      </c>
      <c r="X197" s="23" t="str">
        <f t="shared" si="189"/>
        <v/>
      </c>
      <c r="Y197" s="23" t="str">
        <f t="shared" si="189"/>
        <v/>
      </c>
      <c r="Z197" s="23" t="str">
        <f t="shared" si="189"/>
        <v/>
      </c>
      <c r="AA197" s="23" t="str">
        <f t="shared" si="189"/>
        <v/>
      </c>
      <c r="AB197" s="23" t="str">
        <f t="shared" si="189"/>
        <v/>
      </c>
      <c r="AC197" s="23" t="str">
        <f t="shared" si="189"/>
        <v/>
      </c>
      <c r="AD197" s="23" t="str">
        <f t="shared" si="189"/>
        <v/>
      </c>
      <c r="AE197" s="23" t="str">
        <f t="shared" ref="AE197:AN202" si="190">IF(AND(AE$4&gt;=$I197,AE$4&lt;=$J197),1,"")</f>
        <v/>
      </c>
      <c r="AF197" s="23" t="str">
        <f t="shared" si="190"/>
        <v/>
      </c>
      <c r="AG197" s="23" t="str">
        <f t="shared" si="190"/>
        <v/>
      </c>
      <c r="AH197" s="23" t="str">
        <f t="shared" si="190"/>
        <v/>
      </c>
      <c r="AI197" s="23" t="str">
        <f t="shared" si="190"/>
        <v/>
      </c>
      <c r="AJ197" s="23">
        <f t="shared" si="190"/>
        <v>1</v>
      </c>
      <c r="AK197" s="23">
        <f t="shared" si="190"/>
        <v>1</v>
      </c>
      <c r="AL197" s="23">
        <f t="shared" si="190"/>
        <v>1</v>
      </c>
      <c r="AM197" s="23">
        <f t="shared" si="190"/>
        <v>1</v>
      </c>
      <c r="AN197" s="23" t="str">
        <f t="shared" si="190"/>
        <v/>
      </c>
      <c r="AO197" s="23" t="str">
        <f t="shared" ref="AO197:AX202" si="191">IF(AND(AO$4&gt;=$I197,AO$4&lt;=$J197),1,"")</f>
        <v/>
      </c>
      <c r="AP197" s="23" t="str">
        <f t="shared" si="191"/>
        <v/>
      </c>
      <c r="AQ197" s="23" t="str">
        <f t="shared" si="191"/>
        <v/>
      </c>
      <c r="AR197" s="23" t="str">
        <f t="shared" si="191"/>
        <v/>
      </c>
      <c r="AS197" s="23" t="str">
        <f t="shared" si="191"/>
        <v/>
      </c>
      <c r="AT197" s="23" t="str">
        <f t="shared" si="191"/>
        <v/>
      </c>
      <c r="AU197" s="23" t="str">
        <f t="shared" si="191"/>
        <v/>
      </c>
      <c r="AV197" s="23" t="str">
        <f t="shared" si="191"/>
        <v/>
      </c>
      <c r="AW197" s="23" t="str">
        <f t="shared" si="191"/>
        <v/>
      </c>
      <c r="AX197" s="23" t="str">
        <f t="shared" si="191"/>
        <v/>
      </c>
      <c r="AY197" s="23" t="str">
        <f t="shared" ref="AY197:BH202" si="192">IF(AND(AY$4&gt;=$I197,AY$4&lt;=$J197),1,"")</f>
        <v/>
      </c>
      <c r="AZ197" s="23" t="str">
        <f t="shared" si="192"/>
        <v/>
      </c>
      <c r="BA197" s="23" t="str">
        <f t="shared" si="192"/>
        <v/>
      </c>
      <c r="BB197" s="23" t="str">
        <f t="shared" si="192"/>
        <v/>
      </c>
      <c r="BC197" s="23" t="str">
        <f t="shared" si="192"/>
        <v/>
      </c>
      <c r="BD197" s="23" t="str">
        <f t="shared" si="192"/>
        <v/>
      </c>
      <c r="BE197" s="23" t="str">
        <f t="shared" si="192"/>
        <v/>
      </c>
      <c r="BF197" s="23" t="str">
        <f t="shared" si="192"/>
        <v/>
      </c>
      <c r="BG197" s="23" t="str">
        <f t="shared" si="192"/>
        <v/>
      </c>
      <c r="BH197" s="23" t="str">
        <f t="shared" si="192"/>
        <v/>
      </c>
      <c r="BI197" s="23" t="str">
        <f t="shared" ref="BI197:BS202" si="193">IF(AND(BI$4&gt;=$I197,BI$4&lt;=$J197),1,"")</f>
        <v/>
      </c>
      <c r="BJ197" s="23" t="str">
        <f t="shared" si="193"/>
        <v/>
      </c>
      <c r="BK197" s="23" t="str">
        <f t="shared" si="193"/>
        <v/>
      </c>
      <c r="BL197" s="23" t="str">
        <f t="shared" si="193"/>
        <v/>
      </c>
      <c r="BM197" s="23" t="str">
        <f t="shared" si="193"/>
        <v/>
      </c>
      <c r="BN197" s="23" t="str">
        <f t="shared" si="193"/>
        <v/>
      </c>
      <c r="BO197" s="23" t="str">
        <f t="shared" si="193"/>
        <v/>
      </c>
      <c r="BP197" s="23" t="str">
        <f t="shared" si="193"/>
        <v/>
      </c>
      <c r="BQ197" s="23" t="str">
        <f t="shared" si="193"/>
        <v/>
      </c>
      <c r="BR197" s="23" t="str">
        <f t="shared" si="193"/>
        <v/>
      </c>
      <c r="BS197" s="23" t="str">
        <f t="shared" si="193"/>
        <v/>
      </c>
      <c r="BT197" s="24" t="str">
        <f>IF(IF(G197+H197-1&lt;=29,MAX(ROUND((G197+H197-1)*(29+SlipWeeks)/29,0),$I197),G197+H197-1+SlipWeeks)&gt;61,"▶ clipped","")</f>
        <v/>
      </c>
      <c r="BU197" s="29" t="s">
        <v>608</v>
      </c>
    </row>
    <row r="198" spans="1:73" ht="17" outlineLevel="1" x14ac:dyDescent="0.2">
      <c r="A198" s="6" t="s">
        <v>609</v>
      </c>
      <c r="B198" s="25" t="s">
        <v>610</v>
      </c>
      <c r="C198" s="6" t="s">
        <v>55</v>
      </c>
      <c r="D198" s="24" t="s">
        <v>121</v>
      </c>
      <c r="F198" s="6"/>
      <c r="G198" s="22">
        <v>26</v>
      </c>
      <c r="H198" s="22">
        <v>1</v>
      </c>
      <c r="I198" s="22">
        <f>MEDIAN($I$197,$J$197,$I$197+ROUND((G198-$G$197)/$H$197*($J$197-$I$197+1),0))</f>
        <v>26</v>
      </c>
      <c r="J198" s="22">
        <f>MEDIAN(I198,$J$197,$I$197+ROUND((G198+H198-$G$197)/$H$197*($J$197-$I$197+1),0)-1)</f>
        <v>26</v>
      </c>
      <c r="K198" s="23" t="str">
        <f t="shared" si="188"/>
        <v/>
      </c>
      <c r="L198" s="23" t="str">
        <f t="shared" si="188"/>
        <v/>
      </c>
      <c r="M198" s="23" t="str">
        <f t="shared" si="188"/>
        <v/>
      </c>
      <c r="N198" s="23" t="str">
        <f t="shared" si="188"/>
        <v/>
      </c>
      <c r="O198" s="23" t="str">
        <f t="shared" si="188"/>
        <v/>
      </c>
      <c r="P198" s="23" t="str">
        <f t="shared" si="188"/>
        <v/>
      </c>
      <c r="Q198" s="23" t="str">
        <f t="shared" si="188"/>
        <v/>
      </c>
      <c r="R198" s="23" t="str">
        <f t="shared" si="188"/>
        <v/>
      </c>
      <c r="S198" s="23" t="str">
        <f t="shared" si="188"/>
        <v/>
      </c>
      <c r="T198" s="23" t="str">
        <f t="shared" si="188"/>
        <v/>
      </c>
      <c r="U198" s="23" t="str">
        <f t="shared" si="189"/>
        <v/>
      </c>
      <c r="V198" s="23" t="str">
        <f t="shared" si="189"/>
        <v/>
      </c>
      <c r="W198" s="23" t="str">
        <f t="shared" si="189"/>
        <v/>
      </c>
      <c r="X198" s="23" t="str">
        <f t="shared" si="189"/>
        <v/>
      </c>
      <c r="Y198" s="23" t="str">
        <f t="shared" si="189"/>
        <v/>
      </c>
      <c r="Z198" s="23" t="str">
        <f t="shared" si="189"/>
        <v/>
      </c>
      <c r="AA198" s="23" t="str">
        <f t="shared" si="189"/>
        <v/>
      </c>
      <c r="AB198" s="23" t="str">
        <f t="shared" si="189"/>
        <v/>
      </c>
      <c r="AC198" s="23" t="str">
        <f t="shared" si="189"/>
        <v/>
      </c>
      <c r="AD198" s="23" t="str">
        <f t="shared" si="189"/>
        <v/>
      </c>
      <c r="AE198" s="23" t="str">
        <f t="shared" si="190"/>
        <v/>
      </c>
      <c r="AF198" s="23" t="str">
        <f t="shared" si="190"/>
        <v/>
      </c>
      <c r="AG198" s="23" t="str">
        <f t="shared" si="190"/>
        <v/>
      </c>
      <c r="AH198" s="23" t="str">
        <f t="shared" si="190"/>
        <v/>
      </c>
      <c r="AI198" s="23" t="str">
        <f t="shared" si="190"/>
        <v/>
      </c>
      <c r="AJ198" s="23">
        <f t="shared" si="190"/>
        <v>1</v>
      </c>
      <c r="AK198" s="23" t="str">
        <f t="shared" si="190"/>
        <v/>
      </c>
      <c r="AL198" s="23" t="str">
        <f t="shared" si="190"/>
        <v/>
      </c>
      <c r="AM198" s="23" t="str">
        <f t="shared" si="190"/>
        <v/>
      </c>
      <c r="AN198" s="23" t="str">
        <f t="shared" si="190"/>
        <v/>
      </c>
      <c r="AO198" s="23" t="str">
        <f t="shared" si="191"/>
        <v/>
      </c>
      <c r="AP198" s="23" t="str">
        <f t="shared" si="191"/>
        <v/>
      </c>
      <c r="AQ198" s="23" t="str">
        <f t="shared" si="191"/>
        <v/>
      </c>
      <c r="AR198" s="23" t="str">
        <f t="shared" si="191"/>
        <v/>
      </c>
      <c r="AS198" s="23" t="str">
        <f t="shared" si="191"/>
        <v/>
      </c>
      <c r="AT198" s="23" t="str">
        <f t="shared" si="191"/>
        <v/>
      </c>
      <c r="AU198" s="23" t="str">
        <f t="shared" si="191"/>
        <v/>
      </c>
      <c r="AV198" s="23" t="str">
        <f t="shared" si="191"/>
        <v/>
      </c>
      <c r="AW198" s="23" t="str">
        <f t="shared" si="191"/>
        <v/>
      </c>
      <c r="AX198" s="23" t="str">
        <f t="shared" si="191"/>
        <v/>
      </c>
      <c r="AY198" s="23" t="str">
        <f t="shared" si="192"/>
        <v/>
      </c>
      <c r="AZ198" s="23" t="str">
        <f t="shared" si="192"/>
        <v/>
      </c>
      <c r="BA198" s="23" t="str">
        <f t="shared" si="192"/>
        <v/>
      </c>
      <c r="BB198" s="23" t="str">
        <f t="shared" si="192"/>
        <v/>
      </c>
      <c r="BC198" s="23" t="str">
        <f t="shared" si="192"/>
        <v/>
      </c>
      <c r="BD198" s="23" t="str">
        <f t="shared" si="192"/>
        <v/>
      </c>
      <c r="BE198" s="23" t="str">
        <f t="shared" si="192"/>
        <v/>
      </c>
      <c r="BF198" s="23" t="str">
        <f t="shared" si="192"/>
        <v/>
      </c>
      <c r="BG198" s="23" t="str">
        <f t="shared" si="192"/>
        <v/>
      </c>
      <c r="BH198" s="23" t="str">
        <f t="shared" si="192"/>
        <v/>
      </c>
      <c r="BI198" s="23" t="str">
        <f t="shared" si="193"/>
        <v/>
      </c>
      <c r="BJ198" s="23" t="str">
        <f t="shared" si="193"/>
        <v/>
      </c>
      <c r="BK198" s="23" t="str">
        <f t="shared" si="193"/>
        <v/>
      </c>
      <c r="BL198" s="23" t="str">
        <f t="shared" si="193"/>
        <v/>
      </c>
      <c r="BM198" s="23" t="str">
        <f t="shared" si="193"/>
        <v/>
      </c>
      <c r="BN198" s="23" t="str">
        <f t="shared" si="193"/>
        <v/>
      </c>
      <c r="BO198" s="23" t="str">
        <f t="shared" si="193"/>
        <v/>
      </c>
      <c r="BP198" s="23" t="str">
        <f t="shared" si="193"/>
        <v/>
      </c>
      <c r="BQ198" s="23" t="str">
        <f t="shared" si="193"/>
        <v/>
      </c>
      <c r="BR198" s="23" t="str">
        <f t="shared" si="193"/>
        <v/>
      </c>
      <c r="BS198" s="23" t="str">
        <f t="shared" si="193"/>
        <v/>
      </c>
      <c r="BU198" s="29" t="s">
        <v>611</v>
      </c>
    </row>
    <row r="199" spans="1:73" ht="34" outlineLevel="1" x14ac:dyDescent="0.2">
      <c r="A199" s="6" t="s">
        <v>612</v>
      </c>
      <c r="B199" s="25" t="s">
        <v>613</v>
      </c>
      <c r="C199" s="6" t="s">
        <v>55</v>
      </c>
      <c r="D199" s="24" t="s">
        <v>121</v>
      </c>
      <c r="F199" s="6" t="s">
        <v>609</v>
      </c>
      <c r="G199" s="22">
        <v>27</v>
      </c>
      <c r="H199" s="22">
        <v>1</v>
      </c>
      <c r="I199" s="22">
        <f>MEDIAN($I$197,$J$197,$I$197+ROUND((G199-$G$197)/$H$197*($J$197-$I$197+1),0))</f>
        <v>27</v>
      </c>
      <c r="J199" s="22">
        <f>MEDIAN(I199,$J$197,$I$197+ROUND((G199+H199-$G$197)/$H$197*($J$197-$I$197+1),0)-1)</f>
        <v>27</v>
      </c>
      <c r="K199" s="23" t="str">
        <f t="shared" si="188"/>
        <v/>
      </c>
      <c r="L199" s="23" t="str">
        <f t="shared" si="188"/>
        <v/>
      </c>
      <c r="M199" s="23" t="str">
        <f t="shared" si="188"/>
        <v/>
      </c>
      <c r="N199" s="23" t="str">
        <f t="shared" si="188"/>
        <v/>
      </c>
      <c r="O199" s="23" t="str">
        <f t="shared" si="188"/>
        <v/>
      </c>
      <c r="P199" s="23" t="str">
        <f t="shared" si="188"/>
        <v/>
      </c>
      <c r="Q199" s="23" t="str">
        <f t="shared" si="188"/>
        <v/>
      </c>
      <c r="R199" s="23" t="str">
        <f t="shared" si="188"/>
        <v/>
      </c>
      <c r="S199" s="23" t="str">
        <f t="shared" si="188"/>
        <v/>
      </c>
      <c r="T199" s="23" t="str">
        <f t="shared" si="188"/>
        <v/>
      </c>
      <c r="U199" s="23" t="str">
        <f t="shared" si="189"/>
        <v/>
      </c>
      <c r="V199" s="23" t="str">
        <f t="shared" si="189"/>
        <v/>
      </c>
      <c r="W199" s="23" t="str">
        <f t="shared" si="189"/>
        <v/>
      </c>
      <c r="X199" s="23" t="str">
        <f t="shared" si="189"/>
        <v/>
      </c>
      <c r="Y199" s="23" t="str">
        <f t="shared" si="189"/>
        <v/>
      </c>
      <c r="Z199" s="23" t="str">
        <f t="shared" si="189"/>
        <v/>
      </c>
      <c r="AA199" s="23" t="str">
        <f t="shared" si="189"/>
        <v/>
      </c>
      <c r="AB199" s="23" t="str">
        <f t="shared" si="189"/>
        <v/>
      </c>
      <c r="AC199" s="23" t="str">
        <f t="shared" si="189"/>
        <v/>
      </c>
      <c r="AD199" s="23" t="str">
        <f t="shared" si="189"/>
        <v/>
      </c>
      <c r="AE199" s="23" t="str">
        <f t="shared" si="190"/>
        <v/>
      </c>
      <c r="AF199" s="23" t="str">
        <f t="shared" si="190"/>
        <v/>
      </c>
      <c r="AG199" s="23" t="str">
        <f t="shared" si="190"/>
        <v/>
      </c>
      <c r="AH199" s="23" t="str">
        <f t="shared" si="190"/>
        <v/>
      </c>
      <c r="AI199" s="23" t="str">
        <f t="shared" si="190"/>
        <v/>
      </c>
      <c r="AJ199" s="23" t="str">
        <f t="shared" si="190"/>
        <v/>
      </c>
      <c r="AK199" s="23">
        <f t="shared" si="190"/>
        <v>1</v>
      </c>
      <c r="AL199" s="23" t="str">
        <f t="shared" si="190"/>
        <v/>
      </c>
      <c r="AM199" s="23" t="str">
        <f t="shared" si="190"/>
        <v/>
      </c>
      <c r="AN199" s="23" t="str">
        <f t="shared" si="190"/>
        <v/>
      </c>
      <c r="AO199" s="23" t="str">
        <f t="shared" si="191"/>
        <v/>
      </c>
      <c r="AP199" s="23" t="str">
        <f t="shared" si="191"/>
        <v/>
      </c>
      <c r="AQ199" s="23" t="str">
        <f t="shared" si="191"/>
        <v/>
      </c>
      <c r="AR199" s="23" t="str">
        <f t="shared" si="191"/>
        <v/>
      </c>
      <c r="AS199" s="23" t="str">
        <f t="shared" si="191"/>
        <v/>
      </c>
      <c r="AT199" s="23" t="str">
        <f t="shared" si="191"/>
        <v/>
      </c>
      <c r="AU199" s="23" t="str">
        <f t="shared" si="191"/>
        <v/>
      </c>
      <c r="AV199" s="23" t="str">
        <f t="shared" si="191"/>
        <v/>
      </c>
      <c r="AW199" s="23" t="str">
        <f t="shared" si="191"/>
        <v/>
      </c>
      <c r="AX199" s="23" t="str">
        <f t="shared" si="191"/>
        <v/>
      </c>
      <c r="AY199" s="23" t="str">
        <f t="shared" si="192"/>
        <v/>
      </c>
      <c r="AZ199" s="23" t="str">
        <f t="shared" si="192"/>
        <v/>
      </c>
      <c r="BA199" s="23" t="str">
        <f t="shared" si="192"/>
        <v/>
      </c>
      <c r="BB199" s="23" t="str">
        <f t="shared" si="192"/>
        <v/>
      </c>
      <c r="BC199" s="23" t="str">
        <f t="shared" si="192"/>
        <v/>
      </c>
      <c r="BD199" s="23" t="str">
        <f t="shared" si="192"/>
        <v/>
      </c>
      <c r="BE199" s="23" t="str">
        <f t="shared" si="192"/>
        <v/>
      </c>
      <c r="BF199" s="23" t="str">
        <f t="shared" si="192"/>
        <v/>
      </c>
      <c r="BG199" s="23" t="str">
        <f t="shared" si="192"/>
        <v/>
      </c>
      <c r="BH199" s="23" t="str">
        <f t="shared" si="192"/>
        <v/>
      </c>
      <c r="BI199" s="23" t="str">
        <f t="shared" si="193"/>
        <v/>
      </c>
      <c r="BJ199" s="23" t="str">
        <f t="shared" si="193"/>
        <v/>
      </c>
      <c r="BK199" s="23" t="str">
        <f t="shared" si="193"/>
        <v/>
      </c>
      <c r="BL199" s="23" t="str">
        <f t="shared" si="193"/>
        <v/>
      </c>
      <c r="BM199" s="23" t="str">
        <f t="shared" si="193"/>
        <v/>
      </c>
      <c r="BN199" s="23" t="str">
        <f t="shared" si="193"/>
        <v/>
      </c>
      <c r="BO199" s="23" t="str">
        <f t="shared" si="193"/>
        <v/>
      </c>
      <c r="BP199" s="23" t="str">
        <f t="shared" si="193"/>
        <v/>
      </c>
      <c r="BQ199" s="23" t="str">
        <f t="shared" si="193"/>
        <v/>
      </c>
      <c r="BR199" s="23" t="str">
        <f t="shared" si="193"/>
        <v/>
      </c>
      <c r="BS199" s="23" t="str">
        <f t="shared" si="193"/>
        <v/>
      </c>
      <c r="BU199" s="29" t="s">
        <v>614</v>
      </c>
    </row>
    <row r="200" spans="1:73" ht="34" outlineLevel="1" x14ac:dyDescent="0.2">
      <c r="A200" s="6" t="s">
        <v>615</v>
      </c>
      <c r="B200" s="25" t="s">
        <v>616</v>
      </c>
      <c r="C200" s="6" t="s">
        <v>55</v>
      </c>
      <c r="D200" s="24" t="s">
        <v>128</v>
      </c>
      <c r="F200" s="6" t="s">
        <v>609</v>
      </c>
      <c r="G200" s="22">
        <v>27</v>
      </c>
      <c r="H200" s="22">
        <v>1</v>
      </c>
      <c r="I200" s="22">
        <f>MEDIAN($I$197,$J$197,$I$197+ROUND((G200-$G$197)/$H$197*($J$197-$I$197+1),0))</f>
        <v>27</v>
      </c>
      <c r="J200" s="22">
        <f>MEDIAN(I200,$J$197,$I$197+ROUND((G200+H200-$G$197)/$H$197*($J$197-$I$197+1),0)-1)</f>
        <v>27</v>
      </c>
      <c r="K200" s="23" t="str">
        <f t="shared" si="188"/>
        <v/>
      </c>
      <c r="L200" s="23" t="str">
        <f t="shared" si="188"/>
        <v/>
      </c>
      <c r="M200" s="23" t="str">
        <f t="shared" si="188"/>
        <v/>
      </c>
      <c r="N200" s="23" t="str">
        <f t="shared" si="188"/>
        <v/>
      </c>
      <c r="O200" s="23" t="str">
        <f t="shared" si="188"/>
        <v/>
      </c>
      <c r="P200" s="23" t="str">
        <f t="shared" si="188"/>
        <v/>
      </c>
      <c r="Q200" s="23" t="str">
        <f t="shared" si="188"/>
        <v/>
      </c>
      <c r="R200" s="23" t="str">
        <f t="shared" si="188"/>
        <v/>
      </c>
      <c r="S200" s="23" t="str">
        <f t="shared" si="188"/>
        <v/>
      </c>
      <c r="T200" s="23" t="str">
        <f t="shared" si="188"/>
        <v/>
      </c>
      <c r="U200" s="23" t="str">
        <f t="shared" si="189"/>
        <v/>
      </c>
      <c r="V200" s="23" t="str">
        <f t="shared" si="189"/>
        <v/>
      </c>
      <c r="W200" s="23" t="str">
        <f t="shared" si="189"/>
        <v/>
      </c>
      <c r="X200" s="23" t="str">
        <f t="shared" si="189"/>
        <v/>
      </c>
      <c r="Y200" s="23" t="str">
        <f t="shared" si="189"/>
        <v/>
      </c>
      <c r="Z200" s="23" t="str">
        <f t="shared" si="189"/>
        <v/>
      </c>
      <c r="AA200" s="23" t="str">
        <f t="shared" si="189"/>
        <v/>
      </c>
      <c r="AB200" s="23" t="str">
        <f t="shared" si="189"/>
        <v/>
      </c>
      <c r="AC200" s="23" t="str">
        <f t="shared" si="189"/>
        <v/>
      </c>
      <c r="AD200" s="23" t="str">
        <f t="shared" si="189"/>
        <v/>
      </c>
      <c r="AE200" s="23" t="str">
        <f t="shared" si="190"/>
        <v/>
      </c>
      <c r="AF200" s="23" t="str">
        <f t="shared" si="190"/>
        <v/>
      </c>
      <c r="AG200" s="23" t="str">
        <f t="shared" si="190"/>
        <v/>
      </c>
      <c r="AH200" s="23" t="str">
        <f t="shared" si="190"/>
        <v/>
      </c>
      <c r="AI200" s="23" t="str">
        <f t="shared" si="190"/>
        <v/>
      </c>
      <c r="AJ200" s="23" t="str">
        <f t="shared" si="190"/>
        <v/>
      </c>
      <c r="AK200" s="23">
        <f t="shared" si="190"/>
        <v>1</v>
      </c>
      <c r="AL200" s="23" t="str">
        <f t="shared" si="190"/>
        <v/>
      </c>
      <c r="AM200" s="23" t="str">
        <f t="shared" si="190"/>
        <v/>
      </c>
      <c r="AN200" s="23" t="str">
        <f t="shared" si="190"/>
        <v/>
      </c>
      <c r="AO200" s="23" t="str">
        <f t="shared" si="191"/>
        <v/>
      </c>
      <c r="AP200" s="23" t="str">
        <f t="shared" si="191"/>
        <v/>
      </c>
      <c r="AQ200" s="23" t="str">
        <f t="shared" si="191"/>
        <v/>
      </c>
      <c r="AR200" s="23" t="str">
        <f t="shared" si="191"/>
        <v/>
      </c>
      <c r="AS200" s="23" t="str">
        <f t="shared" si="191"/>
        <v/>
      </c>
      <c r="AT200" s="23" t="str">
        <f t="shared" si="191"/>
        <v/>
      </c>
      <c r="AU200" s="23" t="str">
        <f t="shared" si="191"/>
        <v/>
      </c>
      <c r="AV200" s="23" t="str">
        <f t="shared" si="191"/>
        <v/>
      </c>
      <c r="AW200" s="23" t="str">
        <f t="shared" si="191"/>
        <v/>
      </c>
      <c r="AX200" s="23" t="str">
        <f t="shared" si="191"/>
        <v/>
      </c>
      <c r="AY200" s="23" t="str">
        <f t="shared" si="192"/>
        <v/>
      </c>
      <c r="AZ200" s="23" t="str">
        <f t="shared" si="192"/>
        <v/>
      </c>
      <c r="BA200" s="23" t="str">
        <f t="shared" si="192"/>
        <v/>
      </c>
      <c r="BB200" s="23" t="str">
        <f t="shared" si="192"/>
        <v/>
      </c>
      <c r="BC200" s="23" t="str">
        <f t="shared" si="192"/>
        <v/>
      </c>
      <c r="BD200" s="23" t="str">
        <f t="shared" si="192"/>
        <v/>
      </c>
      <c r="BE200" s="23" t="str">
        <f t="shared" si="192"/>
        <v/>
      </c>
      <c r="BF200" s="23" t="str">
        <f t="shared" si="192"/>
        <v/>
      </c>
      <c r="BG200" s="23" t="str">
        <f t="shared" si="192"/>
        <v/>
      </c>
      <c r="BH200" s="23" t="str">
        <f t="shared" si="192"/>
        <v/>
      </c>
      <c r="BI200" s="23" t="str">
        <f t="shared" si="193"/>
        <v/>
      </c>
      <c r="BJ200" s="23" t="str">
        <f t="shared" si="193"/>
        <v/>
      </c>
      <c r="BK200" s="23" t="str">
        <f t="shared" si="193"/>
        <v/>
      </c>
      <c r="BL200" s="23" t="str">
        <f t="shared" si="193"/>
        <v/>
      </c>
      <c r="BM200" s="23" t="str">
        <f t="shared" si="193"/>
        <v/>
      </c>
      <c r="BN200" s="23" t="str">
        <f t="shared" si="193"/>
        <v/>
      </c>
      <c r="BO200" s="23" t="str">
        <f t="shared" si="193"/>
        <v/>
      </c>
      <c r="BP200" s="23" t="str">
        <f t="shared" si="193"/>
        <v/>
      </c>
      <c r="BQ200" s="23" t="str">
        <f t="shared" si="193"/>
        <v/>
      </c>
      <c r="BR200" s="23" t="str">
        <f t="shared" si="193"/>
        <v/>
      </c>
      <c r="BS200" s="23" t="str">
        <f t="shared" si="193"/>
        <v/>
      </c>
      <c r="BU200" s="29" t="s">
        <v>617</v>
      </c>
    </row>
    <row r="201" spans="1:73" ht="17" outlineLevel="1" x14ac:dyDescent="0.2">
      <c r="A201" s="6" t="s">
        <v>618</v>
      </c>
      <c r="B201" s="25" t="s">
        <v>619</v>
      </c>
      <c r="C201" s="6" t="s">
        <v>55</v>
      </c>
      <c r="D201" s="24" t="s">
        <v>121</v>
      </c>
      <c r="F201" s="6" t="s">
        <v>620</v>
      </c>
      <c r="G201" s="22">
        <v>28</v>
      </c>
      <c r="H201" s="22">
        <v>1</v>
      </c>
      <c r="I201" s="22">
        <f>MEDIAN($I$197,$J$197,$I$197+ROUND((G201-$G$197)/$H$197*($J$197-$I$197+1),0))</f>
        <v>28</v>
      </c>
      <c r="J201" s="22">
        <f>MEDIAN(I201,$J$197,$I$197+ROUND((G201+H201-$G$197)/$H$197*($J$197-$I$197+1),0)-1)</f>
        <v>28</v>
      </c>
      <c r="K201" s="23" t="str">
        <f t="shared" si="188"/>
        <v/>
      </c>
      <c r="L201" s="23" t="str">
        <f t="shared" si="188"/>
        <v/>
      </c>
      <c r="M201" s="23" t="str">
        <f t="shared" si="188"/>
        <v/>
      </c>
      <c r="N201" s="23" t="str">
        <f t="shared" si="188"/>
        <v/>
      </c>
      <c r="O201" s="23" t="str">
        <f t="shared" si="188"/>
        <v/>
      </c>
      <c r="P201" s="23" t="str">
        <f t="shared" si="188"/>
        <v/>
      </c>
      <c r="Q201" s="23" t="str">
        <f t="shared" si="188"/>
        <v/>
      </c>
      <c r="R201" s="23" t="str">
        <f t="shared" si="188"/>
        <v/>
      </c>
      <c r="S201" s="23" t="str">
        <f t="shared" si="188"/>
        <v/>
      </c>
      <c r="T201" s="23" t="str">
        <f t="shared" si="188"/>
        <v/>
      </c>
      <c r="U201" s="23" t="str">
        <f t="shared" si="189"/>
        <v/>
      </c>
      <c r="V201" s="23" t="str">
        <f t="shared" si="189"/>
        <v/>
      </c>
      <c r="W201" s="23" t="str">
        <f t="shared" si="189"/>
        <v/>
      </c>
      <c r="X201" s="23" t="str">
        <f t="shared" si="189"/>
        <v/>
      </c>
      <c r="Y201" s="23" t="str">
        <f t="shared" si="189"/>
        <v/>
      </c>
      <c r="Z201" s="23" t="str">
        <f t="shared" si="189"/>
        <v/>
      </c>
      <c r="AA201" s="23" t="str">
        <f t="shared" si="189"/>
        <v/>
      </c>
      <c r="AB201" s="23" t="str">
        <f t="shared" si="189"/>
        <v/>
      </c>
      <c r="AC201" s="23" t="str">
        <f t="shared" si="189"/>
        <v/>
      </c>
      <c r="AD201" s="23" t="str">
        <f t="shared" si="189"/>
        <v/>
      </c>
      <c r="AE201" s="23" t="str">
        <f t="shared" si="190"/>
        <v/>
      </c>
      <c r="AF201" s="23" t="str">
        <f t="shared" si="190"/>
        <v/>
      </c>
      <c r="AG201" s="23" t="str">
        <f t="shared" si="190"/>
        <v/>
      </c>
      <c r="AH201" s="23" t="str">
        <f t="shared" si="190"/>
        <v/>
      </c>
      <c r="AI201" s="23" t="str">
        <f t="shared" si="190"/>
        <v/>
      </c>
      <c r="AJ201" s="23" t="str">
        <f t="shared" si="190"/>
        <v/>
      </c>
      <c r="AK201" s="23" t="str">
        <f t="shared" si="190"/>
        <v/>
      </c>
      <c r="AL201" s="23">
        <f t="shared" si="190"/>
        <v>1</v>
      </c>
      <c r="AM201" s="23" t="str">
        <f t="shared" si="190"/>
        <v/>
      </c>
      <c r="AN201" s="23" t="str">
        <f t="shared" si="190"/>
        <v/>
      </c>
      <c r="AO201" s="23" t="str">
        <f t="shared" si="191"/>
        <v/>
      </c>
      <c r="AP201" s="23" t="str">
        <f t="shared" si="191"/>
        <v/>
      </c>
      <c r="AQ201" s="23" t="str">
        <f t="shared" si="191"/>
        <v/>
      </c>
      <c r="AR201" s="23" t="str">
        <f t="shared" si="191"/>
        <v/>
      </c>
      <c r="AS201" s="23" t="str">
        <f t="shared" si="191"/>
        <v/>
      </c>
      <c r="AT201" s="23" t="str">
        <f t="shared" si="191"/>
        <v/>
      </c>
      <c r="AU201" s="23" t="str">
        <f t="shared" si="191"/>
        <v/>
      </c>
      <c r="AV201" s="23" t="str">
        <f t="shared" si="191"/>
        <v/>
      </c>
      <c r="AW201" s="23" t="str">
        <f t="shared" si="191"/>
        <v/>
      </c>
      <c r="AX201" s="23" t="str">
        <f t="shared" si="191"/>
        <v/>
      </c>
      <c r="AY201" s="23" t="str">
        <f t="shared" si="192"/>
        <v/>
      </c>
      <c r="AZ201" s="23" t="str">
        <f t="shared" si="192"/>
        <v/>
      </c>
      <c r="BA201" s="23" t="str">
        <f t="shared" si="192"/>
        <v/>
      </c>
      <c r="BB201" s="23" t="str">
        <f t="shared" si="192"/>
        <v/>
      </c>
      <c r="BC201" s="23" t="str">
        <f t="shared" si="192"/>
        <v/>
      </c>
      <c r="BD201" s="23" t="str">
        <f t="shared" si="192"/>
        <v/>
      </c>
      <c r="BE201" s="23" t="str">
        <f t="shared" si="192"/>
        <v/>
      </c>
      <c r="BF201" s="23" t="str">
        <f t="shared" si="192"/>
        <v/>
      </c>
      <c r="BG201" s="23" t="str">
        <f t="shared" si="192"/>
        <v/>
      </c>
      <c r="BH201" s="23" t="str">
        <f t="shared" si="192"/>
        <v/>
      </c>
      <c r="BI201" s="23" t="str">
        <f t="shared" si="193"/>
        <v/>
      </c>
      <c r="BJ201" s="23" t="str">
        <f t="shared" si="193"/>
        <v/>
      </c>
      <c r="BK201" s="23" t="str">
        <f t="shared" si="193"/>
        <v/>
      </c>
      <c r="BL201" s="23" t="str">
        <f t="shared" si="193"/>
        <v/>
      </c>
      <c r="BM201" s="23" t="str">
        <f t="shared" si="193"/>
        <v/>
      </c>
      <c r="BN201" s="23" t="str">
        <f t="shared" si="193"/>
        <v/>
      </c>
      <c r="BO201" s="23" t="str">
        <f t="shared" si="193"/>
        <v/>
      </c>
      <c r="BP201" s="23" t="str">
        <f t="shared" si="193"/>
        <v/>
      </c>
      <c r="BQ201" s="23" t="str">
        <f t="shared" si="193"/>
        <v/>
      </c>
      <c r="BR201" s="23" t="str">
        <f t="shared" si="193"/>
        <v/>
      </c>
      <c r="BS201" s="23" t="str">
        <f t="shared" si="193"/>
        <v/>
      </c>
      <c r="BU201" s="29" t="s">
        <v>621</v>
      </c>
    </row>
    <row r="202" spans="1:73" ht="17" outlineLevel="1" x14ac:dyDescent="0.2">
      <c r="A202" s="6" t="s">
        <v>622</v>
      </c>
      <c r="B202" s="25" t="s">
        <v>623</v>
      </c>
      <c r="C202" s="6" t="s">
        <v>55</v>
      </c>
      <c r="D202" s="24" t="s">
        <v>121</v>
      </c>
      <c r="F202" s="6" t="s">
        <v>618</v>
      </c>
      <c r="G202" s="22">
        <v>29</v>
      </c>
      <c r="H202" s="22">
        <v>1</v>
      </c>
      <c r="I202" s="22">
        <f>MEDIAN($I$197,$J$197,$I$197+ROUND((G202-$G$197)/$H$197*($J$197-$I$197+1),0))</f>
        <v>29</v>
      </c>
      <c r="J202" s="22">
        <f>MEDIAN(I202,$J$197,$I$197+ROUND((G202+H202-$G$197)/$H$197*($J$197-$I$197+1),0)-1)</f>
        <v>29</v>
      </c>
      <c r="K202" s="23" t="str">
        <f t="shared" si="188"/>
        <v/>
      </c>
      <c r="L202" s="23" t="str">
        <f t="shared" si="188"/>
        <v/>
      </c>
      <c r="M202" s="23" t="str">
        <f t="shared" si="188"/>
        <v/>
      </c>
      <c r="N202" s="23" t="str">
        <f t="shared" si="188"/>
        <v/>
      </c>
      <c r="O202" s="23" t="str">
        <f t="shared" si="188"/>
        <v/>
      </c>
      <c r="P202" s="23" t="str">
        <f t="shared" si="188"/>
        <v/>
      </c>
      <c r="Q202" s="23" t="str">
        <f t="shared" si="188"/>
        <v/>
      </c>
      <c r="R202" s="23" t="str">
        <f t="shared" si="188"/>
        <v/>
      </c>
      <c r="S202" s="23" t="str">
        <f t="shared" si="188"/>
        <v/>
      </c>
      <c r="T202" s="23" t="str">
        <f t="shared" si="188"/>
        <v/>
      </c>
      <c r="U202" s="23" t="str">
        <f t="shared" si="189"/>
        <v/>
      </c>
      <c r="V202" s="23" t="str">
        <f t="shared" si="189"/>
        <v/>
      </c>
      <c r="W202" s="23" t="str">
        <f t="shared" si="189"/>
        <v/>
      </c>
      <c r="X202" s="23" t="str">
        <f t="shared" si="189"/>
        <v/>
      </c>
      <c r="Y202" s="23" t="str">
        <f t="shared" si="189"/>
        <v/>
      </c>
      <c r="Z202" s="23" t="str">
        <f t="shared" si="189"/>
        <v/>
      </c>
      <c r="AA202" s="23" t="str">
        <f t="shared" si="189"/>
        <v/>
      </c>
      <c r="AB202" s="23" t="str">
        <f t="shared" si="189"/>
        <v/>
      </c>
      <c r="AC202" s="23" t="str">
        <f t="shared" si="189"/>
        <v/>
      </c>
      <c r="AD202" s="23" t="str">
        <f t="shared" si="189"/>
        <v/>
      </c>
      <c r="AE202" s="23" t="str">
        <f t="shared" si="190"/>
        <v/>
      </c>
      <c r="AF202" s="23" t="str">
        <f t="shared" si="190"/>
        <v/>
      </c>
      <c r="AG202" s="23" t="str">
        <f t="shared" si="190"/>
        <v/>
      </c>
      <c r="AH202" s="23" t="str">
        <f t="shared" si="190"/>
        <v/>
      </c>
      <c r="AI202" s="23" t="str">
        <f t="shared" si="190"/>
        <v/>
      </c>
      <c r="AJ202" s="23" t="str">
        <f t="shared" si="190"/>
        <v/>
      </c>
      <c r="AK202" s="23" t="str">
        <f t="shared" si="190"/>
        <v/>
      </c>
      <c r="AL202" s="23" t="str">
        <f t="shared" si="190"/>
        <v/>
      </c>
      <c r="AM202" s="23">
        <f t="shared" si="190"/>
        <v>1</v>
      </c>
      <c r="AN202" s="23" t="str">
        <f t="shared" si="190"/>
        <v/>
      </c>
      <c r="AO202" s="23" t="str">
        <f t="shared" si="191"/>
        <v/>
      </c>
      <c r="AP202" s="23" t="str">
        <f t="shared" si="191"/>
        <v/>
      </c>
      <c r="AQ202" s="23" t="str">
        <f t="shared" si="191"/>
        <v/>
      </c>
      <c r="AR202" s="23" t="str">
        <f t="shared" si="191"/>
        <v/>
      </c>
      <c r="AS202" s="23" t="str">
        <f t="shared" si="191"/>
        <v/>
      </c>
      <c r="AT202" s="23" t="str">
        <f t="shared" si="191"/>
        <v/>
      </c>
      <c r="AU202" s="23" t="str">
        <f t="shared" si="191"/>
        <v/>
      </c>
      <c r="AV202" s="23" t="str">
        <f t="shared" si="191"/>
        <v/>
      </c>
      <c r="AW202" s="23" t="str">
        <f t="shared" si="191"/>
        <v/>
      </c>
      <c r="AX202" s="23" t="str">
        <f t="shared" si="191"/>
        <v/>
      </c>
      <c r="AY202" s="23" t="str">
        <f t="shared" si="192"/>
        <v/>
      </c>
      <c r="AZ202" s="23" t="str">
        <f t="shared" si="192"/>
        <v/>
      </c>
      <c r="BA202" s="23" t="str">
        <f t="shared" si="192"/>
        <v/>
      </c>
      <c r="BB202" s="23" t="str">
        <f t="shared" si="192"/>
        <v/>
      </c>
      <c r="BC202" s="23" t="str">
        <f t="shared" si="192"/>
        <v/>
      </c>
      <c r="BD202" s="23" t="str">
        <f t="shared" si="192"/>
        <v/>
      </c>
      <c r="BE202" s="23" t="str">
        <f t="shared" si="192"/>
        <v/>
      </c>
      <c r="BF202" s="23" t="str">
        <f t="shared" si="192"/>
        <v/>
      </c>
      <c r="BG202" s="23" t="str">
        <f t="shared" si="192"/>
        <v/>
      </c>
      <c r="BH202" s="23" t="str">
        <f t="shared" si="192"/>
        <v/>
      </c>
      <c r="BI202" s="23" t="str">
        <f t="shared" si="193"/>
        <v/>
      </c>
      <c r="BJ202" s="23" t="str">
        <f t="shared" si="193"/>
        <v/>
      </c>
      <c r="BK202" s="23" t="str">
        <f t="shared" si="193"/>
        <v/>
      </c>
      <c r="BL202" s="23" t="str">
        <f t="shared" si="193"/>
        <v/>
      </c>
      <c r="BM202" s="23" t="str">
        <f t="shared" si="193"/>
        <v/>
      </c>
      <c r="BN202" s="23" t="str">
        <f t="shared" si="193"/>
        <v/>
      </c>
      <c r="BO202" s="23" t="str">
        <f t="shared" si="193"/>
        <v/>
      </c>
      <c r="BP202" s="23" t="str">
        <f t="shared" si="193"/>
        <v/>
      </c>
      <c r="BQ202" s="23" t="str">
        <f t="shared" si="193"/>
        <v/>
      </c>
      <c r="BR202" s="23" t="str">
        <f t="shared" si="193"/>
        <v/>
      </c>
      <c r="BS202" s="23" t="str">
        <f t="shared" si="193"/>
        <v/>
      </c>
      <c r="BU202" s="29" t="s">
        <v>624</v>
      </c>
    </row>
    <row r="203" spans="1:73" x14ac:dyDescent="0.2">
      <c r="BU203" s="30"/>
    </row>
    <row r="204" spans="1:73" ht="17" x14ac:dyDescent="0.2">
      <c r="A204" s="19" t="s">
        <v>625</v>
      </c>
      <c r="B204" s="20" t="s">
        <v>626</v>
      </c>
      <c r="C204" s="19" t="s">
        <v>55</v>
      </c>
      <c r="D204" s="21" t="s">
        <v>117</v>
      </c>
      <c r="E204" s="19"/>
      <c r="F204" s="19"/>
      <c r="G204" s="22">
        <v>26</v>
      </c>
      <c r="H204" s="22">
        <v>4</v>
      </c>
      <c r="I204" s="22">
        <f>MIN(61,IF(G204&lt;=29,ROUND((G204-1)*(29+SlipWeeks)/29,0)+1,G204+SlipWeeks))</f>
        <v>26</v>
      </c>
      <c r="J204" s="22">
        <f>MIN(61,IF(G204+H204-1&lt;=29,MAX(ROUND((G204+H204-1)*(29+SlipWeeks)/29,0),I204),G204+H204-1+SlipWeeks))</f>
        <v>29</v>
      </c>
      <c r="K204" s="23" t="str">
        <f t="shared" ref="K204:T208" si="194">IF(AND(K$4&gt;=$I204,K$4&lt;=$J204),1,"")</f>
        <v/>
      </c>
      <c r="L204" s="23" t="str">
        <f t="shared" si="194"/>
        <v/>
      </c>
      <c r="M204" s="23" t="str">
        <f t="shared" si="194"/>
        <v/>
      </c>
      <c r="N204" s="23" t="str">
        <f t="shared" si="194"/>
        <v/>
      </c>
      <c r="O204" s="23" t="str">
        <f t="shared" si="194"/>
        <v/>
      </c>
      <c r="P204" s="23" t="str">
        <f t="shared" si="194"/>
        <v/>
      </c>
      <c r="Q204" s="23" t="str">
        <f t="shared" si="194"/>
        <v/>
      </c>
      <c r="R204" s="23" t="str">
        <f t="shared" si="194"/>
        <v/>
      </c>
      <c r="S204" s="23" t="str">
        <f t="shared" si="194"/>
        <v/>
      </c>
      <c r="T204" s="23" t="str">
        <f t="shared" si="194"/>
        <v/>
      </c>
      <c r="U204" s="23" t="str">
        <f t="shared" ref="U204:AD208" si="195">IF(AND(U$4&gt;=$I204,U$4&lt;=$J204),1,"")</f>
        <v/>
      </c>
      <c r="V204" s="23" t="str">
        <f t="shared" si="195"/>
        <v/>
      </c>
      <c r="W204" s="23" t="str">
        <f t="shared" si="195"/>
        <v/>
      </c>
      <c r="X204" s="23" t="str">
        <f t="shared" si="195"/>
        <v/>
      </c>
      <c r="Y204" s="23" t="str">
        <f t="shared" si="195"/>
        <v/>
      </c>
      <c r="Z204" s="23" t="str">
        <f t="shared" si="195"/>
        <v/>
      </c>
      <c r="AA204" s="23" t="str">
        <f t="shared" si="195"/>
        <v/>
      </c>
      <c r="AB204" s="23" t="str">
        <f t="shared" si="195"/>
        <v/>
      </c>
      <c r="AC204" s="23" t="str">
        <f t="shared" si="195"/>
        <v/>
      </c>
      <c r="AD204" s="23" t="str">
        <f t="shared" si="195"/>
        <v/>
      </c>
      <c r="AE204" s="23" t="str">
        <f t="shared" ref="AE204:AN208" si="196">IF(AND(AE$4&gt;=$I204,AE$4&lt;=$J204),1,"")</f>
        <v/>
      </c>
      <c r="AF204" s="23" t="str">
        <f t="shared" si="196"/>
        <v/>
      </c>
      <c r="AG204" s="23" t="str">
        <f t="shared" si="196"/>
        <v/>
      </c>
      <c r="AH204" s="23" t="str">
        <f t="shared" si="196"/>
        <v/>
      </c>
      <c r="AI204" s="23" t="str">
        <f t="shared" si="196"/>
        <v/>
      </c>
      <c r="AJ204" s="23">
        <f t="shared" si="196"/>
        <v>1</v>
      </c>
      <c r="AK204" s="23">
        <f t="shared" si="196"/>
        <v>1</v>
      </c>
      <c r="AL204" s="23">
        <f t="shared" si="196"/>
        <v>1</v>
      </c>
      <c r="AM204" s="23">
        <f t="shared" si="196"/>
        <v>1</v>
      </c>
      <c r="AN204" s="23" t="str">
        <f t="shared" si="196"/>
        <v/>
      </c>
      <c r="AO204" s="23" t="str">
        <f t="shared" ref="AO204:AX208" si="197">IF(AND(AO$4&gt;=$I204,AO$4&lt;=$J204),1,"")</f>
        <v/>
      </c>
      <c r="AP204" s="23" t="str">
        <f t="shared" si="197"/>
        <v/>
      </c>
      <c r="AQ204" s="23" t="str">
        <f t="shared" si="197"/>
        <v/>
      </c>
      <c r="AR204" s="23" t="str">
        <f t="shared" si="197"/>
        <v/>
      </c>
      <c r="AS204" s="23" t="str">
        <f t="shared" si="197"/>
        <v/>
      </c>
      <c r="AT204" s="23" t="str">
        <f t="shared" si="197"/>
        <v/>
      </c>
      <c r="AU204" s="23" t="str">
        <f t="shared" si="197"/>
        <v/>
      </c>
      <c r="AV204" s="23" t="str">
        <f t="shared" si="197"/>
        <v/>
      </c>
      <c r="AW204" s="23" t="str">
        <f t="shared" si="197"/>
        <v/>
      </c>
      <c r="AX204" s="23" t="str">
        <f t="shared" si="197"/>
        <v/>
      </c>
      <c r="AY204" s="23" t="str">
        <f t="shared" ref="AY204:BH208" si="198">IF(AND(AY$4&gt;=$I204,AY$4&lt;=$J204),1,"")</f>
        <v/>
      </c>
      <c r="AZ204" s="23" t="str">
        <f t="shared" si="198"/>
        <v/>
      </c>
      <c r="BA204" s="23" t="str">
        <f t="shared" si="198"/>
        <v/>
      </c>
      <c r="BB204" s="23" t="str">
        <f t="shared" si="198"/>
        <v/>
      </c>
      <c r="BC204" s="23" t="str">
        <f t="shared" si="198"/>
        <v/>
      </c>
      <c r="BD204" s="23" t="str">
        <f t="shared" si="198"/>
        <v/>
      </c>
      <c r="BE204" s="23" t="str">
        <f t="shared" si="198"/>
        <v/>
      </c>
      <c r="BF204" s="23" t="str">
        <f t="shared" si="198"/>
        <v/>
      </c>
      <c r="BG204" s="23" t="str">
        <f t="shared" si="198"/>
        <v/>
      </c>
      <c r="BH204" s="23" t="str">
        <f t="shared" si="198"/>
        <v/>
      </c>
      <c r="BI204" s="23" t="str">
        <f t="shared" ref="BI204:BS208" si="199">IF(AND(BI$4&gt;=$I204,BI$4&lt;=$J204),1,"")</f>
        <v/>
      </c>
      <c r="BJ204" s="23" t="str">
        <f t="shared" si="199"/>
        <v/>
      </c>
      <c r="BK204" s="23" t="str">
        <f t="shared" si="199"/>
        <v/>
      </c>
      <c r="BL204" s="23" t="str">
        <f t="shared" si="199"/>
        <v/>
      </c>
      <c r="BM204" s="23" t="str">
        <f t="shared" si="199"/>
        <v/>
      </c>
      <c r="BN204" s="23" t="str">
        <f t="shared" si="199"/>
        <v/>
      </c>
      <c r="BO204" s="23" t="str">
        <f t="shared" si="199"/>
        <v/>
      </c>
      <c r="BP204" s="23" t="str">
        <f t="shared" si="199"/>
        <v/>
      </c>
      <c r="BQ204" s="23" t="str">
        <f t="shared" si="199"/>
        <v/>
      </c>
      <c r="BR204" s="23" t="str">
        <f t="shared" si="199"/>
        <v/>
      </c>
      <c r="BS204" s="23" t="str">
        <f t="shared" si="199"/>
        <v/>
      </c>
      <c r="BT204" s="24" t="str">
        <f>IF(IF(G204+H204-1&lt;=29,MAX(ROUND((G204+H204-1)*(29+SlipWeeks)/29,0),$I204),G204+H204-1+SlipWeeks)&gt;61,"▶ clipped","")</f>
        <v/>
      </c>
      <c r="BU204" s="29" t="s">
        <v>627</v>
      </c>
    </row>
    <row r="205" spans="1:73" ht="34" outlineLevel="1" x14ac:dyDescent="0.2">
      <c r="A205" s="6" t="s">
        <v>628</v>
      </c>
      <c r="B205" s="25" t="s">
        <v>629</v>
      </c>
      <c r="C205" s="6" t="s">
        <v>55</v>
      </c>
      <c r="D205" s="24" t="s">
        <v>128</v>
      </c>
      <c r="F205" s="6"/>
      <c r="G205" s="22">
        <v>26</v>
      </c>
      <c r="H205" s="22">
        <v>1</v>
      </c>
      <c r="I205" s="22">
        <f>MEDIAN($I$204,$J$204,$I$204+ROUND((G205-$G$204)/$H$204*($J$204-$I$204+1),0))</f>
        <v>26</v>
      </c>
      <c r="J205" s="22">
        <f>MEDIAN(I205,$J$204,$I$204+ROUND((G205+H205-$G$204)/$H$204*($J$204-$I$204+1),0)-1)</f>
        <v>26</v>
      </c>
      <c r="K205" s="23" t="str">
        <f t="shared" si="194"/>
        <v/>
      </c>
      <c r="L205" s="23" t="str">
        <f t="shared" si="194"/>
        <v/>
      </c>
      <c r="M205" s="23" t="str">
        <f t="shared" si="194"/>
        <v/>
      </c>
      <c r="N205" s="23" t="str">
        <f t="shared" si="194"/>
        <v/>
      </c>
      <c r="O205" s="23" t="str">
        <f t="shared" si="194"/>
        <v/>
      </c>
      <c r="P205" s="23" t="str">
        <f t="shared" si="194"/>
        <v/>
      </c>
      <c r="Q205" s="23" t="str">
        <f t="shared" si="194"/>
        <v/>
      </c>
      <c r="R205" s="23" t="str">
        <f t="shared" si="194"/>
        <v/>
      </c>
      <c r="S205" s="23" t="str">
        <f t="shared" si="194"/>
        <v/>
      </c>
      <c r="T205" s="23" t="str">
        <f t="shared" si="194"/>
        <v/>
      </c>
      <c r="U205" s="23" t="str">
        <f t="shared" si="195"/>
        <v/>
      </c>
      <c r="V205" s="23" t="str">
        <f t="shared" si="195"/>
        <v/>
      </c>
      <c r="W205" s="23" t="str">
        <f t="shared" si="195"/>
        <v/>
      </c>
      <c r="X205" s="23" t="str">
        <f t="shared" si="195"/>
        <v/>
      </c>
      <c r="Y205" s="23" t="str">
        <f t="shared" si="195"/>
        <v/>
      </c>
      <c r="Z205" s="23" t="str">
        <f t="shared" si="195"/>
        <v/>
      </c>
      <c r="AA205" s="23" t="str">
        <f t="shared" si="195"/>
        <v/>
      </c>
      <c r="AB205" s="23" t="str">
        <f t="shared" si="195"/>
        <v/>
      </c>
      <c r="AC205" s="23" t="str">
        <f t="shared" si="195"/>
        <v/>
      </c>
      <c r="AD205" s="23" t="str">
        <f t="shared" si="195"/>
        <v/>
      </c>
      <c r="AE205" s="23" t="str">
        <f t="shared" si="196"/>
        <v/>
      </c>
      <c r="AF205" s="23" t="str">
        <f t="shared" si="196"/>
        <v/>
      </c>
      <c r="AG205" s="23" t="str">
        <f t="shared" si="196"/>
        <v/>
      </c>
      <c r="AH205" s="23" t="str">
        <f t="shared" si="196"/>
        <v/>
      </c>
      <c r="AI205" s="23" t="str">
        <f t="shared" si="196"/>
        <v/>
      </c>
      <c r="AJ205" s="23">
        <f t="shared" si="196"/>
        <v>1</v>
      </c>
      <c r="AK205" s="23" t="str">
        <f t="shared" si="196"/>
        <v/>
      </c>
      <c r="AL205" s="23" t="str">
        <f t="shared" si="196"/>
        <v/>
      </c>
      <c r="AM205" s="23" t="str">
        <f t="shared" si="196"/>
        <v/>
      </c>
      <c r="AN205" s="23" t="str">
        <f t="shared" si="196"/>
        <v/>
      </c>
      <c r="AO205" s="23" t="str">
        <f t="shared" si="197"/>
        <v/>
      </c>
      <c r="AP205" s="23" t="str">
        <f t="shared" si="197"/>
        <v/>
      </c>
      <c r="AQ205" s="23" t="str">
        <f t="shared" si="197"/>
        <v/>
      </c>
      <c r="AR205" s="23" t="str">
        <f t="shared" si="197"/>
        <v/>
      </c>
      <c r="AS205" s="23" t="str">
        <f t="shared" si="197"/>
        <v/>
      </c>
      <c r="AT205" s="23" t="str">
        <f t="shared" si="197"/>
        <v/>
      </c>
      <c r="AU205" s="23" t="str">
        <f t="shared" si="197"/>
        <v/>
      </c>
      <c r="AV205" s="23" t="str">
        <f t="shared" si="197"/>
        <v/>
      </c>
      <c r="AW205" s="23" t="str">
        <f t="shared" si="197"/>
        <v/>
      </c>
      <c r="AX205" s="23" t="str">
        <f t="shared" si="197"/>
        <v/>
      </c>
      <c r="AY205" s="23" t="str">
        <f t="shared" si="198"/>
        <v/>
      </c>
      <c r="AZ205" s="23" t="str">
        <f t="shared" si="198"/>
        <v/>
      </c>
      <c r="BA205" s="23" t="str">
        <f t="shared" si="198"/>
        <v/>
      </c>
      <c r="BB205" s="23" t="str">
        <f t="shared" si="198"/>
        <v/>
      </c>
      <c r="BC205" s="23" t="str">
        <f t="shared" si="198"/>
        <v/>
      </c>
      <c r="BD205" s="23" t="str">
        <f t="shared" si="198"/>
        <v/>
      </c>
      <c r="BE205" s="23" t="str">
        <f t="shared" si="198"/>
        <v/>
      </c>
      <c r="BF205" s="23" t="str">
        <f t="shared" si="198"/>
        <v/>
      </c>
      <c r="BG205" s="23" t="str">
        <f t="shared" si="198"/>
        <v/>
      </c>
      <c r="BH205" s="23" t="str">
        <f t="shared" si="198"/>
        <v/>
      </c>
      <c r="BI205" s="23" t="str">
        <f t="shared" si="199"/>
        <v/>
      </c>
      <c r="BJ205" s="23" t="str">
        <f t="shared" si="199"/>
        <v/>
      </c>
      <c r="BK205" s="23" t="str">
        <f t="shared" si="199"/>
        <v/>
      </c>
      <c r="BL205" s="23" t="str">
        <f t="shared" si="199"/>
        <v/>
      </c>
      <c r="BM205" s="23" t="str">
        <f t="shared" si="199"/>
        <v/>
      </c>
      <c r="BN205" s="23" t="str">
        <f t="shared" si="199"/>
        <v/>
      </c>
      <c r="BO205" s="23" t="str">
        <f t="shared" si="199"/>
        <v/>
      </c>
      <c r="BP205" s="23" t="str">
        <f t="shared" si="199"/>
        <v/>
      </c>
      <c r="BQ205" s="23" t="str">
        <f t="shared" si="199"/>
        <v/>
      </c>
      <c r="BR205" s="23" t="str">
        <f t="shared" si="199"/>
        <v/>
      </c>
      <c r="BS205" s="23" t="str">
        <f t="shared" si="199"/>
        <v/>
      </c>
      <c r="BU205" s="29" t="s">
        <v>630</v>
      </c>
    </row>
    <row r="206" spans="1:73" ht="17" outlineLevel="1" x14ac:dyDescent="0.2">
      <c r="A206" s="6" t="s">
        <v>631</v>
      </c>
      <c r="B206" s="25" t="s">
        <v>632</v>
      </c>
      <c r="C206" s="6" t="s">
        <v>55</v>
      </c>
      <c r="D206" s="24" t="s">
        <v>128</v>
      </c>
      <c r="F206" s="6" t="s">
        <v>628</v>
      </c>
      <c r="G206" s="22">
        <v>27</v>
      </c>
      <c r="H206" s="22">
        <v>1</v>
      </c>
      <c r="I206" s="22">
        <f>MEDIAN($I$204,$J$204,$I$204+ROUND((G206-$G$204)/$H$204*($J$204-$I$204+1),0))</f>
        <v>27</v>
      </c>
      <c r="J206" s="22">
        <f>MEDIAN(I206,$J$204,$I$204+ROUND((G206+H206-$G$204)/$H$204*($J$204-$I$204+1),0)-1)</f>
        <v>27</v>
      </c>
      <c r="K206" s="23" t="str">
        <f t="shared" si="194"/>
        <v/>
      </c>
      <c r="L206" s="23" t="str">
        <f t="shared" si="194"/>
        <v/>
      </c>
      <c r="M206" s="23" t="str">
        <f t="shared" si="194"/>
        <v/>
      </c>
      <c r="N206" s="23" t="str">
        <f t="shared" si="194"/>
        <v/>
      </c>
      <c r="O206" s="23" t="str">
        <f t="shared" si="194"/>
        <v/>
      </c>
      <c r="P206" s="23" t="str">
        <f t="shared" si="194"/>
        <v/>
      </c>
      <c r="Q206" s="23" t="str">
        <f t="shared" si="194"/>
        <v/>
      </c>
      <c r="R206" s="23" t="str">
        <f t="shared" si="194"/>
        <v/>
      </c>
      <c r="S206" s="23" t="str">
        <f t="shared" si="194"/>
        <v/>
      </c>
      <c r="T206" s="23" t="str">
        <f t="shared" si="194"/>
        <v/>
      </c>
      <c r="U206" s="23" t="str">
        <f t="shared" si="195"/>
        <v/>
      </c>
      <c r="V206" s="23" t="str">
        <f t="shared" si="195"/>
        <v/>
      </c>
      <c r="W206" s="23" t="str">
        <f t="shared" si="195"/>
        <v/>
      </c>
      <c r="X206" s="23" t="str">
        <f t="shared" si="195"/>
        <v/>
      </c>
      <c r="Y206" s="23" t="str">
        <f t="shared" si="195"/>
        <v/>
      </c>
      <c r="Z206" s="23" t="str">
        <f t="shared" si="195"/>
        <v/>
      </c>
      <c r="AA206" s="23" t="str">
        <f t="shared" si="195"/>
        <v/>
      </c>
      <c r="AB206" s="23" t="str">
        <f t="shared" si="195"/>
        <v/>
      </c>
      <c r="AC206" s="23" t="str">
        <f t="shared" si="195"/>
        <v/>
      </c>
      <c r="AD206" s="23" t="str">
        <f t="shared" si="195"/>
        <v/>
      </c>
      <c r="AE206" s="23" t="str">
        <f t="shared" si="196"/>
        <v/>
      </c>
      <c r="AF206" s="23" t="str">
        <f t="shared" si="196"/>
        <v/>
      </c>
      <c r="AG206" s="23" t="str">
        <f t="shared" si="196"/>
        <v/>
      </c>
      <c r="AH206" s="23" t="str">
        <f t="shared" si="196"/>
        <v/>
      </c>
      <c r="AI206" s="23" t="str">
        <f t="shared" si="196"/>
        <v/>
      </c>
      <c r="AJ206" s="23" t="str">
        <f t="shared" si="196"/>
        <v/>
      </c>
      <c r="AK206" s="23">
        <f t="shared" si="196"/>
        <v>1</v>
      </c>
      <c r="AL206" s="23" t="str">
        <f t="shared" si="196"/>
        <v/>
      </c>
      <c r="AM206" s="23" t="str">
        <f t="shared" si="196"/>
        <v/>
      </c>
      <c r="AN206" s="23" t="str">
        <f t="shared" si="196"/>
        <v/>
      </c>
      <c r="AO206" s="23" t="str">
        <f t="shared" si="197"/>
        <v/>
      </c>
      <c r="AP206" s="23" t="str">
        <f t="shared" si="197"/>
        <v/>
      </c>
      <c r="AQ206" s="23" t="str">
        <f t="shared" si="197"/>
        <v/>
      </c>
      <c r="AR206" s="23" t="str">
        <f t="shared" si="197"/>
        <v/>
      </c>
      <c r="AS206" s="23" t="str">
        <f t="shared" si="197"/>
        <v/>
      </c>
      <c r="AT206" s="23" t="str">
        <f t="shared" si="197"/>
        <v/>
      </c>
      <c r="AU206" s="23" t="str">
        <f t="shared" si="197"/>
        <v/>
      </c>
      <c r="AV206" s="23" t="str">
        <f t="shared" si="197"/>
        <v/>
      </c>
      <c r="AW206" s="23" t="str">
        <f t="shared" si="197"/>
        <v/>
      </c>
      <c r="AX206" s="23" t="str">
        <f t="shared" si="197"/>
        <v/>
      </c>
      <c r="AY206" s="23" t="str">
        <f t="shared" si="198"/>
        <v/>
      </c>
      <c r="AZ206" s="23" t="str">
        <f t="shared" si="198"/>
        <v/>
      </c>
      <c r="BA206" s="23" t="str">
        <f t="shared" si="198"/>
        <v/>
      </c>
      <c r="BB206" s="23" t="str">
        <f t="shared" si="198"/>
        <v/>
      </c>
      <c r="BC206" s="23" t="str">
        <f t="shared" si="198"/>
        <v/>
      </c>
      <c r="BD206" s="23" t="str">
        <f t="shared" si="198"/>
        <v/>
      </c>
      <c r="BE206" s="23" t="str">
        <f t="shared" si="198"/>
        <v/>
      </c>
      <c r="BF206" s="23" t="str">
        <f t="shared" si="198"/>
        <v/>
      </c>
      <c r="BG206" s="23" t="str">
        <f t="shared" si="198"/>
        <v/>
      </c>
      <c r="BH206" s="23" t="str">
        <f t="shared" si="198"/>
        <v/>
      </c>
      <c r="BI206" s="23" t="str">
        <f t="shared" si="199"/>
        <v/>
      </c>
      <c r="BJ206" s="23" t="str">
        <f t="shared" si="199"/>
        <v/>
      </c>
      <c r="BK206" s="23" t="str">
        <f t="shared" si="199"/>
        <v/>
      </c>
      <c r="BL206" s="23" t="str">
        <f t="shared" si="199"/>
        <v/>
      </c>
      <c r="BM206" s="23" t="str">
        <f t="shared" si="199"/>
        <v/>
      </c>
      <c r="BN206" s="23" t="str">
        <f t="shared" si="199"/>
        <v/>
      </c>
      <c r="BO206" s="23" t="str">
        <f t="shared" si="199"/>
        <v/>
      </c>
      <c r="BP206" s="23" t="str">
        <f t="shared" si="199"/>
        <v/>
      </c>
      <c r="BQ206" s="23" t="str">
        <f t="shared" si="199"/>
        <v/>
      </c>
      <c r="BR206" s="23" t="str">
        <f t="shared" si="199"/>
        <v/>
      </c>
      <c r="BS206" s="23" t="str">
        <f t="shared" si="199"/>
        <v/>
      </c>
      <c r="BU206" s="29" t="s">
        <v>633</v>
      </c>
    </row>
    <row r="207" spans="1:73" ht="34" outlineLevel="1" x14ac:dyDescent="0.2">
      <c r="A207" s="6" t="s">
        <v>634</v>
      </c>
      <c r="B207" s="25" t="s">
        <v>635</v>
      </c>
      <c r="C207" s="6" t="s">
        <v>55</v>
      </c>
      <c r="D207" s="24" t="s">
        <v>128</v>
      </c>
      <c r="F207" s="6" t="s">
        <v>631</v>
      </c>
      <c r="G207" s="22">
        <v>28</v>
      </c>
      <c r="H207" s="22">
        <v>1</v>
      </c>
      <c r="I207" s="22">
        <f>MEDIAN($I$204,$J$204,$I$204+ROUND((G207-$G$204)/$H$204*($J$204-$I$204+1),0))</f>
        <v>28</v>
      </c>
      <c r="J207" s="22">
        <f>MEDIAN(I207,$J$204,$I$204+ROUND((G207+H207-$G$204)/$H$204*($J$204-$I$204+1),0)-1)</f>
        <v>28</v>
      </c>
      <c r="K207" s="23" t="str">
        <f t="shared" si="194"/>
        <v/>
      </c>
      <c r="L207" s="23" t="str">
        <f t="shared" si="194"/>
        <v/>
      </c>
      <c r="M207" s="23" t="str">
        <f t="shared" si="194"/>
        <v/>
      </c>
      <c r="N207" s="23" t="str">
        <f t="shared" si="194"/>
        <v/>
      </c>
      <c r="O207" s="23" t="str">
        <f t="shared" si="194"/>
        <v/>
      </c>
      <c r="P207" s="23" t="str">
        <f t="shared" si="194"/>
        <v/>
      </c>
      <c r="Q207" s="23" t="str">
        <f t="shared" si="194"/>
        <v/>
      </c>
      <c r="R207" s="23" t="str">
        <f t="shared" si="194"/>
        <v/>
      </c>
      <c r="S207" s="23" t="str">
        <f t="shared" si="194"/>
        <v/>
      </c>
      <c r="T207" s="23" t="str">
        <f t="shared" si="194"/>
        <v/>
      </c>
      <c r="U207" s="23" t="str">
        <f t="shared" si="195"/>
        <v/>
      </c>
      <c r="V207" s="23" t="str">
        <f t="shared" si="195"/>
        <v/>
      </c>
      <c r="W207" s="23" t="str">
        <f t="shared" si="195"/>
        <v/>
      </c>
      <c r="X207" s="23" t="str">
        <f t="shared" si="195"/>
        <v/>
      </c>
      <c r="Y207" s="23" t="str">
        <f t="shared" si="195"/>
        <v/>
      </c>
      <c r="Z207" s="23" t="str">
        <f t="shared" si="195"/>
        <v/>
      </c>
      <c r="AA207" s="23" t="str">
        <f t="shared" si="195"/>
        <v/>
      </c>
      <c r="AB207" s="23" t="str">
        <f t="shared" si="195"/>
        <v/>
      </c>
      <c r="AC207" s="23" t="str">
        <f t="shared" si="195"/>
        <v/>
      </c>
      <c r="AD207" s="23" t="str">
        <f t="shared" si="195"/>
        <v/>
      </c>
      <c r="AE207" s="23" t="str">
        <f t="shared" si="196"/>
        <v/>
      </c>
      <c r="AF207" s="23" t="str">
        <f t="shared" si="196"/>
        <v/>
      </c>
      <c r="AG207" s="23" t="str">
        <f t="shared" si="196"/>
        <v/>
      </c>
      <c r="AH207" s="23" t="str">
        <f t="shared" si="196"/>
        <v/>
      </c>
      <c r="AI207" s="23" t="str">
        <f t="shared" si="196"/>
        <v/>
      </c>
      <c r="AJ207" s="23" t="str">
        <f t="shared" si="196"/>
        <v/>
      </c>
      <c r="AK207" s="23" t="str">
        <f t="shared" si="196"/>
        <v/>
      </c>
      <c r="AL207" s="23">
        <f t="shared" si="196"/>
        <v>1</v>
      </c>
      <c r="AM207" s="23" t="str">
        <f t="shared" si="196"/>
        <v/>
      </c>
      <c r="AN207" s="23" t="str">
        <f t="shared" si="196"/>
        <v/>
      </c>
      <c r="AO207" s="23" t="str">
        <f t="shared" si="197"/>
        <v/>
      </c>
      <c r="AP207" s="23" t="str">
        <f t="shared" si="197"/>
        <v/>
      </c>
      <c r="AQ207" s="23" t="str">
        <f t="shared" si="197"/>
        <v/>
      </c>
      <c r="AR207" s="23" t="str">
        <f t="shared" si="197"/>
        <v/>
      </c>
      <c r="AS207" s="23" t="str">
        <f t="shared" si="197"/>
        <v/>
      </c>
      <c r="AT207" s="23" t="str">
        <f t="shared" si="197"/>
        <v/>
      </c>
      <c r="AU207" s="23" t="str">
        <f t="shared" si="197"/>
        <v/>
      </c>
      <c r="AV207" s="23" t="str">
        <f t="shared" si="197"/>
        <v/>
      </c>
      <c r="AW207" s="23" t="str">
        <f t="shared" si="197"/>
        <v/>
      </c>
      <c r="AX207" s="23" t="str">
        <f t="shared" si="197"/>
        <v/>
      </c>
      <c r="AY207" s="23" t="str">
        <f t="shared" si="198"/>
        <v/>
      </c>
      <c r="AZ207" s="23" t="str">
        <f t="shared" si="198"/>
        <v/>
      </c>
      <c r="BA207" s="23" t="str">
        <f t="shared" si="198"/>
        <v/>
      </c>
      <c r="BB207" s="23" t="str">
        <f t="shared" si="198"/>
        <v/>
      </c>
      <c r="BC207" s="23" t="str">
        <f t="shared" si="198"/>
        <v/>
      </c>
      <c r="BD207" s="23" t="str">
        <f t="shared" si="198"/>
        <v/>
      </c>
      <c r="BE207" s="23" t="str">
        <f t="shared" si="198"/>
        <v/>
      </c>
      <c r="BF207" s="23" t="str">
        <f t="shared" si="198"/>
        <v/>
      </c>
      <c r="BG207" s="23" t="str">
        <f t="shared" si="198"/>
        <v/>
      </c>
      <c r="BH207" s="23" t="str">
        <f t="shared" si="198"/>
        <v/>
      </c>
      <c r="BI207" s="23" t="str">
        <f t="shared" si="199"/>
        <v/>
      </c>
      <c r="BJ207" s="23" t="str">
        <f t="shared" si="199"/>
        <v/>
      </c>
      <c r="BK207" s="23" t="str">
        <f t="shared" si="199"/>
        <v/>
      </c>
      <c r="BL207" s="23" t="str">
        <f t="shared" si="199"/>
        <v/>
      </c>
      <c r="BM207" s="23" t="str">
        <f t="shared" si="199"/>
        <v/>
      </c>
      <c r="BN207" s="23" t="str">
        <f t="shared" si="199"/>
        <v/>
      </c>
      <c r="BO207" s="23" t="str">
        <f t="shared" si="199"/>
        <v/>
      </c>
      <c r="BP207" s="23" t="str">
        <f t="shared" si="199"/>
        <v/>
      </c>
      <c r="BQ207" s="23" t="str">
        <f t="shared" si="199"/>
        <v/>
      </c>
      <c r="BR207" s="23" t="str">
        <f t="shared" si="199"/>
        <v/>
      </c>
      <c r="BS207" s="23" t="str">
        <f t="shared" si="199"/>
        <v/>
      </c>
      <c r="BU207" s="29" t="s">
        <v>636</v>
      </c>
    </row>
    <row r="208" spans="1:73" ht="34" outlineLevel="1" x14ac:dyDescent="0.2">
      <c r="A208" s="6" t="s">
        <v>637</v>
      </c>
      <c r="B208" s="25" t="s">
        <v>638</v>
      </c>
      <c r="C208" s="6" t="s">
        <v>55</v>
      </c>
      <c r="D208" s="24" t="s">
        <v>128</v>
      </c>
      <c r="F208" s="6" t="s">
        <v>634</v>
      </c>
      <c r="G208" s="22">
        <v>29</v>
      </c>
      <c r="H208" s="22">
        <v>1</v>
      </c>
      <c r="I208" s="22">
        <f>MEDIAN($I$204,$J$204,$I$204+ROUND((G208-$G$204)/$H$204*($J$204-$I$204+1),0))</f>
        <v>29</v>
      </c>
      <c r="J208" s="22">
        <f>MEDIAN(I208,$J$204,$I$204+ROUND((G208+H208-$G$204)/$H$204*($J$204-$I$204+1),0)-1)</f>
        <v>29</v>
      </c>
      <c r="K208" s="23" t="str">
        <f t="shared" si="194"/>
        <v/>
      </c>
      <c r="L208" s="23" t="str">
        <f t="shared" si="194"/>
        <v/>
      </c>
      <c r="M208" s="23" t="str">
        <f t="shared" si="194"/>
        <v/>
      </c>
      <c r="N208" s="23" t="str">
        <f t="shared" si="194"/>
        <v/>
      </c>
      <c r="O208" s="23" t="str">
        <f t="shared" si="194"/>
        <v/>
      </c>
      <c r="P208" s="23" t="str">
        <f t="shared" si="194"/>
        <v/>
      </c>
      <c r="Q208" s="23" t="str">
        <f t="shared" si="194"/>
        <v/>
      </c>
      <c r="R208" s="23" t="str">
        <f t="shared" si="194"/>
        <v/>
      </c>
      <c r="S208" s="23" t="str">
        <f t="shared" si="194"/>
        <v/>
      </c>
      <c r="T208" s="23" t="str">
        <f t="shared" si="194"/>
        <v/>
      </c>
      <c r="U208" s="23" t="str">
        <f t="shared" si="195"/>
        <v/>
      </c>
      <c r="V208" s="23" t="str">
        <f t="shared" si="195"/>
        <v/>
      </c>
      <c r="W208" s="23" t="str">
        <f t="shared" si="195"/>
        <v/>
      </c>
      <c r="X208" s="23" t="str">
        <f t="shared" si="195"/>
        <v/>
      </c>
      <c r="Y208" s="23" t="str">
        <f t="shared" si="195"/>
        <v/>
      </c>
      <c r="Z208" s="23" t="str">
        <f t="shared" si="195"/>
        <v/>
      </c>
      <c r="AA208" s="23" t="str">
        <f t="shared" si="195"/>
        <v/>
      </c>
      <c r="AB208" s="23" t="str">
        <f t="shared" si="195"/>
        <v/>
      </c>
      <c r="AC208" s="23" t="str">
        <f t="shared" si="195"/>
        <v/>
      </c>
      <c r="AD208" s="23" t="str">
        <f t="shared" si="195"/>
        <v/>
      </c>
      <c r="AE208" s="23" t="str">
        <f t="shared" si="196"/>
        <v/>
      </c>
      <c r="AF208" s="23" t="str">
        <f t="shared" si="196"/>
        <v/>
      </c>
      <c r="AG208" s="23" t="str">
        <f t="shared" si="196"/>
        <v/>
      </c>
      <c r="AH208" s="23" t="str">
        <f t="shared" si="196"/>
        <v/>
      </c>
      <c r="AI208" s="23" t="str">
        <f t="shared" si="196"/>
        <v/>
      </c>
      <c r="AJ208" s="23" t="str">
        <f t="shared" si="196"/>
        <v/>
      </c>
      <c r="AK208" s="23" t="str">
        <f t="shared" si="196"/>
        <v/>
      </c>
      <c r="AL208" s="23" t="str">
        <f t="shared" si="196"/>
        <v/>
      </c>
      <c r="AM208" s="23">
        <f t="shared" si="196"/>
        <v>1</v>
      </c>
      <c r="AN208" s="23" t="str">
        <f t="shared" si="196"/>
        <v/>
      </c>
      <c r="AO208" s="23" t="str">
        <f t="shared" si="197"/>
        <v/>
      </c>
      <c r="AP208" s="23" t="str">
        <f t="shared" si="197"/>
        <v/>
      </c>
      <c r="AQ208" s="23" t="str">
        <f t="shared" si="197"/>
        <v/>
      </c>
      <c r="AR208" s="23" t="str">
        <f t="shared" si="197"/>
        <v/>
      </c>
      <c r="AS208" s="23" t="str">
        <f t="shared" si="197"/>
        <v/>
      </c>
      <c r="AT208" s="23" t="str">
        <f t="shared" si="197"/>
        <v/>
      </c>
      <c r="AU208" s="23" t="str">
        <f t="shared" si="197"/>
        <v/>
      </c>
      <c r="AV208" s="23" t="str">
        <f t="shared" si="197"/>
        <v/>
      </c>
      <c r="AW208" s="23" t="str">
        <f t="shared" si="197"/>
        <v/>
      </c>
      <c r="AX208" s="23" t="str">
        <f t="shared" si="197"/>
        <v/>
      </c>
      <c r="AY208" s="23" t="str">
        <f t="shared" si="198"/>
        <v/>
      </c>
      <c r="AZ208" s="23" t="str">
        <f t="shared" si="198"/>
        <v/>
      </c>
      <c r="BA208" s="23" t="str">
        <f t="shared" si="198"/>
        <v/>
      </c>
      <c r="BB208" s="23" t="str">
        <f t="shared" si="198"/>
        <v/>
      </c>
      <c r="BC208" s="23" t="str">
        <f t="shared" si="198"/>
        <v/>
      </c>
      <c r="BD208" s="23" t="str">
        <f t="shared" si="198"/>
        <v/>
      </c>
      <c r="BE208" s="23" t="str">
        <f t="shared" si="198"/>
        <v/>
      </c>
      <c r="BF208" s="23" t="str">
        <f t="shared" si="198"/>
        <v/>
      </c>
      <c r="BG208" s="23" t="str">
        <f t="shared" si="198"/>
        <v/>
      </c>
      <c r="BH208" s="23" t="str">
        <f t="shared" si="198"/>
        <v/>
      </c>
      <c r="BI208" s="23" t="str">
        <f t="shared" si="199"/>
        <v/>
      </c>
      <c r="BJ208" s="23" t="str">
        <f t="shared" si="199"/>
        <v/>
      </c>
      <c r="BK208" s="23" t="str">
        <f t="shared" si="199"/>
        <v/>
      </c>
      <c r="BL208" s="23" t="str">
        <f t="shared" si="199"/>
        <v/>
      </c>
      <c r="BM208" s="23" t="str">
        <f t="shared" si="199"/>
        <v/>
      </c>
      <c r="BN208" s="23" t="str">
        <f t="shared" si="199"/>
        <v/>
      </c>
      <c r="BO208" s="23" t="str">
        <f t="shared" si="199"/>
        <v/>
      </c>
      <c r="BP208" s="23" t="str">
        <f t="shared" si="199"/>
        <v/>
      </c>
      <c r="BQ208" s="23" t="str">
        <f t="shared" si="199"/>
        <v/>
      </c>
      <c r="BR208" s="23" t="str">
        <f t="shared" si="199"/>
        <v/>
      </c>
      <c r="BS208" s="23" t="str">
        <f t="shared" si="199"/>
        <v/>
      </c>
      <c r="BU208" s="29" t="s">
        <v>639</v>
      </c>
    </row>
    <row r="209" spans="1:73" x14ac:dyDescent="0.2">
      <c r="BU209" s="30"/>
    </row>
    <row r="210" spans="1:73" ht="17" x14ac:dyDescent="0.2">
      <c r="A210" s="19" t="s">
        <v>640</v>
      </c>
      <c r="B210" s="20" t="s">
        <v>641</v>
      </c>
      <c r="C210" s="19" t="s">
        <v>55</v>
      </c>
      <c r="D210" s="21" t="s">
        <v>117</v>
      </c>
      <c r="E210" s="19"/>
      <c r="F210" s="19"/>
      <c r="G210" s="22">
        <v>26</v>
      </c>
      <c r="H210" s="22">
        <v>4</v>
      </c>
      <c r="I210" s="22">
        <f>MIN(61,IF(G210&lt;=29,ROUND((G210-1)*(29+SlipWeeks)/29,0)+1,G210+SlipWeeks))</f>
        <v>26</v>
      </c>
      <c r="J210" s="22">
        <f>MIN(61,IF(G210+H210-1&lt;=29,MAX(ROUND((G210+H210-1)*(29+SlipWeeks)/29,0),I210),G210+H210-1+SlipWeeks))</f>
        <v>29</v>
      </c>
      <c r="K210" s="23" t="str">
        <f t="shared" ref="K210:T213" si="200">IF(AND(K$4&gt;=$I210,K$4&lt;=$J210),1,"")</f>
        <v/>
      </c>
      <c r="L210" s="23" t="str">
        <f t="shared" si="200"/>
        <v/>
      </c>
      <c r="M210" s="23" t="str">
        <f t="shared" si="200"/>
        <v/>
      </c>
      <c r="N210" s="23" t="str">
        <f t="shared" si="200"/>
        <v/>
      </c>
      <c r="O210" s="23" t="str">
        <f t="shared" si="200"/>
        <v/>
      </c>
      <c r="P210" s="23" t="str">
        <f t="shared" si="200"/>
        <v/>
      </c>
      <c r="Q210" s="23" t="str">
        <f t="shared" si="200"/>
        <v/>
      </c>
      <c r="R210" s="23" t="str">
        <f t="shared" si="200"/>
        <v/>
      </c>
      <c r="S210" s="23" t="str">
        <f t="shared" si="200"/>
        <v/>
      </c>
      <c r="T210" s="23" t="str">
        <f t="shared" si="200"/>
        <v/>
      </c>
      <c r="U210" s="23" t="str">
        <f t="shared" ref="U210:AD213" si="201">IF(AND(U$4&gt;=$I210,U$4&lt;=$J210),1,"")</f>
        <v/>
      </c>
      <c r="V210" s="23" t="str">
        <f t="shared" si="201"/>
        <v/>
      </c>
      <c r="W210" s="23" t="str">
        <f t="shared" si="201"/>
        <v/>
      </c>
      <c r="X210" s="23" t="str">
        <f t="shared" si="201"/>
        <v/>
      </c>
      <c r="Y210" s="23" t="str">
        <f t="shared" si="201"/>
        <v/>
      </c>
      <c r="Z210" s="23" t="str">
        <f t="shared" si="201"/>
        <v/>
      </c>
      <c r="AA210" s="23" t="str">
        <f t="shared" si="201"/>
        <v/>
      </c>
      <c r="AB210" s="23" t="str">
        <f t="shared" si="201"/>
        <v/>
      </c>
      <c r="AC210" s="23" t="str">
        <f t="shared" si="201"/>
        <v/>
      </c>
      <c r="AD210" s="23" t="str">
        <f t="shared" si="201"/>
        <v/>
      </c>
      <c r="AE210" s="23" t="str">
        <f t="shared" ref="AE210:AN213" si="202">IF(AND(AE$4&gt;=$I210,AE$4&lt;=$J210),1,"")</f>
        <v/>
      </c>
      <c r="AF210" s="23" t="str">
        <f t="shared" si="202"/>
        <v/>
      </c>
      <c r="AG210" s="23" t="str">
        <f t="shared" si="202"/>
        <v/>
      </c>
      <c r="AH210" s="23" t="str">
        <f t="shared" si="202"/>
        <v/>
      </c>
      <c r="AI210" s="23" t="str">
        <f t="shared" si="202"/>
        <v/>
      </c>
      <c r="AJ210" s="23">
        <f t="shared" si="202"/>
        <v>1</v>
      </c>
      <c r="AK210" s="23">
        <f t="shared" si="202"/>
        <v>1</v>
      </c>
      <c r="AL210" s="23">
        <f t="shared" si="202"/>
        <v>1</v>
      </c>
      <c r="AM210" s="23">
        <f t="shared" si="202"/>
        <v>1</v>
      </c>
      <c r="AN210" s="23" t="str">
        <f t="shared" si="202"/>
        <v/>
      </c>
      <c r="AO210" s="23" t="str">
        <f t="shared" ref="AO210:AX213" si="203">IF(AND(AO$4&gt;=$I210,AO$4&lt;=$J210),1,"")</f>
        <v/>
      </c>
      <c r="AP210" s="23" t="str">
        <f t="shared" si="203"/>
        <v/>
      </c>
      <c r="AQ210" s="23" t="str">
        <f t="shared" si="203"/>
        <v/>
      </c>
      <c r="AR210" s="23" t="str">
        <f t="shared" si="203"/>
        <v/>
      </c>
      <c r="AS210" s="23" t="str">
        <f t="shared" si="203"/>
        <v/>
      </c>
      <c r="AT210" s="23" t="str">
        <f t="shared" si="203"/>
        <v/>
      </c>
      <c r="AU210" s="23" t="str">
        <f t="shared" si="203"/>
        <v/>
      </c>
      <c r="AV210" s="23" t="str">
        <f t="shared" si="203"/>
        <v/>
      </c>
      <c r="AW210" s="23" t="str">
        <f t="shared" si="203"/>
        <v/>
      </c>
      <c r="AX210" s="23" t="str">
        <f t="shared" si="203"/>
        <v/>
      </c>
      <c r="AY210" s="23" t="str">
        <f t="shared" ref="AY210:BH213" si="204">IF(AND(AY$4&gt;=$I210,AY$4&lt;=$J210),1,"")</f>
        <v/>
      </c>
      <c r="AZ210" s="23" t="str">
        <f t="shared" si="204"/>
        <v/>
      </c>
      <c r="BA210" s="23" t="str">
        <f t="shared" si="204"/>
        <v/>
      </c>
      <c r="BB210" s="23" t="str">
        <f t="shared" si="204"/>
        <v/>
      </c>
      <c r="BC210" s="23" t="str">
        <f t="shared" si="204"/>
        <v/>
      </c>
      <c r="BD210" s="23" t="str">
        <f t="shared" si="204"/>
        <v/>
      </c>
      <c r="BE210" s="23" t="str">
        <f t="shared" si="204"/>
        <v/>
      </c>
      <c r="BF210" s="23" t="str">
        <f t="shared" si="204"/>
        <v/>
      </c>
      <c r="BG210" s="23" t="str">
        <f t="shared" si="204"/>
        <v/>
      </c>
      <c r="BH210" s="23" t="str">
        <f t="shared" si="204"/>
        <v/>
      </c>
      <c r="BI210" s="23" t="str">
        <f t="shared" ref="BI210:BS213" si="205">IF(AND(BI$4&gt;=$I210,BI$4&lt;=$J210),1,"")</f>
        <v/>
      </c>
      <c r="BJ210" s="23" t="str">
        <f t="shared" si="205"/>
        <v/>
      </c>
      <c r="BK210" s="23" t="str">
        <f t="shared" si="205"/>
        <v/>
      </c>
      <c r="BL210" s="23" t="str">
        <f t="shared" si="205"/>
        <v/>
      </c>
      <c r="BM210" s="23" t="str">
        <f t="shared" si="205"/>
        <v/>
      </c>
      <c r="BN210" s="23" t="str">
        <f t="shared" si="205"/>
        <v/>
      </c>
      <c r="BO210" s="23" t="str">
        <f t="shared" si="205"/>
        <v/>
      </c>
      <c r="BP210" s="23" t="str">
        <f t="shared" si="205"/>
        <v/>
      </c>
      <c r="BQ210" s="23" t="str">
        <f t="shared" si="205"/>
        <v/>
      </c>
      <c r="BR210" s="23" t="str">
        <f t="shared" si="205"/>
        <v/>
      </c>
      <c r="BS210" s="23" t="str">
        <f t="shared" si="205"/>
        <v/>
      </c>
      <c r="BT210" s="24" t="str">
        <f>IF(IF(G210+H210-1&lt;=29,MAX(ROUND((G210+H210-1)*(29+SlipWeeks)/29,0),$I210),G210+H210-1+SlipWeeks)&gt;61,"▶ clipped","")</f>
        <v/>
      </c>
      <c r="BU210" s="29" t="s">
        <v>642</v>
      </c>
    </row>
    <row r="211" spans="1:73" ht="17" outlineLevel="1" x14ac:dyDescent="0.2">
      <c r="A211" s="6" t="s">
        <v>643</v>
      </c>
      <c r="B211" s="25" t="s">
        <v>644</v>
      </c>
      <c r="C211" s="6" t="s">
        <v>55</v>
      </c>
      <c r="D211" s="24" t="s">
        <v>128</v>
      </c>
      <c r="F211" s="6"/>
      <c r="G211" s="22">
        <v>26</v>
      </c>
      <c r="H211" s="22">
        <v>2</v>
      </c>
      <c r="I211" s="22">
        <f>MEDIAN($I$210,$J$210,$I$210+ROUND((G211-$G$210)/$H$210*($J$210-$I$210+1),0))</f>
        <v>26</v>
      </c>
      <c r="J211" s="22">
        <f>MEDIAN(I211,$J$210,$I$210+ROUND((G211+H211-$G$210)/$H$210*($J$210-$I$210+1),0)-1)</f>
        <v>27</v>
      </c>
      <c r="K211" s="23" t="str">
        <f t="shared" si="200"/>
        <v/>
      </c>
      <c r="L211" s="23" t="str">
        <f t="shared" si="200"/>
        <v/>
      </c>
      <c r="M211" s="23" t="str">
        <f t="shared" si="200"/>
        <v/>
      </c>
      <c r="N211" s="23" t="str">
        <f t="shared" si="200"/>
        <v/>
      </c>
      <c r="O211" s="23" t="str">
        <f t="shared" si="200"/>
        <v/>
      </c>
      <c r="P211" s="23" t="str">
        <f t="shared" si="200"/>
        <v/>
      </c>
      <c r="Q211" s="23" t="str">
        <f t="shared" si="200"/>
        <v/>
      </c>
      <c r="R211" s="23" t="str">
        <f t="shared" si="200"/>
        <v/>
      </c>
      <c r="S211" s="23" t="str">
        <f t="shared" si="200"/>
        <v/>
      </c>
      <c r="T211" s="23" t="str">
        <f t="shared" si="200"/>
        <v/>
      </c>
      <c r="U211" s="23" t="str">
        <f t="shared" si="201"/>
        <v/>
      </c>
      <c r="V211" s="23" t="str">
        <f t="shared" si="201"/>
        <v/>
      </c>
      <c r="W211" s="23" t="str">
        <f t="shared" si="201"/>
        <v/>
      </c>
      <c r="X211" s="23" t="str">
        <f t="shared" si="201"/>
        <v/>
      </c>
      <c r="Y211" s="23" t="str">
        <f t="shared" si="201"/>
        <v/>
      </c>
      <c r="Z211" s="23" t="str">
        <f t="shared" si="201"/>
        <v/>
      </c>
      <c r="AA211" s="23" t="str">
        <f t="shared" si="201"/>
        <v/>
      </c>
      <c r="AB211" s="23" t="str">
        <f t="shared" si="201"/>
        <v/>
      </c>
      <c r="AC211" s="23" t="str">
        <f t="shared" si="201"/>
        <v/>
      </c>
      <c r="AD211" s="23" t="str">
        <f t="shared" si="201"/>
        <v/>
      </c>
      <c r="AE211" s="23" t="str">
        <f t="shared" si="202"/>
        <v/>
      </c>
      <c r="AF211" s="23" t="str">
        <f t="shared" si="202"/>
        <v/>
      </c>
      <c r="AG211" s="23" t="str">
        <f t="shared" si="202"/>
        <v/>
      </c>
      <c r="AH211" s="23" t="str">
        <f t="shared" si="202"/>
        <v/>
      </c>
      <c r="AI211" s="23" t="str">
        <f t="shared" si="202"/>
        <v/>
      </c>
      <c r="AJ211" s="23">
        <f t="shared" si="202"/>
        <v>1</v>
      </c>
      <c r="AK211" s="23">
        <f t="shared" si="202"/>
        <v>1</v>
      </c>
      <c r="AL211" s="23" t="str">
        <f t="shared" si="202"/>
        <v/>
      </c>
      <c r="AM211" s="23" t="str">
        <f t="shared" si="202"/>
        <v/>
      </c>
      <c r="AN211" s="23" t="str">
        <f t="shared" si="202"/>
        <v/>
      </c>
      <c r="AO211" s="23" t="str">
        <f t="shared" si="203"/>
        <v/>
      </c>
      <c r="AP211" s="23" t="str">
        <f t="shared" si="203"/>
        <v/>
      </c>
      <c r="AQ211" s="23" t="str">
        <f t="shared" si="203"/>
        <v/>
      </c>
      <c r="AR211" s="23" t="str">
        <f t="shared" si="203"/>
        <v/>
      </c>
      <c r="AS211" s="23" t="str">
        <f t="shared" si="203"/>
        <v/>
      </c>
      <c r="AT211" s="23" t="str">
        <f t="shared" si="203"/>
        <v/>
      </c>
      <c r="AU211" s="23" t="str">
        <f t="shared" si="203"/>
        <v/>
      </c>
      <c r="AV211" s="23" t="str">
        <f t="shared" si="203"/>
        <v/>
      </c>
      <c r="AW211" s="23" t="str">
        <f t="shared" si="203"/>
        <v/>
      </c>
      <c r="AX211" s="23" t="str">
        <f t="shared" si="203"/>
        <v/>
      </c>
      <c r="AY211" s="23" t="str">
        <f t="shared" si="204"/>
        <v/>
      </c>
      <c r="AZ211" s="23" t="str">
        <f t="shared" si="204"/>
        <v/>
      </c>
      <c r="BA211" s="23" t="str">
        <f t="shared" si="204"/>
        <v/>
      </c>
      <c r="BB211" s="23" t="str">
        <f t="shared" si="204"/>
        <v/>
      </c>
      <c r="BC211" s="23" t="str">
        <f t="shared" si="204"/>
        <v/>
      </c>
      <c r="BD211" s="23" t="str">
        <f t="shared" si="204"/>
        <v/>
      </c>
      <c r="BE211" s="23" t="str">
        <f t="shared" si="204"/>
        <v/>
      </c>
      <c r="BF211" s="23" t="str">
        <f t="shared" si="204"/>
        <v/>
      </c>
      <c r="BG211" s="23" t="str">
        <f t="shared" si="204"/>
        <v/>
      </c>
      <c r="BH211" s="23" t="str">
        <f t="shared" si="204"/>
        <v/>
      </c>
      <c r="BI211" s="23" t="str">
        <f t="shared" si="205"/>
        <v/>
      </c>
      <c r="BJ211" s="23" t="str">
        <f t="shared" si="205"/>
        <v/>
      </c>
      <c r="BK211" s="23" t="str">
        <f t="shared" si="205"/>
        <v/>
      </c>
      <c r="BL211" s="23" t="str">
        <f t="shared" si="205"/>
        <v/>
      </c>
      <c r="BM211" s="23" t="str">
        <f t="shared" si="205"/>
        <v/>
      </c>
      <c r="BN211" s="23" t="str">
        <f t="shared" si="205"/>
        <v/>
      </c>
      <c r="BO211" s="23" t="str">
        <f t="shared" si="205"/>
        <v/>
      </c>
      <c r="BP211" s="23" t="str">
        <f t="shared" si="205"/>
        <v/>
      </c>
      <c r="BQ211" s="23" t="str">
        <f t="shared" si="205"/>
        <v/>
      </c>
      <c r="BR211" s="23" t="str">
        <f t="shared" si="205"/>
        <v/>
      </c>
      <c r="BS211" s="23" t="str">
        <f t="shared" si="205"/>
        <v/>
      </c>
      <c r="BU211" s="29" t="s">
        <v>645</v>
      </c>
    </row>
    <row r="212" spans="1:73" ht="17" outlineLevel="1" x14ac:dyDescent="0.2">
      <c r="A212" s="6" t="s">
        <v>646</v>
      </c>
      <c r="B212" s="25" t="s">
        <v>647</v>
      </c>
      <c r="C212" s="6" t="s">
        <v>55</v>
      </c>
      <c r="D212" s="24" t="s">
        <v>121</v>
      </c>
      <c r="F212" s="6" t="s">
        <v>643</v>
      </c>
      <c r="G212" s="22">
        <v>27</v>
      </c>
      <c r="H212" s="22">
        <v>1</v>
      </c>
      <c r="I212" s="22">
        <f>MEDIAN($I$210,$J$210,$I$210+ROUND((G212-$G$210)/$H$210*($J$210-$I$210+1),0))</f>
        <v>27</v>
      </c>
      <c r="J212" s="22">
        <f>MEDIAN(I212,$J$210,$I$210+ROUND((G212+H212-$G$210)/$H$210*($J$210-$I$210+1),0)-1)</f>
        <v>27</v>
      </c>
      <c r="K212" s="23" t="str">
        <f t="shared" si="200"/>
        <v/>
      </c>
      <c r="L212" s="23" t="str">
        <f t="shared" si="200"/>
        <v/>
      </c>
      <c r="M212" s="23" t="str">
        <f t="shared" si="200"/>
        <v/>
      </c>
      <c r="N212" s="23" t="str">
        <f t="shared" si="200"/>
        <v/>
      </c>
      <c r="O212" s="23" t="str">
        <f t="shared" si="200"/>
        <v/>
      </c>
      <c r="P212" s="23" t="str">
        <f t="shared" si="200"/>
        <v/>
      </c>
      <c r="Q212" s="23" t="str">
        <f t="shared" si="200"/>
        <v/>
      </c>
      <c r="R212" s="23" t="str">
        <f t="shared" si="200"/>
        <v/>
      </c>
      <c r="S212" s="23" t="str">
        <f t="shared" si="200"/>
        <v/>
      </c>
      <c r="T212" s="23" t="str">
        <f t="shared" si="200"/>
        <v/>
      </c>
      <c r="U212" s="23" t="str">
        <f t="shared" si="201"/>
        <v/>
      </c>
      <c r="V212" s="23" t="str">
        <f t="shared" si="201"/>
        <v/>
      </c>
      <c r="W212" s="23" t="str">
        <f t="shared" si="201"/>
        <v/>
      </c>
      <c r="X212" s="23" t="str">
        <f t="shared" si="201"/>
        <v/>
      </c>
      <c r="Y212" s="23" t="str">
        <f t="shared" si="201"/>
        <v/>
      </c>
      <c r="Z212" s="23" t="str">
        <f t="shared" si="201"/>
        <v/>
      </c>
      <c r="AA212" s="23" t="str">
        <f t="shared" si="201"/>
        <v/>
      </c>
      <c r="AB212" s="23" t="str">
        <f t="shared" si="201"/>
        <v/>
      </c>
      <c r="AC212" s="23" t="str">
        <f t="shared" si="201"/>
        <v/>
      </c>
      <c r="AD212" s="23" t="str">
        <f t="shared" si="201"/>
        <v/>
      </c>
      <c r="AE212" s="23" t="str">
        <f t="shared" si="202"/>
        <v/>
      </c>
      <c r="AF212" s="23" t="str">
        <f t="shared" si="202"/>
        <v/>
      </c>
      <c r="AG212" s="23" t="str">
        <f t="shared" si="202"/>
        <v/>
      </c>
      <c r="AH212" s="23" t="str">
        <f t="shared" si="202"/>
        <v/>
      </c>
      <c r="AI212" s="23" t="str">
        <f t="shared" si="202"/>
        <v/>
      </c>
      <c r="AJ212" s="23" t="str">
        <f t="shared" si="202"/>
        <v/>
      </c>
      <c r="AK212" s="23">
        <f t="shared" si="202"/>
        <v>1</v>
      </c>
      <c r="AL212" s="23" t="str">
        <f t="shared" si="202"/>
        <v/>
      </c>
      <c r="AM212" s="23" t="str">
        <f t="shared" si="202"/>
        <v/>
      </c>
      <c r="AN212" s="23" t="str">
        <f t="shared" si="202"/>
        <v/>
      </c>
      <c r="AO212" s="23" t="str">
        <f t="shared" si="203"/>
        <v/>
      </c>
      <c r="AP212" s="23" t="str">
        <f t="shared" si="203"/>
        <v/>
      </c>
      <c r="AQ212" s="23" t="str">
        <f t="shared" si="203"/>
        <v/>
      </c>
      <c r="AR212" s="23" t="str">
        <f t="shared" si="203"/>
        <v/>
      </c>
      <c r="AS212" s="23" t="str">
        <f t="shared" si="203"/>
        <v/>
      </c>
      <c r="AT212" s="23" t="str">
        <f t="shared" si="203"/>
        <v/>
      </c>
      <c r="AU212" s="23" t="str">
        <f t="shared" si="203"/>
        <v/>
      </c>
      <c r="AV212" s="23" t="str">
        <f t="shared" si="203"/>
        <v/>
      </c>
      <c r="AW212" s="23" t="str">
        <f t="shared" si="203"/>
        <v/>
      </c>
      <c r="AX212" s="23" t="str">
        <f t="shared" si="203"/>
        <v/>
      </c>
      <c r="AY212" s="23" t="str">
        <f t="shared" si="204"/>
        <v/>
      </c>
      <c r="AZ212" s="23" t="str">
        <f t="shared" si="204"/>
        <v/>
      </c>
      <c r="BA212" s="23" t="str">
        <f t="shared" si="204"/>
        <v/>
      </c>
      <c r="BB212" s="23" t="str">
        <f t="shared" si="204"/>
        <v/>
      </c>
      <c r="BC212" s="23" t="str">
        <f t="shared" si="204"/>
        <v/>
      </c>
      <c r="BD212" s="23" t="str">
        <f t="shared" si="204"/>
        <v/>
      </c>
      <c r="BE212" s="23" t="str">
        <f t="shared" si="204"/>
        <v/>
      </c>
      <c r="BF212" s="23" t="str">
        <f t="shared" si="204"/>
        <v/>
      </c>
      <c r="BG212" s="23" t="str">
        <f t="shared" si="204"/>
        <v/>
      </c>
      <c r="BH212" s="23" t="str">
        <f t="shared" si="204"/>
        <v/>
      </c>
      <c r="BI212" s="23" t="str">
        <f t="shared" si="205"/>
        <v/>
      </c>
      <c r="BJ212" s="23" t="str">
        <f t="shared" si="205"/>
        <v/>
      </c>
      <c r="BK212" s="23" t="str">
        <f t="shared" si="205"/>
        <v/>
      </c>
      <c r="BL212" s="23" t="str">
        <f t="shared" si="205"/>
        <v/>
      </c>
      <c r="BM212" s="23" t="str">
        <f t="shared" si="205"/>
        <v/>
      </c>
      <c r="BN212" s="23" t="str">
        <f t="shared" si="205"/>
        <v/>
      </c>
      <c r="BO212" s="23" t="str">
        <f t="shared" si="205"/>
        <v/>
      </c>
      <c r="BP212" s="23" t="str">
        <f t="shared" si="205"/>
        <v/>
      </c>
      <c r="BQ212" s="23" t="str">
        <f t="shared" si="205"/>
        <v/>
      </c>
      <c r="BR212" s="23" t="str">
        <f t="shared" si="205"/>
        <v/>
      </c>
      <c r="BS212" s="23" t="str">
        <f t="shared" si="205"/>
        <v/>
      </c>
      <c r="BU212" s="29" t="s">
        <v>648</v>
      </c>
    </row>
    <row r="213" spans="1:73" ht="17" outlineLevel="1" x14ac:dyDescent="0.2">
      <c r="A213" s="6" t="s">
        <v>649</v>
      </c>
      <c r="B213" s="25" t="s">
        <v>650</v>
      </c>
      <c r="C213" s="6" t="s">
        <v>55</v>
      </c>
      <c r="D213" s="24" t="s">
        <v>128</v>
      </c>
      <c r="F213" s="6" t="s">
        <v>646</v>
      </c>
      <c r="G213" s="22">
        <v>28</v>
      </c>
      <c r="H213" s="22">
        <v>2</v>
      </c>
      <c r="I213" s="22">
        <f>MEDIAN($I$210,$J$210,$I$210+ROUND((G213-$G$210)/$H$210*($J$210-$I$210+1),0))</f>
        <v>28</v>
      </c>
      <c r="J213" s="22">
        <f>MEDIAN(I213,$J$210,$I$210+ROUND((G213+H213-$G$210)/$H$210*($J$210-$I$210+1),0)-1)</f>
        <v>29</v>
      </c>
      <c r="K213" s="23" t="str">
        <f t="shared" si="200"/>
        <v/>
      </c>
      <c r="L213" s="23" t="str">
        <f t="shared" si="200"/>
        <v/>
      </c>
      <c r="M213" s="23" t="str">
        <f t="shared" si="200"/>
        <v/>
      </c>
      <c r="N213" s="23" t="str">
        <f t="shared" si="200"/>
        <v/>
      </c>
      <c r="O213" s="23" t="str">
        <f t="shared" si="200"/>
        <v/>
      </c>
      <c r="P213" s="23" t="str">
        <f t="shared" si="200"/>
        <v/>
      </c>
      <c r="Q213" s="23" t="str">
        <f t="shared" si="200"/>
        <v/>
      </c>
      <c r="R213" s="23" t="str">
        <f t="shared" si="200"/>
        <v/>
      </c>
      <c r="S213" s="23" t="str">
        <f t="shared" si="200"/>
        <v/>
      </c>
      <c r="T213" s="23" t="str">
        <f t="shared" si="200"/>
        <v/>
      </c>
      <c r="U213" s="23" t="str">
        <f t="shared" si="201"/>
        <v/>
      </c>
      <c r="V213" s="23" t="str">
        <f t="shared" si="201"/>
        <v/>
      </c>
      <c r="W213" s="23" t="str">
        <f t="shared" si="201"/>
        <v/>
      </c>
      <c r="X213" s="23" t="str">
        <f t="shared" si="201"/>
        <v/>
      </c>
      <c r="Y213" s="23" t="str">
        <f t="shared" si="201"/>
        <v/>
      </c>
      <c r="Z213" s="23" t="str">
        <f t="shared" si="201"/>
        <v/>
      </c>
      <c r="AA213" s="23" t="str">
        <f t="shared" si="201"/>
        <v/>
      </c>
      <c r="AB213" s="23" t="str">
        <f t="shared" si="201"/>
        <v/>
      </c>
      <c r="AC213" s="23" t="str">
        <f t="shared" si="201"/>
        <v/>
      </c>
      <c r="AD213" s="23" t="str">
        <f t="shared" si="201"/>
        <v/>
      </c>
      <c r="AE213" s="23" t="str">
        <f t="shared" si="202"/>
        <v/>
      </c>
      <c r="AF213" s="23" t="str">
        <f t="shared" si="202"/>
        <v/>
      </c>
      <c r="AG213" s="23" t="str">
        <f t="shared" si="202"/>
        <v/>
      </c>
      <c r="AH213" s="23" t="str">
        <f t="shared" si="202"/>
        <v/>
      </c>
      <c r="AI213" s="23" t="str">
        <f t="shared" si="202"/>
        <v/>
      </c>
      <c r="AJ213" s="23" t="str">
        <f t="shared" si="202"/>
        <v/>
      </c>
      <c r="AK213" s="23" t="str">
        <f t="shared" si="202"/>
        <v/>
      </c>
      <c r="AL213" s="23">
        <f t="shared" si="202"/>
        <v>1</v>
      </c>
      <c r="AM213" s="23">
        <f t="shared" si="202"/>
        <v>1</v>
      </c>
      <c r="AN213" s="23" t="str">
        <f t="shared" si="202"/>
        <v/>
      </c>
      <c r="AO213" s="23" t="str">
        <f t="shared" si="203"/>
        <v/>
      </c>
      <c r="AP213" s="23" t="str">
        <f t="shared" si="203"/>
        <v/>
      </c>
      <c r="AQ213" s="23" t="str">
        <f t="shared" si="203"/>
        <v/>
      </c>
      <c r="AR213" s="23" t="str">
        <f t="shared" si="203"/>
        <v/>
      </c>
      <c r="AS213" s="23" t="str">
        <f t="shared" si="203"/>
        <v/>
      </c>
      <c r="AT213" s="23" t="str">
        <f t="shared" si="203"/>
        <v/>
      </c>
      <c r="AU213" s="23" t="str">
        <f t="shared" si="203"/>
        <v/>
      </c>
      <c r="AV213" s="23" t="str">
        <f t="shared" si="203"/>
        <v/>
      </c>
      <c r="AW213" s="23" t="str">
        <f t="shared" si="203"/>
        <v/>
      </c>
      <c r="AX213" s="23" t="str">
        <f t="shared" si="203"/>
        <v/>
      </c>
      <c r="AY213" s="23" t="str">
        <f t="shared" si="204"/>
        <v/>
      </c>
      <c r="AZ213" s="23" t="str">
        <f t="shared" si="204"/>
        <v/>
      </c>
      <c r="BA213" s="23" t="str">
        <f t="shared" si="204"/>
        <v/>
      </c>
      <c r="BB213" s="23" t="str">
        <f t="shared" si="204"/>
        <v/>
      </c>
      <c r="BC213" s="23" t="str">
        <f t="shared" si="204"/>
        <v/>
      </c>
      <c r="BD213" s="23" t="str">
        <f t="shared" si="204"/>
        <v/>
      </c>
      <c r="BE213" s="23" t="str">
        <f t="shared" si="204"/>
        <v/>
      </c>
      <c r="BF213" s="23" t="str">
        <f t="shared" si="204"/>
        <v/>
      </c>
      <c r="BG213" s="23" t="str">
        <f t="shared" si="204"/>
        <v/>
      </c>
      <c r="BH213" s="23" t="str">
        <f t="shared" si="204"/>
        <v/>
      </c>
      <c r="BI213" s="23" t="str">
        <f t="shared" si="205"/>
        <v/>
      </c>
      <c r="BJ213" s="23" t="str">
        <f t="shared" si="205"/>
        <v/>
      </c>
      <c r="BK213" s="23" t="str">
        <f t="shared" si="205"/>
        <v/>
      </c>
      <c r="BL213" s="23" t="str">
        <f t="shared" si="205"/>
        <v/>
      </c>
      <c r="BM213" s="23" t="str">
        <f t="shared" si="205"/>
        <v/>
      </c>
      <c r="BN213" s="23" t="str">
        <f t="shared" si="205"/>
        <v/>
      </c>
      <c r="BO213" s="23" t="str">
        <f t="shared" si="205"/>
        <v/>
      </c>
      <c r="BP213" s="23" t="str">
        <f t="shared" si="205"/>
        <v/>
      </c>
      <c r="BQ213" s="23" t="str">
        <f t="shared" si="205"/>
        <v/>
      </c>
      <c r="BR213" s="23" t="str">
        <f t="shared" si="205"/>
        <v/>
      </c>
      <c r="BS213" s="23" t="str">
        <f t="shared" si="205"/>
        <v/>
      </c>
      <c r="BU213" s="29" t="s">
        <v>651</v>
      </c>
    </row>
    <row r="214" spans="1:73" x14ac:dyDescent="0.2">
      <c r="BU214" s="30"/>
    </row>
    <row r="215" spans="1:73" ht="17" x14ac:dyDescent="0.2">
      <c r="A215" s="19" t="s">
        <v>652</v>
      </c>
      <c r="B215" s="20" t="s">
        <v>653</v>
      </c>
      <c r="C215" s="19" t="s">
        <v>55</v>
      </c>
      <c r="D215" s="21" t="s">
        <v>128</v>
      </c>
      <c r="E215" s="19" t="s">
        <v>74</v>
      </c>
      <c r="F215" s="19"/>
      <c r="G215" s="22">
        <v>26</v>
      </c>
      <c r="H215" s="22">
        <v>4</v>
      </c>
      <c r="I215" s="22">
        <f>MIN(61,IF(G215&lt;=29,ROUND((G215-1)*(29+SlipWeeks)/29,0)+1,G215+SlipWeeks))</f>
        <v>26</v>
      </c>
      <c r="J215" s="22">
        <f>MIN(61,IF(G215+H215-1&lt;=29,MAX(ROUND((G215+H215-1)*(29+SlipWeeks)/29,0),I215),G215+H215-1+SlipWeeks))</f>
        <v>29</v>
      </c>
      <c r="K215" s="23" t="str">
        <f t="shared" ref="K215:T218" si="206">IF(AND(K$4&gt;=$I215,K$4&lt;=$J215),1,"")</f>
        <v/>
      </c>
      <c r="L215" s="23" t="str">
        <f t="shared" si="206"/>
        <v/>
      </c>
      <c r="M215" s="23" t="str">
        <f t="shared" si="206"/>
        <v/>
      </c>
      <c r="N215" s="23" t="str">
        <f t="shared" si="206"/>
        <v/>
      </c>
      <c r="O215" s="23" t="str">
        <f t="shared" si="206"/>
        <v/>
      </c>
      <c r="P215" s="23" t="str">
        <f t="shared" si="206"/>
        <v/>
      </c>
      <c r="Q215" s="23" t="str">
        <f t="shared" si="206"/>
        <v/>
      </c>
      <c r="R215" s="23" t="str">
        <f t="shared" si="206"/>
        <v/>
      </c>
      <c r="S215" s="23" t="str">
        <f t="shared" si="206"/>
        <v/>
      </c>
      <c r="T215" s="23" t="str">
        <f t="shared" si="206"/>
        <v/>
      </c>
      <c r="U215" s="23" t="str">
        <f t="shared" ref="U215:AD218" si="207">IF(AND(U$4&gt;=$I215,U$4&lt;=$J215),1,"")</f>
        <v/>
      </c>
      <c r="V215" s="23" t="str">
        <f t="shared" si="207"/>
        <v/>
      </c>
      <c r="W215" s="23" t="str">
        <f t="shared" si="207"/>
        <v/>
      </c>
      <c r="X215" s="23" t="str">
        <f t="shared" si="207"/>
        <v/>
      </c>
      <c r="Y215" s="23" t="str">
        <f t="shared" si="207"/>
        <v/>
      </c>
      <c r="Z215" s="23" t="str">
        <f t="shared" si="207"/>
        <v/>
      </c>
      <c r="AA215" s="23" t="str">
        <f t="shared" si="207"/>
        <v/>
      </c>
      <c r="AB215" s="23" t="str">
        <f t="shared" si="207"/>
        <v/>
      </c>
      <c r="AC215" s="23" t="str">
        <f t="shared" si="207"/>
        <v/>
      </c>
      <c r="AD215" s="23" t="str">
        <f t="shared" si="207"/>
        <v/>
      </c>
      <c r="AE215" s="23" t="str">
        <f t="shared" ref="AE215:AN218" si="208">IF(AND(AE$4&gt;=$I215,AE$4&lt;=$J215),1,"")</f>
        <v/>
      </c>
      <c r="AF215" s="23" t="str">
        <f t="shared" si="208"/>
        <v/>
      </c>
      <c r="AG215" s="23" t="str">
        <f t="shared" si="208"/>
        <v/>
      </c>
      <c r="AH215" s="23" t="str">
        <f t="shared" si="208"/>
        <v/>
      </c>
      <c r="AI215" s="23" t="str">
        <f t="shared" si="208"/>
        <v/>
      </c>
      <c r="AJ215" s="23">
        <f t="shared" si="208"/>
        <v>1</v>
      </c>
      <c r="AK215" s="23">
        <f t="shared" si="208"/>
        <v>1</v>
      </c>
      <c r="AL215" s="23">
        <f t="shared" si="208"/>
        <v>1</v>
      </c>
      <c r="AM215" s="23">
        <f t="shared" si="208"/>
        <v>1</v>
      </c>
      <c r="AN215" s="23" t="str">
        <f t="shared" si="208"/>
        <v/>
      </c>
      <c r="AO215" s="23" t="str">
        <f t="shared" ref="AO215:AX218" si="209">IF(AND(AO$4&gt;=$I215,AO$4&lt;=$J215),1,"")</f>
        <v/>
      </c>
      <c r="AP215" s="23" t="str">
        <f t="shared" si="209"/>
        <v/>
      </c>
      <c r="AQ215" s="23" t="str">
        <f t="shared" si="209"/>
        <v/>
      </c>
      <c r="AR215" s="23" t="str">
        <f t="shared" si="209"/>
        <v/>
      </c>
      <c r="AS215" s="23" t="str">
        <f t="shared" si="209"/>
        <v/>
      </c>
      <c r="AT215" s="23" t="str">
        <f t="shared" si="209"/>
        <v/>
      </c>
      <c r="AU215" s="23" t="str">
        <f t="shared" si="209"/>
        <v/>
      </c>
      <c r="AV215" s="23" t="str">
        <f t="shared" si="209"/>
        <v/>
      </c>
      <c r="AW215" s="23" t="str">
        <f t="shared" si="209"/>
        <v/>
      </c>
      <c r="AX215" s="23" t="str">
        <f t="shared" si="209"/>
        <v/>
      </c>
      <c r="AY215" s="23" t="str">
        <f t="shared" ref="AY215:BH218" si="210">IF(AND(AY$4&gt;=$I215,AY$4&lt;=$J215),1,"")</f>
        <v/>
      </c>
      <c r="AZ215" s="23" t="str">
        <f t="shared" si="210"/>
        <v/>
      </c>
      <c r="BA215" s="23" t="str">
        <f t="shared" si="210"/>
        <v/>
      </c>
      <c r="BB215" s="23" t="str">
        <f t="shared" si="210"/>
        <v/>
      </c>
      <c r="BC215" s="23" t="str">
        <f t="shared" si="210"/>
        <v/>
      </c>
      <c r="BD215" s="23" t="str">
        <f t="shared" si="210"/>
        <v/>
      </c>
      <c r="BE215" s="23" t="str">
        <f t="shared" si="210"/>
        <v/>
      </c>
      <c r="BF215" s="23" t="str">
        <f t="shared" si="210"/>
        <v/>
      </c>
      <c r="BG215" s="23" t="str">
        <f t="shared" si="210"/>
        <v/>
      </c>
      <c r="BH215" s="23" t="str">
        <f t="shared" si="210"/>
        <v/>
      </c>
      <c r="BI215" s="23" t="str">
        <f t="shared" ref="BI215:BS218" si="211">IF(AND(BI$4&gt;=$I215,BI$4&lt;=$J215),1,"")</f>
        <v/>
      </c>
      <c r="BJ215" s="23" t="str">
        <f t="shared" si="211"/>
        <v/>
      </c>
      <c r="BK215" s="23" t="str">
        <f t="shared" si="211"/>
        <v/>
      </c>
      <c r="BL215" s="23" t="str">
        <f t="shared" si="211"/>
        <v/>
      </c>
      <c r="BM215" s="23" t="str">
        <f t="shared" si="211"/>
        <v/>
      </c>
      <c r="BN215" s="23" t="str">
        <f t="shared" si="211"/>
        <v/>
      </c>
      <c r="BO215" s="23" t="str">
        <f t="shared" si="211"/>
        <v/>
      </c>
      <c r="BP215" s="23" t="str">
        <f t="shared" si="211"/>
        <v/>
      </c>
      <c r="BQ215" s="23" t="str">
        <f t="shared" si="211"/>
        <v/>
      </c>
      <c r="BR215" s="23" t="str">
        <f t="shared" si="211"/>
        <v/>
      </c>
      <c r="BS215" s="23" t="str">
        <f t="shared" si="211"/>
        <v/>
      </c>
      <c r="BT215" s="24" t="str">
        <f>IF(IF(G215+H215-1&lt;=29,MAX(ROUND((G215+H215-1)*(29+SlipWeeks)/29,0),$I215),G215+H215-1+SlipWeeks)&gt;61,"▶ clipped","")</f>
        <v/>
      </c>
      <c r="BU215" s="29" t="s">
        <v>654</v>
      </c>
    </row>
    <row r="216" spans="1:73" ht="17" outlineLevel="1" x14ac:dyDescent="0.2">
      <c r="A216" s="6" t="s">
        <v>655</v>
      </c>
      <c r="B216" s="25" t="s">
        <v>656</v>
      </c>
      <c r="C216" s="6" t="s">
        <v>55</v>
      </c>
      <c r="D216" s="24" t="s">
        <v>128</v>
      </c>
      <c r="F216" s="6"/>
      <c r="G216" s="22">
        <v>26</v>
      </c>
      <c r="H216" s="22">
        <v>1</v>
      </c>
      <c r="I216" s="22">
        <f>MEDIAN($I$215,$J$215,$I$215+ROUND((G216-$G$215)/$H$215*($J$215-$I$215+1),0))</f>
        <v>26</v>
      </c>
      <c r="J216" s="22">
        <f>MEDIAN(I216,$J$215,$I$215+ROUND((G216+H216-$G$215)/$H$215*($J$215-$I$215+1),0)-1)</f>
        <v>26</v>
      </c>
      <c r="K216" s="23" t="str">
        <f t="shared" si="206"/>
        <v/>
      </c>
      <c r="L216" s="23" t="str">
        <f t="shared" si="206"/>
        <v/>
      </c>
      <c r="M216" s="23" t="str">
        <f t="shared" si="206"/>
        <v/>
      </c>
      <c r="N216" s="23" t="str">
        <f t="shared" si="206"/>
        <v/>
      </c>
      <c r="O216" s="23" t="str">
        <f t="shared" si="206"/>
        <v/>
      </c>
      <c r="P216" s="23" t="str">
        <f t="shared" si="206"/>
        <v/>
      </c>
      <c r="Q216" s="23" t="str">
        <f t="shared" si="206"/>
        <v/>
      </c>
      <c r="R216" s="23" t="str">
        <f t="shared" si="206"/>
        <v/>
      </c>
      <c r="S216" s="23" t="str">
        <f t="shared" si="206"/>
        <v/>
      </c>
      <c r="T216" s="23" t="str">
        <f t="shared" si="206"/>
        <v/>
      </c>
      <c r="U216" s="23" t="str">
        <f t="shared" si="207"/>
        <v/>
      </c>
      <c r="V216" s="23" t="str">
        <f t="shared" si="207"/>
        <v/>
      </c>
      <c r="W216" s="23" t="str">
        <f t="shared" si="207"/>
        <v/>
      </c>
      <c r="X216" s="23" t="str">
        <f t="shared" si="207"/>
        <v/>
      </c>
      <c r="Y216" s="23" t="str">
        <f t="shared" si="207"/>
        <v/>
      </c>
      <c r="Z216" s="23" t="str">
        <f t="shared" si="207"/>
        <v/>
      </c>
      <c r="AA216" s="23" t="str">
        <f t="shared" si="207"/>
        <v/>
      </c>
      <c r="AB216" s="23" t="str">
        <f t="shared" si="207"/>
        <v/>
      </c>
      <c r="AC216" s="23" t="str">
        <f t="shared" si="207"/>
        <v/>
      </c>
      <c r="AD216" s="23" t="str">
        <f t="shared" si="207"/>
        <v/>
      </c>
      <c r="AE216" s="23" t="str">
        <f t="shared" si="208"/>
        <v/>
      </c>
      <c r="AF216" s="23" t="str">
        <f t="shared" si="208"/>
        <v/>
      </c>
      <c r="AG216" s="23" t="str">
        <f t="shared" si="208"/>
        <v/>
      </c>
      <c r="AH216" s="23" t="str">
        <f t="shared" si="208"/>
        <v/>
      </c>
      <c r="AI216" s="23" t="str">
        <f t="shared" si="208"/>
        <v/>
      </c>
      <c r="AJ216" s="23">
        <f t="shared" si="208"/>
        <v>1</v>
      </c>
      <c r="AK216" s="23" t="str">
        <f t="shared" si="208"/>
        <v/>
      </c>
      <c r="AL216" s="23" t="str">
        <f t="shared" si="208"/>
        <v/>
      </c>
      <c r="AM216" s="23" t="str">
        <f t="shared" si="208"/>
        <v/>
      </c>
      <c r="AN216" s="23" t="str">
        <f t="shared" si="208"/>
        <v/>
      </c>
      <c r="AO216" s="23" t="str">
        <f t="shared" si="209"/>
        <v/>
      </c>
      <c r="AP216" s="23" t="str">
        <f t="shared" si="209"/>
        <v/>
      </c>
      <c r="AQ216" s="23" t="str">
        <f t="shared" si="209"/>
        <v/>
      </c>
      <c r="AR216" s="23" t="str">
        <f t="shared" si="209"/>
        <v/>
      </c>
      <c r="AS216" s="23" t="str">
        <f t="shared" si="209"/>
        <v/>
      </c>
      <c r="AT216" s="23" t="str">
        <f t="shared" si="209"/>
        <v/>
      </c>
      <c r="AU216" s="23" t="str">
        <f t="shared" si="209"/>
        <v/>
      </c>
      <c r="AV216" s="23" t="str">
        <f t="shared" si="209"/>
        <v/>
      </c>
      <c r="AW216" s="23" t="str">
        <f t="shared" si="209"/>
        <v/>
      </c>
      <c r="AX216" s="23" t="str">
        <f t="shared" si="209"/>
        <v/>
      </c>
      <c r="AY216" s="23" t="str">
        <f t="shared" si="210"/>
        <v/>
      </c>
      <c r="AZ216" s="23" t="str">
        <f t="shared" si="210"/>
        <v/>
      </c>
      <c r="BA216" s="23" t="str">
        <f t="shared" si="210"/>
        <v/>
      </c>
      <c r="BB216" s="23" t="str">
        <f t="shared" si="210"/>
        <v/>
      </c>
      <c r="BC216" s="23" t="str">
        <f t="shared" si="210"/>
        <v/>
      </c>
      <c r="BD216" s="23" t="str">
        <f t="shared" si="210"/>
        <v/>
      </c>
      <c r="BE216" s="23" t="str">
        <f t="shared" si="210"/>
        <v/>
      </c>
      <c r="BF216" s="23" t="str">
        <f t="shared" si="210"/>
        <v/>
      </c>
      <c r="BG216" s="23" t="str">
        <f t="shared" si="210"/>
        <v/>
      </c>
      <c r="BH216" s="23" t="str">
        <f t="shared" si="210"/>
        <v/>
      </c>
      <c r="BI216" s="23" t="str">
        <f t="shared" si="211"/>
        <v/>
      </c>
      <c r="BJ216" s="23" t="str">
        <f t="shared" si="211"/>
        <v/>
      </c>
      <c r="BK216" s="23" t="str">
        <f t="shared" si="211"/>
        <v/>
      </c>
      <c r="BL216" s="23" t="str">
        <f t="shared" si="211"/>
        <v/>
      </c>
      <c r="BM216" s="23" t="str">
        <f t="shared" si="211"/>
        <v/>
      </c>
      <c r="BN216" s="23" t="str">
        <f t="shared" si="211"/>
        <v/>
      </c>
      <c r="BO216" s="23" t="str">
        <f t="shared" si="211"/>
        <v/>
      </c>
      <c r="BP216" s="23" t="str">
        <f t="shared" si="211"/>
        <v/>
      </c>
      <c r="BQ216" s="23" t="str">
        <f t="shared" si="211"/>
        <v/>
      </c>
      <c r="BR216" s="23" t="str">
        <f t="shared" si="211"/>
        <v/>
      </c>
      <c r="BS216" s="23" t="str">
        <f t="shared" si="211"/>
        <v/>
      </c>
      <c r="BU216" s="29" t="s">
        <v>657</v>
      </c>
    </row>
    <row r="217" spans="1:73" ht="17" outlineLevel="1" x14ac:dyDescent="0.2">
      <c r="A217" s="6" t="s">
        <v>658</v>
      </c>
      <c r="B217" s="25" t="s">
        <v>659</v>
      </c>
      <c r="C217" s="6" t="s">
        <v>55</v>
      </c>
      <c r="D217" s="24" t="s">
        <v>128</v>
      </c>
      <c r="F217" s="6" t="s">
        <v>655</v>
      </c>
      <c r="G217" s="22">
        <v>26</v>
      </c>
      <c r="H217" s="22">
        <v>2</v>
      </c>
      <c r="I217" s="22">
        <f>MEDIAN($I$215,$J$215,$I$215+ROUND((G217-$G$215)/$H$215*($J$215-$I$215+1),0))</f>
        <v>26</v>
      </c>
      <c r="J217" s="22">
        <f>MEDIAN(I217,$J$215,$I$215+ROUND((G217+H217-$G$215)/$H$215*($J$215-$I$215+1),0)-1)</f>
        <v>27</v>
      </c>
      <c r="K217" s="23" t="str">
        <f t="shared" si="206"/>
        <v/>
      </c>
      <c r="L217" s="23" t="str">
        <f t="shared" si="206"/>
        <v/>
      </c>
      <c r="M217" s="23" t="str">
        <f t="shared" si="206"/>
        <v/>
      </c>
      <c r="N217" s="23" t="str">
        <f t="shared" si="206"/>
        <v/>
      </c>
      <c r="O217" s="23" t="str">
        <f t="shared" si="206"/>
        <v/>
      </c>
      <c r="P217" s="23" t="str">
        <f t="shared" si="206"/>
        <v/>
      </c>
      <c r="Q217" s="23" t="str">
        <f t="shared" si="206"/>
        <v/>
      </c>
      <c r="R217" s="23" t="str">
        <f t="shared" si="206"/>
        <v/>
      </c>
      <c r="S217" s="23" t="str">
        <f t="shared" si="206"/>
        <v/>
      </c>
      <c r="T217" s="23" t="str">
        <f t="shared" si="206"/>
        <v/>
      </c>
      <c r="U217" s="23" t="str">
        <f t="shared" si="207"/>
        <v/>
      </c>
      <c r="V217" s="23" t="str">
        <f t="shared" si="207"/>
        <v/>
      </c>
      <c r="W217" s="23" t="str">
        <f t="shared" si="207"/>
        <v/>
      </c>
      <c r="X217" s="23" t="str">
        <f t="shared" si="207"/>
        <v/>
      </c>
      <c r="Y217" s="23" t="str">
        <f t="shared" si="207"/>
        <v/>
      </c>
      <c r="Z217" s="23" t="str">
        <f t="shared" si="207"/>
        <v/>
      </c>
      <c r="AA217" s="23" t="str">
        <f t="shared" si="207"/>
        <v/>
      </c>
      <c r="AB217" s="23" t="str">
        <f t="shared" si="207"/>
        <v/>
      </c>
      <c r="AC217" s="23" t="str">
        <f t="shared" si="207"/>
        <v/>
      </c>
      <c r="AD217" s="23" t="str">
        <f t="shared" si="207"/>
        <v/>
      </c>
      <c r="AE217" s="23" t="str">
        <f t="shared" si="208"/>
        <v/>
      </c>
      <c r="AF217" s="23" t="str">
        <f t="shared" si="208"/>
        <v/>
      </c>
      <c r="AG217" s="23" t="str">
        <f t="shared" si="208"/>
        <v/>
      </c>
      <c r="AH217" s="23" t="str">
        <f t="shared" si="208"/>
        <v/>
      </c>
      <c r="AI217" s="23" t="str">
        <f t="shared" si="208"/>
        <v/>
      </c>
      <c r="AJ217" s="23">
        <f t="shared" si="208"/>
        <v>1</v>
      </c>
      <c r="AK217" s="23">
        <f t="shared" si="208"/>
        <v>1</v>
      </c>
      <c r="AL217" s="23" t="str">
        <f t="shared" si="208"/>
        <v/>
      </c>
      <c r="AM217" s="23" t="str">
        <f t="shared" si="208"/>
        <v/>
      </c>
      <c r="AN217" s="23" t="str">
        <f t="shared" si="208"/>
        <v/>
      </c>
      <c r="AO217" s="23" t="str">
        <f t="shared" si="209"/>
        <v/>
      </c>
      <c r="AP217" s="23" t="str">
        <f t="shared" si="209"/>
        <v/>
      </c>
      <c r="AQ217" s="23" t="str">
        <f t="shared" si="209"/>
        <v/>
      </c>
      <c r="AR217" s="23" t="str">
        <f t="shared" si="209"/>
        <v/>
      </c>
      <c r="AS217" s="23" t="str">
        <f t="shared" si="209"/>
        <v/>
      </c>
      <c r="AT217" s="23" t="str">
        <f t="shared" si="209"/>
        <v/>
      </c>
      <c r="AU217" s="23" t="str">
        <f t="shared" si="209"/>
        <v/>
      </c>
      <c r="AV217" s="23" t="str">
        <f t="shared" si="209"/>
        <v/>
      </c>
      <c r="AW217" s="23" t="str">
        <f t="shared" si="209"/>
        <v/>
      </c>
      <c r="AX217" s="23" t="str">
        <f t="shared" si="209"/>
        <v/>
      </c>
      <c r="AY217" s="23" t="str">
        <f t="shared" si="210"/>
        <v/>
      </c>
      <c r="AZ217" s="23" t="str">
        <f t="shared" si="210"/>
        <v/>
      </c>
      <c r="BA217" s="23" t="str">
        <f t="shared" si="210"/>
        <v/>
      </c>
      <c r="BB217" s="23" t="str">
        <f t="shared" si="210"/>
        <v/>
      </c>
      <c r="BC217" s="23" t="str">
        <f t="shared" si="210"/>
        <v/>
      </c>
      <c r="BD217" s="23" t="str">
        <f t="shared" si="210"/>
        <v/>
      </c>
      <c r="BE217" s="23" t="str">
        <f t="shared" si="210"/>
        <v/>
      </c>
      <c r="BF217" s="23" t="str">
        <f t="shared" si="210"/>
        <v/>
      </c>
      <c r="BG217" s="23" t="str">
        <f t="shared" si="210"/>
        <v/>
      </c>
      <c r="BH217" s="23" t="str">
        <f t="shared" si="210"/>
        <v/>
      </c>
      <c r="BI217" s="23" t="str">
        <f t="shared" si="211"/>
        <v/>
      </c>
      <c r="BJ217" s="23" t="str">
        <f t="shared" si="211"/>
        <v/>
      </c>
      <c r="BK217" s="23" t="str">
        <f t="shared" si="211"/>
        <v/>
      </c>
      <c r="BL217" s="23" t="str">
        <f t="shared" si="211"/>
        <v/>
      </c>
      <c r="BM217" s="23" t="str">
        <f t="shared" si="211"/>
        <v/>
      </c>
      <c r="BN217" s="23" t="str">
        <f t="shared" si="211"/>
        <v/>
      </c>
      <c r="BO217" s="23" t="str">
        <f t="shared" si="211"/>
        <v/>
      </c>
      <c r="BP217" s="23" t="str">
        <f t="shared" si="211"/>
        <v/>
      </c>
      <c r="BQ217" s="23" t="str">
        <f t="shared" si="211"/>
        <v/>
      </c>
      <c r="BR217" s="23" t="str">
        <f t="shared" si="211"/>
        <v/>
      </c>
      <c r="BS217" s="23" t="str">
        <f t="shared" si="211"/>
        <v/>
      </c>
      <c r="BU217" s="29" t="s">
        <v>660</v>
      </c>
    </row>
    <row r="218" spans="1:73" ht="34" outlineLevel="1" x14ac:dyDescent="0.2">
      <c r="A218" s="6" t="s">
        <v>661</v>
      </c>
      <c r="B218" s="25" t="s">
        <v>662</v>
      </c>
      <c r="C218" s="6" t="s">
        <v>55</v>
      </c>
      <c r="D218" s="24" t="s">
        <v>128</v>
      </c>
      <c r="F218" s="6" t="s">
        <v>658</v>
      </c>
      <c r="G218" s="22">
        <v>27</v>
      </c>
      <c r="H218" s="22">
        <v>1</v>
      </c>
      <c r="I218" s="22">
        <f>MEDIAN($I$215,$J$215,$I$215+ROUND((G218-$G$215)/$H$215*($J$215-$I$215+1),0))</f>
        <v>27</v>
      </c>
      <c r="J218" s="22">
        <f>MEDIAN(I218,$J$215,$I$215+ROUND((G218+H218-$G$215)/$H$215*($J$215-$I$215+1),0)-1)</f>
        <v>27</v>
      </c>
      <c r="K218" s="23" t="str">
        <f t="shared" si="206"/>
        <v/>
      </c>
      <c r="L218" s="23" t="str">
        <f t="shared" si="206"/>
        <v/>
      </c>
      <c r="M218" s="23" t="str">
        <f t="shared" si="206"/>
        <v/>
      </c>
      <c r="N218" s="23" t="str">
        <f t="shared" si="206"/>
        <v/>
      </c>
      <c r="O218" s="23" t="str">
        <f t="shared" si="206"/>
        <v/>
      </c>
      <c r="P218" s="23" t="str">
        <f t="shared" si="206"/>
        <v/>
      </c>
      <c r="Q218" s="23" t="str">
        <f t="shared" si="206"/>
        <v/>
      </c>
      <c r="R218" s="23" t="str">
        <f t="shared" si="206"/>
        <v/>
      </c>
      <c r="S218" s="23" t="str">
        <f t="shared" si="206"/>
        <v/>
      </c>
      <c r="T218" s="23" t="str">
        <f t="shared" si="206"/>
        <v/>
      </c>
      <c r="U218" s="23" t="str">
        <f t="shared" si="207"/>
        <v/>
      </c>
      <c r="V218" s="23" t="str">
        <f t="shared" si="207"/>
        <v/>
      </c>
      <c r="W218" s="23" t="str">
        <f t="shared" si="207"/>
        <v/>
      </c>
      <c r="X218" s="23" t="str">
        <f t="shared" si="207"/>
        <v/>
      </c>
      <c r="Y218" s="23" t="str">
        <f t="shared" si="207"/>
        <v/>
      </c>
      <c r="Z218" s="23" t="str">
        <f t="shared" si="207"/>
        <v/>
      </c>
      <c r="AA218" s="23" t="str">
        <f t="shared" si="207"/>
        <v/>
      </c>
      <c r="AB218" s="23" t="str">
        <f t="shared" si="207"/>
        <v/>
      </c>
      <c r="AC218" s="23" t="str">
        <f t="shared" si="207"/>
        <v/>
      </c>
      <c r="AD218" s="23" t="str">
        <f t="shared" si="207"/>
        <v/>
      </c>
      <c r="AE218" s="23" t="str">
        <f t="shared" si="208"/>
        <v/>
      </c>
      <c r="AF218" s="23" t="str">
        <f t="shared" si="208"/>
        <v/>
      </c>
      <c r="AG218" s="23" t="str">
        <f t="shared" si="208"/>
        <v/>
      </c>
      <c r="AH218" s="23" t="str">
        <f t="shared" si="208"/>
        <v/>
      </c>
      <c r="AI218" s="23" t="str">
        <f t="shared" si="208"/>
        <v/>
      </c>
      <c r="AJ218" s="23" t="str">
        <f t="shared" si="208"/>
        <v/>
      </c>
      <c r="AK218" s="23">
        <f t="shared" si="208"/>
        <v>1</v>
      </c>
      <c r="AL218" s="23" t="str">
        <f t="shared" si="208"/>
        <v/>
      </c>
      <c r="AM218" s="23" t="str">
        <f t="shared" si="208"/>
        <v/>
      </c>
      <c r="AN218" s="23" t="str">
        <f t="shared" si="208"/>
        <v/>
      </c>
      <c r="AO218" s="23" t="str">
        <f t="shared" si="209"/>
        <v/>
      </c>
      <c r="AP218" s="23" t="str">
        <f t="shared" si="209"/>
        <v/>
      </c>
      <c r="AQ218" s="23" t="str">
        <f t="shared" si="209"/>
        <v/>
      </c>
      <c r="AR218" s="23" t="str">
        <f t="shared" si="209"/>
        <v/>
      </c>
      <c r="AS218" s="23" t="str">
        <f t="shared" si="209"/>
        <v/>
      </c>
      <c r="AT218" s="23" t="str">
        <f t="shared" si="209"/>
        <v/>
      </c>
      <c r="AU218" s="23" t="str">
        <f t="shared" si="209"/>
        <v/>
      </c>
      <c r="AV218" s="23" t="str">
        <f t="shared" si="209"/>
        <v/>
      </c>
      <c r="AW218" s="23" t="str">
        <f t="shared" si="209"/>
        <v/>
      </c>
      <c r="AX218" s="23" t="str">
        <f t="shared" si="209"/>
        <v/>
      </c>
      <c r="AY218" s="23" t="str">
        <f t="shared" si="210"/>
        <v/>
      </c>
      <c r="AZ218" s="23" t="str">
        <f t="shared" si="210"/>
        <v/>
      </c>
      <c r="BA218" s="23" t="str">
        <f t="shared" si="210"/>
        <v/>
      </c>
      <c r="BB218" s="23" t="str">
        <f t="shared" si="210"/>
        <v/>
      </c>
      <c r="BC218" s="23" t="str">
        <f t="shared" si="210"/>
        <v/>
      </c>
      <c r="BD218" s="23" t="str">
        <f t="shared" si="210"/>
        <v/>
      </c>
      <c r="BE218" s="23" t="str">
        <f t="shared" si="210"/>
        <v/>
      </c>
      <c r="BF218" s="23" t="str">
        <f t="shared" si="210"/>
        <v/>
      </c>
      <c r="BG218" s="23" t="str">
        <f t="shared" si="210"/>
        <v/>
      </c>
      <c r="BH218" s="23" t="str">
        <f t="shared" si="210"/>
        <v/>
      </c>
      <c r="BI218" s="23" t="str">
        <f t="shared" si="211"/>
        <v/>
      </c>
      <c r="BJ218" s="23" t="str">
        <f t="shared" si="211"/>
        <v/>
      </c>
      <c r="BK218" s="23" t="str">
        <f t="shared" si="211"/>
        <v/>
      </c>
      <c r="BL218" s="23" t="str">
        <f t="shared" si="211"/>
        <v/>
      </c>
      <c r="BM218" s="23" t="str">
        <f t="shared" si="211"/>
        <v/>
      </c>
      <c r="BN218" s="23" t="str">
        <f t="shared" si="211"/>
        <v/>
      </c>
      <c r="BO218" s="23" t="str">
        <f t="shared" si="211"/>
        <v/>
      </c>
      <c r="BP218" s="23" t="str">
        <f t="shared" si="211"/>
        <v/>
      </c>
      <c r="BQ218" s="23" t="str">
        <f t="shared" si="211"/>
        <v/>
      </c>
      <c r="BR218" s="23" t="str">
        <f t="shared" si="211"/>
        <v/>
      </c>
      <c r="BS218" s="23" t="str">
        <f t="shared" si="211"/>
        <v/>
      </c>
      <c r="BU218" s="29" t="s">
        <v>663</v>
      </c>
    </row>
    <row r="219" spans="1:73" x14ac:dyDescent="0.2">
      <c r="BU219" s="30"/>
    </row>
    <row r="220" spans="1:73" ht="17" x14ac:dyDescent="0.2">
      <c r="A220" s="19" t="s">
        <v>664</v>
      </c>
      <c r="B220" s="20" t="s">
        <v>665</v>
      </c>
      <c r="C220" s="19" t="s">
        <v>56</v>
      </c>
      <c r="D220" s="21" t="s">
        <v>117</v>
      </c>
      <c r="E220" s="19"/>
      <c r="F220" s="19"/>
      <c r="G220" s="22">
        <v>26</v>
      </c>
      <c r="H220" s="22">
        <v>4</v>
      </c>
      <c r="I220" s="22">
        <f>MIN(61,IF(G220&lt;=29,ROUND((G220-1)*(29+SlipWeeks)/29,0)+1,G220+SlipWeeks))</f>
        <v>26</v>
      </c>
      <c r="J220" s="22">
        <f>MIN(61,IF(G220+H220-1&lt;=29,MAX(ROUND((G220+H220-1)*(29+SlipWeeks)/29,0),I220),G220+H220-1+SlipWeeks))</f>
        <v>29</v>
      </c>
      <c r="K220" s="23" t="str">
        <f t="shared" ref="K220:T223" si="212">IF(AND(K$4&gt;=$I220,K$4&lt;=$J220),1,"")</f>
        <v/>
      </c>
      <c r="L220" s="23" t="str">
        <f t="shared" si="212"/>
        <v/>
      </c>
      <c r="M220" s="23" t="str">
        <f t="shared" si="212"/>
        <v/>
      </c>
      <c r="N220" s="23" t="str">
        <f t="shared" si="212"/>
        <v/>
      </c>
      <c r="O220" s="23" t="str">
        <f t="shared" si="212"/>
        <v/>
      </c>
      <c r="P220" s="23" t="str">
        <f t="shared" si="212"/>
        <v/>
      </c>
      <c r="Q220" s="23" t="str">
        <f t="shared" si="212"/>
        <v/>
      </c>
      <c r="R220" s="23" t="str">
        <f t="shared" si="212"/>
        <v/>
      </c>
      <c r="S220" s="23" t="str">
        <f t="shared" si="212"/>
        <v/>
      </c>
      <c r="T220" s="23" t="str">
        <f t="shared" si="212"/>
        <v/>
      </c>
      <c r="U220" s="23" t="str">
        <f t="shared" ref="U220:AD223" si="213">IF(AND(U$4&gt;=$I220,U$4&lt;=$J220),1,"")</f>
        <v/>
      </c>
      <c r="V220" s="23" t="str">
        <f t="shared" si="213"/>
        <v/>
      </c>
      <c r="W220" s="23" t="str">
        <f t="shared" si="213"/>
        <v/>
      </c>
      <c r="X220" s="23" t="str">
        <f t="shared" si="213"/>
        <v/>
      </c>
      <c r="Y220" s="23" t="str">
        <f t="shared" si="213"/>
        <v/>
      </c>
      <c r="Z220" s="23" t="str">
        <f t="shared" si="213"/>
        <v/>
      </c>
      <c r="AA220" s="23" t="str">
        <f t="shared" si="213"/>
        <v/>
      </c>
      <c r="AB220" s="23" t="str">
        <f t="shared" si="213"/>
        <v/>
      </c>
      <c r="AC220" s="23" t="str">
        <f t="shared" si="213"/>
        <v/>
      </c>
      <c r="AD220" s="23" t="str">
        <f t="shared" si="213"/>
        <v/>
      </c>
      <c r="AE220" s="23" t="str">
        <f t="shared" ref="AE220:AN223" si="214">IF(AND(AE$4&gt;=$I220,AE$4&lt;=$J220),1,"")</f>
        <v/>
      </c>
      <c r="AF220" s="23" t="str">
        <f t="shared" si="214"/>
        <v/>
      </c>
      <c r="AG220" s="23" t="str">
        <f t="shared" si="214"/>
        <v/>
      </c>
      <c r="AH220" s="23" t="str">
        <f t="shared" si="214"/>
        <v/>
      </c>
      <c r="AI220" s="23" t="str">
        <f t="shared" si="214"/>
        <v/>
      </c>
      <c r="AJ220" s="23">
        <f t="shared" si="214"/>
        <v>1</v>
      </c>
      <c r="AK220" s="23">
        <f t="shared" si="214"/>
        <v>1</v>
      </c>
      <c r="AL220" s="23">
        <f t="shared" si="214"/>
        <v>1</v>
      </c>
      <c r="AM220" s="23">
        <f t="shared" si="214"/>
        <v>1</v>
      </c>
      <c r="AN220" s="23" t="str">
        <f t="shared" si="214"/>
        <v/>
      </c>
      <c r="AO220" s="23" t="str">
        <f t="shared" ref="AO220:AX223" si="215">IF(AND(AO$4&gt;=$I220,AO$4&lt;=$J220),1,"")</f>
        <v/>
      </c>
      <c r="AP220" s="23" t="str">
        <f t="shared" si="215"/>
        <v/>
      </c>
      <c r="AQ220" s="23" t="str">
        <f t="shared" si="215"/>
        <v/>
      </c>
      <c r="AR220" s="23" t="str">
        <f t="shared" si="215"/>
        <v/>
      </c>
      <c r="AS220" s="23" t="str">
        <f t="shared" si="215"/>
        <v/>
      </c>
      <c r="AT220" s="23" t="str">
        <f t="shared" si="215"/>
        <v/>
      </c>
      <c r="AU220" s="23" t="str">
        <f t="shared" si="215"/>
        <v/>
      </c>
      <c r="AV220" s="23" t="str">
        <f t="shared" si="215"/>
        <v/>
      </c>
      <c r="AW220" s="23" t="str">
        <f t="shared" si="215"/>
        <v/>
      </c>
      <c r="AX220" s="23" t="str">
        <f t="shared" si="215"/>
        <v/>
      </c>
      <c r="AY220" s="23" t="str">
        <f t="shared" ref="AY220:BH223" si="216">IF(AND(AY$4&gt;=$I220,AY$4&lt;=$J220),1,"")</f>
        <v/>
      </c>
      <c r="AZ220" s="23" t="str">
        <f t="shared" si="216"/>
        <v/>
      </c>
      <c r="BA220" s="23" t="str">
        <f t="shared" si="216"/>
        <v/>
      </c>
      <c r="BB220" s="23" t="str">
        <f t="shared" si="216"/>
        <v/>
      </c>
      <c r="BC220" s="23" t="str">
        <f t="shared" si="216"/>
        <v/>
      </c>
      <c r="BD220" s="23" t="str">
        <f t="shared" si="216"/>
        <v/>
      </c>
      <c r="BE220" s="23" t="str">
        <f t="shared" si="216"/>
        <v/>
      </c>
      <c r="BF220" s="23" t="str">
        <f t="shared" si="216"/>
        <v/>
      </c>
      <c r="BG220" s="23" t="str">
        <f t="shared" si="216"/>
        <v/>
      </c>
      <c r="BH220" s="23" t="str">
        <f t="shared" si="216"/>
        <v/>
      </c>
      <c r="BI220" s="23" t="str">
        <f t="shared" ref="BI220:BS223" si="217">IF(AND(BI$4&gt;=$I220,BI$4&lt;=$J220),1,"")</f>
        <v/>
      </c>
      <c r="BJ220" s="23" t="str">
        <f t="shared" si="217"/>
        <v/>
      </c>
      <c r="BK220" s="23" t="str">
        <f t="shared" si="217"/>
        <v/>
      </c>
      <c r="BL220" s="23" t="str">
        <f t="shared" si="217"/>
        <v/>
      </c>
      <c r="BM220" s="23" t="str">
        <f t="shared" si="217"/>
        <v/>
      </c>
      <c r="BN220" s="23" t="str">
        <f t="shared" si="217"/>
        <v/>
      </c>
      <c r="BO220" s="23" t="str">
        <f t="shared" si="217"/>
        <v/>
      </c>
      <c r="BP220" s="23" t="str">
        <f t="shared" si="217"/>
        <v/>
      </c>
      <c r="BQ220" s="23" t="str">
        <f t="shared" si="217"/>
        <v/>
      </c>
      <c r="BR220" s="23" t="str">
        <f t="shared" si="217"/>
        <v/>
      </c>
      <c r="BS220" s="23" t="str">
        <f t="shared" si="217"/>
        <v/>
      </c>
      <c r="BT220" s="24" t="str">
        <f>IF(IF(G220+H220-1&lt;=29,MAX(ROUND((G220+H220-1)*(29+SlipWeeks)/29,0),$I220),G220+H220-1+SlipWeeks)&gt;61,"▶ clipped","")</f>
        <v/>
      </c>
      <c r="BU220" s="29" t="s">
        <v>666</v>
      </c>
    </row>
    <row r="221" spans="1:73" ht="34" outlineLevel="1" x14ac:dyDescent="0.2">
      <c r="A221" s="6" t="s">
        <v>667</v>
      </c>
      <c r="B221" s="25" t="s">
        <v>668</v>
      </c>
      <c r="C221" s="6" t="s">
        <v>56</v>
      </c>
      <c r="D221" s="24" t="s">
        <v>128</v>
      </c>
      <c r="F221" s="6"/>
      <c r="G221" s="22">
        <v>26</v>
      </c>
      <c r="H221" s="22">
        <v>2</v>
      </c>
      <c r="I221" s="22">
        <f>MEDIAN($I$220,$J$220,$I$220+ROUND((G221-$G$220)/$H$220*($J$220-$I$220+1),0))</f>
        <v>26</v>
      </c>
      <c r="J221" s="22">
        <f>MEDIAN(I221,$J$220,$I$220+ROUND((G221+H221-$G$220)/$H$220*($J$220-$I$220+1),0)-1)</f>
        <v>27</v>
      </c>
      <c r="K221" s="23" t="str">
        <f t="shared" si="212"/>
        <v/>
      </c>
      <c r="L221" s="23" t="str">
        <f t="shared" si="212"/>
        <v/>
      </c>
      <c r="M221" s="23" t="str">
        <f t="shared" si="212"/>
        <v/>
      </c>
      <c r="N221" s="23" t="str">
        <f t="shared" si="212"/>
        <v/>
      </c>
      <c r="O221" s="23" t="str">
        <f t="shared" si="212"/>
        <v/>
      </c>
      <c r="P221" s="23" t="str">
        <f t="shared" si="212"/>
        <v/>
      </c>
      <c r="Q221" s="23" t="str">
        <f t="shared" si="212"/>
        <v/>
      </c>
      <c r="R221" s="23" t="str">
        <f t="shared" si="212"/>
        <v/>
      </c>
      <c r="S221" s="23" t="str">
        <f t="shared" si="212"/>
        <v/>
      </c>
      <c r="T221" s="23" t="str">
        <f t="shared" si="212"/>
        <v/>
      </c>
      <c r="U221" s="23" t="str">
        <f t="shared" si="213"/>
        <v/>
      </c>
      <c r="V221" s="23" t="str">
        <f t="shared" si="213"/>
        <v/>
      </c>
      <c r="W221" s="23" t="str">
        <f t="shared" si="213"/>
        <v/>
      </c>
      <c r="X221" s="23" t="str">
        <f t="shared" si="213"/>
        <v/>
      </c>
      <c r="Y221" s="23" t="str">
        <f t="shared" si="213"/>
        <v/>
      </c>
      <c r="Z221" s="23" t="str">
        <f t="shared" si="213"/>
        <v/>
      </c>
      <c r="AA221" s="23" t="str">
        <f t="shared" si="213"/>
        <v/>
      </c>
      <c r="AB221" s="23" t="str">
        <f t="shared" si="213"/>
        <v/>
      </c>
      <c r="AC221" s="23" t="str">
        <f t="shared" si="213"/>
        <v/>
      </c>
      <c r="AD221" s="23" t="str">
        <f t="shared" si="213"/>
        <v/>
      </c>
      <c r="AE221" s="23" t="str">
        <f t="shared" si="214"/>
        <v/>
      </c>
      <c r="AF221" s="23" t="str">
        <f t="shared" si="214"/>
        <v/>
      </c>
      <c r="AG221" s="23" t="str">
        <f t="shared" si="214"/>
        <v/>
      </c>
      <c r="AH221" s="23" t="str">
        <f t="shared" si="214"/>
        <v/>
      </c>
      <c r="AI221" s="23" t="str">
        <f t="shared" si="214"/>
        <v/>
      </c>
      <c r="AJ221" s="23">
        <f t="shared" si="214"/>
        <v>1</v>
      </c>
      <c r="AK221" s="23">
        <f t="shared" si="214"/>
        <v>1</v>
      </c>
      <c r="AL221" s="23" t="str">
        <f t="shared" si="214"/>
        <v/>
      </c>
      <c r="AM221" s="23" t="str">
        <f t="shared" si="214"/>
        <v/>
      </c>
      <c r="AN221" s="23" t="str">
        <f t="shared" si="214"/>
        <v/>
      </c>
      <c r="AO221" s="23" t="str">
        <f t="shared" si="215"/>
        <v/>
      </c>
      <c r="AP221" s="23" t="str">
        <f t="shared" si="215"/>
        <v/>
      </c>
      <c r="AQ221" s="23" t="str">
        <f t="shared" si="215"/>
        <v/>
      </c>
      <c r="AR221" s="23" t="str">
        <f t="shared" si="215"/>
        <v/>
      </c>
      <c r="AS221" s="23" t="str">
        <f t="shared" si="215"/>
        <v/>
      </c>
      <c r="AT221" s="23" t="str">
        <f t="shared" si="215"/>
        <v/>
      </c>
      <c r="AU221" s="23" t="str">
        <f t="shared" si="215"/>
        <v/>
      </c>
      <c r="AV221" s="23" t="str">
        <f t="shared" si="215"/>
        <v/>
      </c>
      <c r="AW221" s="23" t="str">
        <f t="shared" si="215"/>
        <v/>
      </c>
      <c r="AX221" s="23" t="str">
        <f t="shared" si="215"/>
        <v/>
      </c>
      <c r="AY221" s="23" t="str">
        <f t="shared" si="216"/>
        <v/>
      </c>
      <c r="AZ221" s="23" t="str">
        <f t="shared" si="216"/>
        <v/>
      </c>
      <c r="BA221" s="23" t="str">
        <f t="shared" si="216"/>
        <v/>
      </c>
      <c r="BB221" s="23" t="str">
        <f t="shared" si="216"/>
        <v/>
      </c>
      <c r="BC221" s="23" t="str">
        <f t="shared" si="216"/>
        <v/>
      </c>
      <c r="BD221" s="23" t="str">
        <f t="shared" si="216"/>
        <v/>
      </c>
      <c r="BE221" s="23" t="str">
        <f t="shared" si="216"/>
        <v/>
      </c>
      <c r="BF221" s="23" t="str">
        <f t="shared" si="216"/>
        <v/>
      </c>
      <c r="BG221" s="23" t="str">
        <f t="shared" si="216"/>
        <v/>
      </c>
      <c r="BH221" s="23" t="str">
        <f t="shared" si="216"/>
        <v/>
      </c>
      <c r="BI221" s="23" t="str">
        <f t="shared" si="217"/>
        <v/>
      </c>
      <c r="BJ221" s="23" t="str">
        <f t="shared" si="217"/>
        <v/>
      </c>
      <c r="BK221" s="23" t="str">
        <f t="shared" si="217"/>
        <v/>
      </c>
      <c r="BL221" s="23" t="str">
        <f t="shared" si="217"/>
        <v/>
      </c>
      <c r="BM221" s="23" t="str">
        <f t="shared" si="217"/>
        <v/>
      </c>
      <c r="BN221" s="23" t="str">
        <f t="shared" si="217"/>
        <v/>
      </c>
      <c r="BO221" s="23" t="str">
        <f t="shared" si="217"/>
        <v/>
      </c>
      <c r="BP221" s="23" t="str">
        <f t="shared" si="217"/>
        <v/>
      </c>
      <c r="BQ221" s="23" t="str">
        <f t="shared" si="217"/>
        <v/>
      </c>
      <c r="BR221" s="23" t="str">
        <f t="shared" si="217"/>
        <v/>
      </c>
      <c r="BS221" s="23" t="str">
        <f t="shared" si="217"/>
        <v/>
      </c>
      <c r="BU221" s="29" t="s">
        <v>669</v>
      </c>
    </row>
    <row r="222" spans="1:73" ht="17" outlineLevel="1" x14ac:dyDescent="0.2">
      <c r="A222" s="6" t="s">
        <v>670</v>
      </c>
      <c r="B222" s="25" t="s">
        <v>671</v>
      </c>
      <c r="C222" s="6" t="s">
        <v>56</v>
      </c>
      <c r="D222" s="24" t="s">
        <v>128</v>
      </c>
      <c r="F222" s="6" t="s">
        <v>667</v>
      </c>
      <c r="G222" s="22">
        <v>28</v>
      </c>
      <c r="H222" s="22">
        <v>1</v>
      </c>
      <c r="I222" s="22">
        <f>MEDIAN($I$220,$J$220,$I$220+ROUND((G222-$G$220)/$H$220*($J$220-$I$220+1),0))</f>
        <v>28</v>
      </c>
      <c r="J222" s="22">
        <f>MEDIAN(I222,$J$220,$I$220+ROUND((G222+H222-$G$220)/$H$220*($J$220-$I$220+1),0)-1)</f>
        <v>28</v>
      </c>
      <c r="K222" s="23" t="str">
        <f t="shared" si="212"/>
        <v/>
      </c>
      <c r="L222" s="23" t="str">
        <f t="shared" si="212"/>
        <v/>
      </c>
      <c r="M222" s="23" t="str">
        <f t="shared" si="212"/>
        <v/>
      </c>
      <c r="N222" s="23" t="str">
        <f t="shared" si="212"/>
        <v/>
      </c>
      <c r="O222" s="23" t="str">
        <f t="shared" si="212"/>
        <v/>
      </c>
      <c r="P222" s="23" t="str">
        <f t="shared" si="212"/>
        <v/>
      </c>
      <c r="Q222" s="23" t="str">
        <f t="shared" si="212"/>
        <v/>
      </c>
      <c r="R222" s="23" t="str">
        <f t="shared" si="212"/>
        <v/>
      </c>
      <c r="S222" s="23" t="str">
        <f t="shared" si="212"/>
        <v/>
      </c>
      <c r="T222" s="23" t="str">
        <f t="shared" si="212"/>
        <v/>
      </c>
      <c r="U222" s="23" t="str">
        <f t="shared" si="213"/>
        <v/>
      </c>
      <c r="V222" s="23" t="str">
        <f t="shared" si="213"/>
        <v/>
      </c>
      <c r="W222" s="23" t="str">
        <f t="shared" si="213"/>
        <v/>
      </c>
      <c r="X222" s="23" t="str">
        <f t="shared" si="213"/>
        <v/>
      </c>
      <c r="Y222" s="23" t="str">
        <f t="shared" si="213"/>
        <v/>
      </c>
      <c r="Z222" s="23" t="str">
        <f t="shared" si="213"/>
        <v/>
      </c>
      <c r="AA222" s="23" t="str">
        <f t="shared" si="213"/>
        <v/>
      </c>
      <c r="AB222" s="23" t="str">
        <f t="shared" si="213"/>
        <v/>
      </c>
      <c r="AC222" s="23" t="str">
        <f t="shared" si="213"/>
        <v/>
      </c>
      <c r="AD222" s="23" t="str">
        <f t="shared" si="213"/>
        <v/>
      </c>
      <c r="AE222" s="23" t="str">
        <f t="shared" si="214"/>
        <v/>
      </c>
      <c r="AF222" s="23" t="str">
        <f t="shared" si="214"/>
        <v/>
      </c>
      <c r="AG222" s="23" t="str">
        <f t="shared" si="214"/>
        <v/>
      </c>
      <c r="AH222" s="23" t="str">
        <f t="shared" si="214"/>
        <v/>
      </c>
      <c r="AI222" s="23" t="str">
        <f t="shared" si="214"/>
        <v/>
      </c>
      <c r="AJ222" s="23" t="str">
        <f t="shared" si="214"/>
        <v/>
      </c>
      <c r="AK222" s="23" t="str">
        <f t="shared" si="214"/>
        <v/>
      </c>
      <c r="AL222" s="23">
        <f t="shared" si="214"/>
        <v>1</v>
      </c>
      <c r="AM222" s="23" t="str">
        <f t="shared" si="214"/>
        <v/>
      </c>
      <c r="AN222" s="23" t="str">
        <f t="shared" si="214"/>
        <v/>
      </c>
      <c r="AO222" s="23" t="str">
        <f t="shared" si="215"/>
        <v/>
      </c>
      <c r="AP222" s="23" t="str">
        <f t="shared" si="215"/>
        <v/>
      </c>
      <c r="AQ222" s="23" t="str">
        <f t="shared" si="215"/>
        <v/>
      </c>
      <c r="AR222" s="23" t="str">
        <f t="shared" si="215"/>
        <v/>
      </c>
      <c r="AS222" s="23" t="str">
        <f t="shared" si="215"/>
        <v/>
      </c>
      <c r="AT222" s="23" t="str">
        <f t="shared" si="215"/>
        <v/>
      </c>
      <c r="AU222" s="23" t="str">
        <f t="shared" si="215"/>
        <v/>
      </c>
      <c r="AV222" s="23" t="str">
        <f t="shared" si="215"/>
        <v/>
      </c>
      <c r="AW222" s="23" t="str">
        <f t="shared" si="215"/>
        <v/>
      </c>
      <c r="AX222" s="23" t="str">
        <f t="shared" si="215"/>
        <v/>
      </c>
      <c r="AY222" s="23" t="str">
        <f t="shared" si="216"/>
        <v/>
      </c>
      <c r="AZ222" s="23" t="str">
        <f t="shared" si="216"/>
        <v/>
      </c>
      <c r="BA222" s="23" t="str">
        <f t="shared" si="216"/>
        <v/>
      </c>
      <c r="BB222" s="23" t="str">
        <f t="shared" si="216"/>
        <v/>
      </c>
      <c r="BC222" s="23" t="str">
        <f t="shared" si="216"/>
        <v/>
      </c>
      <c r="BD222" s="23" t="str">
        <f t="shared" si="216"/>
        <v/>
      </c>
      <c r="BE222" s="23" t="str">
        <f t="shared" si="216"/>
        <v/>
      </c>
      <c r="BF222" s="23" t="str">
        <f t="shared" si="216"/>
        <v/>
      </c>
      <c r="BG222" s="23" t="str">
        <f t="shared" si="216"/>
        <v/>
      </c>
      <c r="BH222" s="23" t="str">
        <f t="shared" si="216"/>
        <v/>
      </c>
      <c r="BI222" s="23" t="str">
        <f t="shared" si="217"/>
        <v/>
      </c>
      <c r="BJ222" s="23" t="str">
        <f t="shared" si="217"/>
        <v/>
      </c>
      <c r="BK222" s="23" t="str">
        <f t="shared" si="217"/>
        <v/>
      </c>
      <c r="BL222" s="23" t="str">
        <f t="shared" si="217"/>
        <v/>
      </c>
      <c r="BM222" s="23" t="str">
        <f t="shared" si="217"/>
        <v/>
      </c>
      <c r="BN222" s="23" t="str">
        <f t="shared" si="217"/>
        <v/>
      </c>
      <c r="BO222" s="23" t="str">
        <f t="shared" si="217"/>
        <v/>
      </c>
      <c r="BP222" s="23" t="str">
        <f t="shared" si="217"/>
        <v/>
      </c>
      <c r="BQ222" s="23" t="str">
        <f t="shared" si="217"/>
        <v/>
      </c>
      <c r="BR222" s="23" t="str">
        <f t="shared" si="217"/>
        <v/>
      </c>
      <c r="BS222" s="23" t="str">
        <f t="shared" si="217"/>
        <v/>
      </c>
      <c r="BU222" s="29" t="s">
        <v>672</v>
      </c>
    </row>
    <row r="223" spans="1:73" ht="17" outlineLevel="1" x14ac:dyDescent="0.2">
      <c r="A223" s="6" t="s">
        <v>673</v>
      </c>
      <c r="B223" s="25" t="s">
        <v>674</v>
      </c>
      <c r="C223" s="6" t="s">
        <v>56</v>
      </c>
      <c r="D223" s="24" t="s">
        <v>128</v>
      </c>
      <c r="F223" s="6" t="s">
        <v>670</v>
      </c>
      <c r="G223" s="22">
        <v>29</v>
      </c>
      <c r="H223" s="22">
        <v>1</v>
      </c>
      <c r="I223" s="22">
        <f>MEDIAN($I$220,$J$220,$I$220+ROUND((G223-$G$220)/$H$220*($J$220-$I$220+1),0))</f>
        <v>29</v>
      </c>
      <c r="J223" s="22">
        <f>MEDIAN(I223,$J$220,$I$220+ROUND((G223+H223-$G$220)/$H$220*($J$220-$I$220+1),0)-1)</f>
        <v>29</v>
      </c>
      <c r="K223" s="23" t="str">
        <f t="shared" si="212"/>
        <v/>
      </c>
      <c r="L223" s="23" t="str">
        <f t="shared" si="212"/>
        <v/>
      </c>
      <c r="M223" s="23" t="str">
        <f t="shared" si="212"/>
        <v/>
      </c>
      <c r="N223" s="23" t="str">
        <f t="shared" si="212"/>
        <v/>
      </c>
      <c r="O223" s="23" t="str">
        <f t="shared" si="212"/>
        <v/>
      </c>
      <c r="P223" s="23" t="str">
        <f t="shared" si="212"/>
        <v/>
      </c>
      <c r="Q223" s="23" t="str">
        <f t="shared" si="212"/>
        <v/>
      </c>
      <c r="R223" s="23" t="str">
        <f t="shared" si="212"/>
        <v/>
      </c>
      <c r="S223" s="23" t="str">
        <f t="shared" si="212"/>
        <v/>
      </c>
      <c r="T223" s="23" t="str">
        <f t="shared" si="212"/>
        <v/>
      </c>
      <c r="U223" s="23" t="str">
        <f t="shared" si="213"/>
        <v/>
      </c>
      <c r="V223" s="23" t="str">
        <f t="shared" si="213"/>
        <v/>
      </c>
      <c r="W223" s="23" t="str">
        <f t="shared" si="213"/>
        <v/>
      </c>
      <c r="X223" s="23" t="str">
        <f t="shared" si="213"/>
        <v/>
      </c>
      <c r="Y223" s="23" t="str">
        <f t="shared" si="213"/>
        <v/>
      </c>
      <c r="Z223" s="23" t="str">
        <f t="shared" si="213"/>
        <v/>
      </c>
      <c r="AA223" s="23" t="str">
        <f t="shared" si="213"/>
        <v/>
      </c>
      <c r="AB223" s="23" t="str">
        <f t="shared" si="213"/>
        <v/>
      </c>
      <c r="AC223" s="23" t="str">
        <f t="shared" si="213"/>
        <v/>
      </c>
      <c r="AD223" s="23" t="str">
        <f t="shared" si="213"/>
        <v/>
      </c>
      <c r="AE223" s="23" t="str">
        <f t="shared" si="214"/>
        <v/>
      </c>
      <c r="AF223" s="23" t="str">
        <f t="shared" si="214"/>
        <v/>
      </c>
      <c r="AG223" s="23" t="str">
        <f t="shared" si="214"/>
        <v/>
      </c>
      <c r="AH223" s="23" t="str">
        <f t="shared" si="214"/>
        <v/>
      </c>
      <c r="AI223" s="23" t="str">
        <f t="shared" si="214"/>
        <v/>
      </c>
      <c r="AJ223" s="23" t="str">
        <f t="shared" si="214"/>
        <v/>
      </c>
      <c r="AK223" s="23" t="str">
        <f t="shared" si="214"/>
        <v/>
      </c>
      <c r="AL223" s="23" t="str">
        <f t="shared" si="214"/>
        <v/>
      </c>
      <c r="AM223" s="23">
        <f t="shared" si="214"/>
        <v>1</v>
      </c>
      <c r="AN223" s="23" t="str">
        <f t="shared" si="214"/>
        <v/>
      </c>
      <c r="AO223" s="23" t="str">
        <f t="shared" si="215"/>
        <v/>
      </c>
      <c r="AP223" s="23" t="str">
        <f t="shared" si="215"/>
        <v/>
      </c>
      <c r="AQ223" s="23" t="str">
        <f t="shared" si="215"/>
        <v/>
      </c>
      <c r="AR223" s="23" t="str">
        <f t="shared" si="215"/>
        <v/>
      </c>
      <c r="AS223" s="23" t="str">
        <f t="shared" si="215"/>
        <v/>
      </c>
      <c r="AT223" s="23" t="str">
        <f t="shared" si="215"/>
        <v/>
      </c>
      <c r="AU223" s="23" t="str">
        <f t="shared" si="215"/>
        <v/>
      </c>
      <c r="AV223" s="23" t="str">
        <f t="shared" si="215"/>
        <v/>
      </c>
      <c r="AW223" s="23" t="str">
        <f t="shared" si="215"/>
        <v/>
      </c>
      <c r="AX223" s="23" t="str">
        <f t="shared" si="215"/>
        <v/>
      </c>
      <c r="AY223" s="23" t="str">
        <f t="shared" si="216"/>
        <v/>
      </c>
      <c r="AZ223" s="23" t="str">
        <f t="shared" si="216"/>
        <v/>
      </c>
      <c r="BA223" s="23" t="str">
        <f t="shared" si="216"/>
        <v/>
      </c>
      <c r="BB223" s="23" t="str">
        <f t="shared" si="216"/>
        <v/>
      </c>
      <c r="BC223" s="23" t="str">
        <f t="shared" si="216"/>
        <v/>
      </c>
      <c r="BD223" s="23" t="str">
        <f t="shared" si="216"/>
        <v/>
      </c>
      <c r="BE223" s="23" t="str">
        <f t="shared" si="216"/>
        <v/>
      </c>
      <c r="BF223" s="23" t="str">
        <f t="shared" si="216"/>
        <v/>
      </c>
      <c r="BG223" s="23" t="str">
        <f t="shared" si="216"/>
        <v/>
      </c>
      <c r="BH223" s="23" t="str">
        <f t="shared" si="216"/>
        <v/>
      </c>
      <c r="BI223" s="23" t="str">
        <f t="shared" si="217"/>
        <v/>
      </c>
      <c r="BJ223" s="23" t="str">
        <f t="shared" si="217"/>
        <v/>
      </c>
      <c r="BK223" s="23" t="str">
        <f t="shared" si="217"/>
        <v/>
      </c>
      <c r="BL223" s="23" t="str">
        <f t="shared" si="217"/>
        <v/>
      </c>
      <c r="BM223" s="23" t="str">
        <f t="shared" si="217"/>
        <v/>
      </c>
      <c r="BN223" s="23" t="str">
        <f t="shared" si="217"/>
        <v/>
      </c>
      <c r="BO223" s="23" t="str">
        <f t="shared" si="217"/>
        <v/>
      </c>
      <c r="BP223" s="23" t="str">
        <f t="shared" si="217"/>
        <v/>
      </c>
      <c r="BQ223" s="23" t="str">
        <f t="shared" si="217"/>
        <v/>
      </c>
      <c r="BR223" s="23" t="str">
        <f t="shared" si="217"/>
        <v/>
      </c>
      <c r="BS223" s="23" t="str">
        <f t="shared" si="217"/>
        <v/>
      </c>
      <c r="BU223" s="29" t="s">
        <v>675</v>
      </c>
    </row>
    <row r="224" spans="1:73" x14ac:dyDescent="0.2">
      <c r="BU224" s="30"/>
    </row>
    <row r="225" spans="1:73" ht="17" x14ac:dyDescent="0.2">
      <c r="A225" s="19" t="s">
        <v>676</v>
      </c>
      <c r="B225" s="20" t="s">
        <v>677</v>
      </c>
      <c r="C225" s="19" t="s">
        <v>55</v>
      </c>
      <c r="D225" s="21" t="s">
        <v>117</v>
      </c>
      <c r="E225" s="19" t="s">
        <v>83</v>
      </c>
      <c r="F225" s="19" t="s">
        <v>606</v>
      </c>
      <c r="G225" s="22">
        <v>30</v>
      </c>
      <c r="H225" s="22">
        <v>6</v>
      </c>
      <c r="I225" s="22">
        <f>MIN(61,IF(G225&lt;=29,ROUND((G225-1)*(29+SlipWeeks)/29,0)+1,G225+SlipWeeks))</f>
        <v>30</v>
      </c>
      <c r="J225" s="22">
        <f>MIN(61,IF(G225+H225-1&lt;=29,MAX(ROUND((G225+H225-1)*(29+SlipWeeks)/29,0),I225),G225+H225-1+SlipWeeks))</f>
        <v>35</v>
      </c>
      <c r="K225" s="23" t="str">
        <f t="shared" ref="K225:T228" si="218">IF(AND(K$4&gt;=$I225,K$4&lt;=$J225),1,"")</f>
        <v/>
      </c>
      <c r="L225" s="23" t="str">
        <f t="shared" si="218"/>
        <v/>
      </c>
      <c r="M225" s="23" t="str">
        <f t="shared" si="218"/>
        <v/>
      </c>
      <c r="N225" s="23" t="str">
        <f t="shared" si="218"/>
        <v/>
      </c>
      <c r="O225" s="23" t="str">
        <f t="shared" si="218"/>
        <v/>
      </c>
      <c r="P225" s="23" t="str">
        <f t="shared" si="218"/>
        <v/>
      </c>
      <c r="Q225" s="23" t="str">
        <f t="shared" si="218"/>
        <v/>
      </c>
      <c r="R225" s="23" t="str">
        <f t="shared" si="218"/>
        <v/>
      </c>
      <c r="S225" s="23" t="str">
        <f t="shared" si="218"/>
        <v/>
      </c>
      <c r="T225" s="23" t="str">
        <f t="shared" si="218"/>
        <v/>
      </c>
      <c r="U225" s="23" t="str">
        <f t="shared" ref="U225:AD228" si="219">IF(AND(U$4&gt;=$I225,U$4&lt;=$J225),1,"")</f>
        <v/>
      </c>
      <c r="V225" s="23" t="str">
        <f t="shared" si="219"/>
        <v/>
      </c>
      <c r="W225" s="23" t="str">
        <f t="shared" si="219"/>
        <v/>
      </c>
      <c r="X225" s="23" t="str">
        <f t="shared" si="219"/>
        <v/>
      </c>
      <c r="Y225" s="23" t="str">
        <f t="shared" si="219"/>
        <v/>
      </c>
      <c r="Z225" s="23" t="str">
        <f t="shared" si="219"/>
        <v/>
      </c>
      <c r="AA225" s="23" t="str">
        <f t="shared" si="219"/>
        <v/>
      </c>
      <c r="AB225" s="23" t="str">
        <f t="shared" si="219"/>
        <v/>
      </c>
      <c r="AC225" s="23" t="str">
        <f t="shared" si="219"/>
        <v/>
      </c>
      <c r="AD225" s="23" t="str">
        <f t="shared" si="219"/>
        <v/>
      </c>
      <c r="AE225" s="23" t="str">
        <f t="shared" ref="AE225:AN228" si="220">IF(AND(AE$4&gt;=$I225,AE$4&lt;=$J225),1,"")</f>
        <v/>
      </c>
      <c r="AF225" s="23" t="str">
        <f t="shared" si="220"/>
        <v/>
      </c>
      <c r="AG225" s="23" t="str">
        <f t="shared" si="220"/>
        <v/>
      </c>
      <c r="AH225" s="23" t="str">
        <f t="shared" si="220"/>
        <v/>
      </c>
      <c r="AI225" s="23" t="str">
        <f t="shared" si="220"/>
        <v/>
      </c>
      <c r="AJ225" s="23" t="str">
        <f t="shared" si="220"/>
        <v/>
      </c>
      <c r="AK225" s="23" t="str">
        <f t="shared" si="220"/>
        <v/>
      </c>
      <c r="AL225" s="23" t="str">
        <f t="shared" si="220"/>
        <v/>
      </c>
      <c r="AM225" s="23" t="str">
        <f t="shared" si="220"/>
        <v/>
      </c>
      <c r="AN225" s="23">
        <f t="shared" si="220"/>
        <v>1</v>
      </c>
      <c r="AO225" s="23">
        <f t="shared" ref="AO225:AX228" si="221">IF(AND(AO$4&gt;=$I225,AO$4&lt;=$J225),1,"")</f>
        <v>1</v>
      </c>
      <c r="AP225" s="23">
        <f t="shared" si="221"/>
        <v>1</v>
      </c>
      <c r="AQ225" s="23">
        <f t="shared" si="221"/>
        <v>1</v>
      </c>
      <c r="AR225" s="23">
        <f t="shared" si="221"/>
        <v>1</v>
      </c>
      <c r="AS225" s="23">
        <f t="shared" si="221"/>
        <v>1</v>
      </c>
      <c r="AT225" s="23" t="str">
        <f t="shared" si="221"/>
        <v/>
      </c>
      <c r="AU225" s="23" t="str">
        <f t="shared" si="221"/>
        <v/>
      </c>
      <c r="AV225" s="23" t="str">
        <f t="shared" si="221"/>
        <v/>
      </c>
      <c r="AW225" s="23" t="str">
        <f t="shared" si="221"/>
        <v/>
      </c>
      <c r="AX225" s="23" t="str">
        <f t="shared" si="221"/>
        <v/>
      </c>
      <c r="AY225" s="23" t="str">
        <f t="shared" ref="AY225:BH228" si="222">IF(AND(AY$4&gt;=$I225,AY$4&lt;=$J225),1,"")</f>
        <v/>
      </c>
      <c r="AZ225" s="23" t="str">
        <f t="shared" si="222"/>
        <v/>
      </c>
      <c r="BA225" s="23" t="str">
        <f t="shared" si="222"/>
        <v/>
      </c>
      <c r="BB225" s="23" t="str">
        <f t="shared" si="222"/>
        <v/>
      </c>
      <c r="BC225" s="23" t="str">
        <f t="shared" si="222"/>
        <v/>
      </c>
      <c r="BD225" s="23" t="str">
        <f t="shared" si="222"/>
        <v/>
      </c>
      <c r="BE225" s="23" t="str">
        <f t="shared" si="222"/>
        <v/>
      </c>
      <c r="BF225" s="23" t="str">
        <f t="shared" si="222"/>
        <v/>
      </c>
      <c r="BG225" s="23" t="str">
        <f t="shared" si="222"/>
        <v/>
      </c>
      <c r="BH225" s="23" t="str">
        <f t="shared" si="222"/>
        <v/>
      </c>
      <c r="BI225" s="23" t="str">
        <f t="shared" ref="BI225:BS228" si="223">IF(AND(BI$4&gt;=$I225,BI$4&lt;=$J225),1,"")</f>
        <v/>
      </c>
      <c r="BJ225" s="23" t="str">
        <f t="shared" si="223"/>
        <v/>
      </c>
      <c r="BK225" s="23" t="str">
        <f t="shared" si="223"/>
        <v/>
      </c>
      <c r="BL225" s="23" t="str">
        <f t="shared" si="223"/>
        <v/>
      </c>
      <c r="BM225" s="23" t="str">
        <f t="shared" si="223"/>
        <v/>
      </c>
      <c r="BN225" s="23" t="str">
        <f t="shared" si="223"/>
        <v/>
      </c>
      <c r="BO225" s="23" t="str">
        <f t="shared" si="223"/>
        <v/>
      </c>
      <c r="BP225" s="23" t="str">
        <f t="shared" si="223"/>
        <v/>
      </c>
      <c r="BQ225" s="23" t="str">
        <f t="shared" si="223"/>
        <v/>
      </c>
      <c r="BR225" s="23" t="str">
        <f t="shared" si="223"/>
        <v/>
      </c>
      <c r="BS225" s="23" t="str">
        <f t="shared" si="223"/>
        <v/>
      </c>
      <c r="BT225" s="24" t="str">
        <f>IF(IF(G225+H225-1&lt;=29,MAX(ROUND((G225+H225-1)*(29+SlipWeeks)/29,0),$I225),G225+H225-1+SlipWeeks)&gt;61,"▶ clipped","")</f>
        <v/>
      </c>
      <c r="BU225" s="29" t="s">
        <v>678</v>
      </c>
    </row>
    <row r="226" spans="1:73" ht="34" outlineLevel="1" x14ac:dyDescent="0.2">
      <c r="A226" s="6" t="s">
        <v>679</v>
      </c>
      <c r="B226" s="25" t="s">
        <v>680</v>
      </c>
      <c r="C226" s="6" t="s">
        <v>55</v>
      </c>
      <c r="D226" s="24" t="s">
        <v>128</v>
      </c>
      <c r="F226" s="6"/>
      <c r="G226" s="22">
        <v>30</v>
      </c>
      <c r="H226" s="22">
        <v>2</v>
      </c>
      <c r="I226" s="22">
        <f>MEDIAN($I$225,$J$225,$I$225+ROUND((G226-$G$225)/$H$225*($J$225-$I$225+1),0))</f>
        <v>30</v>
      </c>
      <c r="J226" s="22">
        <f>MEDIAN(I226,$J$225,$I$225+ROUND((G226+H226-$G$225)/$H$225*($J$225-$I$225+1),0)-1)</f>
        <v>31</v>
      </c>
      <c r="K226" s="23" t="str">
        <f t="shared" si="218"/>
        <v/>
      </c>
      <c r="L226" s="23" t="str">
        <f t="shared" si="218"/>
        <v/>
      </c>
      <c r="M226" s="23" t="str">
        <f t="shared" si="218"/>
        <v/>
      </c>
      <c r="N226" s="23" t="str">
        <f t="shared" si="218"/>
        <v/>
      </c>
      <c r="O226" s="23" t="str">
        <f t="shared" si="218"/>
        <v/>
      </c>
      <c r="P226" s="23" t="str">
        <f t="shared" si="218"/>
        <v/>
      </c>
      <c r="Q226" s="23" t="str">
        <f t="shared" si="218"/>
        <v/>
      </c>
      <c r="R226" s="23" t="str">
        <f t="shared" si="218"/>
        <v/>
      </c>
      <c r="S226" s="23" t="str">
        <f t="shared" si="218"/>
        <v/>
      </c>
      <c r="T226" s="23" t="str">
        <f t="shared" si="218"/>
        <v/>
      </c>
      <c r="U226" s="23" t="str">
        <f t="shared" si="219"/>
        <v/>
      </c>
      <c r="V226" s="23" t="str">
        <f t="shared" si="219"/>
        <v/>
      </c>
      <c r="W226" s="23" t="str">
        <f t="shared" si="219"/>
        <v/>
      </c>
      <c r="X226" s="23" t="str">
        <f t="shared" si="219"/>
        <v/>
      </c>
      <c r="Y226" s="23" t="str">
        <f t="shared" si="219"/>
        <v/>
      </c>
      <c r="Z226" s="23" t="str">
        <f t="shared" si="219"/>
        <v/>
      </c>
      <c r="AA226" s="23" t="str">
        <f t="shared" si="219"/>
        <v/>
      </c>
      <c r="AB226" s="23" t="str">
        <f t="shared" si="219"/>
        <v/>
      </c>
      <c r="AC226" s="23" t="str">
        <f t="shared" si="219"/>
        <v/>
      </c>
      <c r="AD226" s="23" t="str">
        <f t="shared" si="219"/>
        <v/>
      </c>
      <c r="AE226" s="23" t="str">
        <f t="shared" si="220"/>
        <v/>
      </c>
      <c r="AF226" s="23" t="str">
        <f t="shared" si="220"/>
        <v/>
      </c>
      <c r="AG226" s="23" t="str">
        <f t="shared" si="220"/>
        <v/>
      </c>
      <c r="AH226" s="23" t="str">
        <f t="shared" si="220"/>
        <v/>
      </c>
      <c r="AI226" s="23" t="str">
        <f t="shared" si="220"/>
        <v/>
      </c>
      <c r="AJ226" s="23" t="str">
        <f t="shared" si="220"/>
        <v/>
      </c>
      <c r="AK226" s="23" t="str">
        <f t="shared" si="220"/>
        <v/>
      </c>
      <c r="AL226" s="23" t="str">
        <f t="shared" si="220"/>
        <v/>
      </c>
      <c r="AM226" s="23" t="str">
        <f t="shared" si="220"/>
        <v/>
      </c>
      <c r="AN226" s="23">
        <f t="shared" si="220"/>
        <v>1</v>
      </c>
      <c r="AO226" s="23">
        <f t="shared" si="221"/>
        <v>1</v>
      </c>
      <c r="AP226" s="23" t="str">
        <f t="shared" si="221"/>
        <v/>
      </c>
      <c r="AQ226" s="23" t="str">
        <f t="shared" si="221"/>
        <v/>
      </c>
      <c r="AR226" s="23" t="str">
        <f t="shared" si="221"/>
        <v/>
      </c>
      <c r="AS226" s="23" t="str">
        <f t="shared" si="221"/>
        <v/>
      </c>
      <c r="AT226" s="23" t="str">
        <f t="shared" si="221"/>
        <v/>
      </c>
      <c r="AU226" s="23" t="str">
        <f t="shared" si="221"/>
        <v/>
      </c>
      <c r="AV226" s="23" t="str">
        <f t="shared" si="221"/>
        <v/>
      </c>
      <c r="AW226" s="23" t="str">
        <f t="shared" si="221"/>
        <v/>
      </c>
      <c r="AX226" s="23" t="str">
        <f t="shared" si="221"/>
        <v/>
      </c>
      <c r="AY226" s="23" t="str">
        <f t="shared" si="222"/>
        <v/>
      </c>
      <c r="AZ226" s="23" t="str">
        <f t="shared" si="222"/>
        <v/>
      </c>
      <c r="BA226" s="23" t="str">
        <f t="shared" si="222"/>
        <v/>
      </c>
      <c r="BB226" s="23" t="str">
        <f t="shared" si="222"/>
        <v/>
      </c>
      <c r="BC226" s="23" t="str">
        <f t="shared" si="222"/>
        <v/>
      </c>
      <c r="BD226" s="23" t="str">
        <f t="shared" si="222"/>
        <v/>
      </c>
      <c r="BE226" s="23" t="str">
        <f t="shared" si="222"/>
        <v/>
      </c>
      <c r="BF226" s="23" t="str">
        <f t="shared" si="222"/>
        <v/>
      </c>
      <c r="BG226" s="23" t="str">
        <f t="shared" si="222"/>
        <v/>
      </c>
      <c r="BH226" s="23" t="str">
        <f t="shared" si="222"/>
        <v/>
      </c>
      <c r="BI226" s="23" t="str">
        <f t="shared" si="223"/>
        <v/>
      </c>
      <c r="BJ226" s="23" t="str">
        <f t="shared" si="223"/>
        <v/>
      </c>
      <c r="BK226" s="23" t="str">
        <f t="shared" si="223"/>
        <v/>
      </c>
      <c r="BL226" s="23" t="str">
        <f t="shared" si="223"/>
        <v/>
      </c>
      <c r="BM226" s="23" t="str">
        <f t="shared" si="223"/>
        <v/>
      </c>
      <c r="BN226" s="23" t="str">
        <f t="shared" si="223"/>
        <v/>
      </c>
      <c r="BO226" s="23" t="str">
        <f t="shared" si="223"/>
        <v/>
      </c>
      <c r="BP226" s="23" t="str">
        <f t="shared" si="223"/>
        <v/>
      </c>
      <c r="BQ226" s="23" t="str">
        <f t="shared" si="223"/>
        <v/>
      </c>
      <c r="BR226" s="23" t="str">
        <f t="shared" si="223"/>
        <v/>
      </c>
      <c r="BS226" s="23" t="str">
        <f t="shared" si="223"/>
        <v/>
      </c>
      <c r="BU226" s="29" t="s">
        <v>681</v>
      </c>
    </row>
    <row r="227" spans="1:73" ht="17" outlineLevel="1" x14ac:dyDescent="0.2">
      <c r="A227" s="6" t="s">
        <v>682</v>
      </c>
      <c r="B227" s="25" t="s">
        <v>683</v>
      </c>
      <c r="C227" s="6" t="s">
        <v>55</v>
      </c>
      <c r="D227" s="24" t="s">
        <v>128</v>
      </c>
      <c r="F227" s="6" t="s">
        <v>679</v>
      </c>
      <c r="G227" s="22">
        <v>32</v>
      </c>
      <c r="H227" s="22">
        <v>2</v>
      </c>
      <c r="I227" s="22">
        <f>MEDIAN($I$225,$J$225,$I$225+ROUND((G227-$G$225)/$H$225*($J$225-$I$225+1),0))</f>
        <v>32</v>
      </c>
      <c r="J227" s="22">
        <f>MEDIAN(I227,$J$225,$I$225+ROUND((G227+H227-$G$225)/$H$225*($J$225-$I$225+1),0)-1)</f>
        <v>33</v>
      </c>
      <c r="K227" s="23" t="str">
        <f t="shared" si="218"/>
        <v/>
      </c>
      <c r="L227" s="23" t="str">
        <f t="shared" si="218"/>
        <v/>
      </c>
      <c r="M227" s="23" t="str">
        <f t="shared" si="218"/>
        <v/>
      </c>
      <c r="N227" s="23" t="str">
        <f t="shared" si="218"/>
        <v/>
      </c>
      <c r="O227" s="23" t="str">
        <f t="shared" si="218"/>
        <v/>
      </c>
      <c r="P227" s="23" t="str">
        <f t="shared" si="218"/>
        <v/>
      </c>
      <c r="Q227" s="23" t="str">
        <f t="shared" si="218"/>
        <v/>
      </c>
      <c r="R227" s="23" t="str">
        <f t="shared" si="218"/>
        <v/>
      </c>
      <c r="S227" s="23" t="str">
        <f t="shared" si="218"/>
        <v/>
      </c>
      <c r="T227" s="23" t="str">
        <f t="shared" si="218"/>
        <v/>
      </c>
      <c r="U227" s="23" t="str">
        <f t="shared" si="219"/>
        <v/>
      </c>
      <c r="V227" s="23" t="str">
        <f t="shared" si="219"/>
        <v/>
      </c>
      <c r="W227" s="23" t="str">
        <f t="shared" si="219"/>
        <v/>
      </c>
      <c r="X227" s="23" t="str">
        <f t="shared" si="219"/>
        <v/>
      </c>
      <c r="Y227" s="23" t="str">
        <f t="shared" si="219"/>
        <v/>
      </c>
      <c r="Z227" s="23" t="str">
        <f t="shared" si="219"/>
        <v/>
      </c>
      <c r="AA227" s="23" t="str">
        <f t="shared" si="219"/>
        <v/>
      </c>
      <c r="AB227" s="23" t="str">
        <f t="shared" si="219"/>
        <v/>
      </c>
      <c r="AC227" s="23" t="str">
        <f t="shared" si="219"/>
        <v/>
      </c>
      <c r="AD227" s="23" t="str">
        <f t="shared" si="219"/>
        <v/>
      </c>
      <c r="AE227" s="23" t="str">
        <f t="shared" si="220"/>
        <v/>
      </c>
      <c r="AF227" s="23" t="str">
        <f t="shared" si="220"/>
        <v/>
      </c>
      <c r="AG227" s="23" t="str">
        <f t="shared" si="220"/>
        <v/>
      </c>
      <c r="AH227" s="23" t="str">
        <f t="shared" si="220"/>
        <v/>
      </c>
      <c r="AI227" s="23" t="str">
        <f t="shared" si="220"/>
        <v/>
      </c>
      <c r="AJ227" s="23" t="str">
        <f t="shared" si="220"/>
        <v/>
      </c>
      <c r="AK227" s="23" t="str">
        <f t="shared" si="220"/>
        <v/>
      </c>
      <c r="AL227" s="23" t="str">
        <f t="shared" si="220"/>
        <v/>
      </c>
      <c r="AM227" s="23" t="str">
        <f t="shared" si="220"/>
        <v/>
      </c>
      <c r="AN227" s="23" t="str">
        <f t="shared" si="220"/>
        <v/>
      </c>
      <c r="AO227" s="23" t="str">
        <f t="shared" si="221"/>
        <v/>
      </c>
      <c r="AP227" s="23">
        <f t="shared" si="221"/>
        <v>1</v>
      </c>
      <c r="AQ227" s="23">
        <f t="shared" si="221"/>
        <v>1</v>
      </c>
      <c r="AR227" s="23" t="str">
        <f t="shared" si="221"/>
        <v/>
      </c>
      <c r="AS227" s="23" t="str">
        <f t="shared" si="221"/>
        <v/>
      </c>
      <c r="AT227" s="23" t="str">
        <f t="shared" si="221"/>
        <v/>
      </c>
      <c r="AU227" s="23" t="str">
        <f t="shared" si="221"/>
        <v/>
      </c>
      <c r="AV227" s="23" t="str">
        <f t="shared" si="221"/>
        <v/>
      </c>
      <c r="AW227" s="23" t="str">
        <f t="shared" si="221"/>
        <v/>
      </c>
      <c r="AX227" s="23" t="str">
        <f t="shared" si="221"/>
        <v/>
      </c>
      <c r="AY227" s="23" t="str">
        <f t="shared" si="222"/>
        <v/>
      </c>
      <c r="AZ227" s="23" t="str">
        <f t="shared" si="222"/>
        <v/>
      </c>
      <c r="BA227" s="23" t="str">
        <f t="shared" si="222"/>
        <v/>
      </c>
      <c r="BB227" s="23" t="str">
        <f t="shared" si="222"/>
        <v/>
      </c>
      <c r="BC227" s="23" t="str">
        <f t="shared" si="222"/>
        <v/>
      </c>
      <c r="BD227" s="23" t="str">
        <f t="shared" si="222"/>
        <v/>
      </c>
      <c r="BE227" s="23" t="str">
        <f t="shared" si="222"/>
        <v/>
      </c>
      <c r="BF227" s="23" t="str">
        <f t="shared" si="222"/>
        <v/>
      </c>
      <c r="BG227" s="23" t="str">
        <f t="shared" si="222"/>
        <v/>
      </c>
      <c r="BH227" s="23" t="str">
        <f t="shared" si="222"/>
        <v/>
      </c>
      <c r="BI227" s="23" t="str">
        <f t="shared" si="223"/>
        <v/>
      </c>
      <c r="BJ227" s="23" t="str">
        <f t="shared" si="223"/>
        <v/>
      </c>
      <c r="BK227" s="23" t="str">
        <f t="shared" si="223"/>
        <v/>
      </c>
      <c r="BL227" s="23" t="str">
        <f t="shared" si="223"/>
        <v/>
      </c>
      <c r="BM227" s="23" t="str">
        <f t="shared" si="223"/>
        <v/>
      </c>
      <c r="BN227" s="23" t="str">
        <f t="shared" si="223"/>
        <v/>
      </c>
      <c r="BO227" s="23" t="str">
        <f t="shared" si="223"/>
        <v/>
      </c>
      <c r="BP227" s="23" t="str">
        <f t="shared" si="223"/>
        <v/>
      </c>
      <c r="BQ227" s="23" t="str">
        <f t="shared" si="223"/>
        <v/>
      </c>
      <c r="BR227" s="23" t="str">
        <f t="shared" si="223"/>
        <v/>
      </c>
      <c r="BS227" s="23" t="str">
        <f t="shared" si="223"/>
        <v/>
      </c>
      <c r="BU227" s="29" t="s">
        <v>684</v>
      </c>
    </row>
    <row r="228" spans="1:73" ht="34" outlineLevel="1" x14ac:dyDescent="0.2">
      <c r="A228" s="6" t="s">
        <v>685</v>
      </c>
      <c r="B228" s="25" t="s">
        <v>686</v>
      </c>
      <c r="C228" s="6" t="s">
        <v>55</v>
      </c>
      <c r="D228" s="24" t="s">
        <v>128</v>
      </c>
      <c r="F228" s="6" t="s">
        <v>682</v>
      </c>
      <c r="G228" s="22">
        <v>34</v>
      </c>
      <c r="H228" s="22">
        <v>2</v>
      </c>
      <c r="I228" s="22">
        <f>MEDIAN($I$225,$J$225,$I$225+ROUND((G228-$G$225)/$H$225*($J$225-$I$225+1),0))</f>
        <v>34</v>
      </c>
      <c r="J228" s="22">
        <f>MEDIAN(I228,$J$225,$I$225+ROUND((G228+H228-$G$225)/$H$225*($J$225-$I$225+1),0)-1)</f>
        <v>35</v>
      </c>
      <c r="K228" s="23" t="str">
        <f t="shared" si="218"/>
        <v/>
      </c>
      <c r="L228" s="23" t="str">
        <f t="shared" si="218"/>
        <v/>
      </c>
      <c r="M228" s="23" t="str">
        <f t="shared" si="218"/>
        <v/>
      </c>
      <c r="N228" s="23" t="str">
        <f t="shared" si="218"/>
        <v/>
      </c>
      <c r="O228" s="23" t="str">
        <f t="shared" si="218"/>
        <v/>
      </c>
      <c r="P228" s="23" t="str">
        <f t="shared" si="218"/>
        <v/>
      </c>
      <c r="Q228" s="23" t="str">
        <f t="shared" si="218"/>
        <v/>
      </c>
      <c r="R228" s="23" t="str">
        <f t="shared" si="218"/>
        <v/>
      </c>
      <c r="S228" s="23" t="str">
        <f t="shared" si="218"/>
        <v/>
      </c>
      <c r="T228" s="23" t="str">
        <f t="shared" si="218"/>
        <v/>
      </c>
      <c r="U228" s="23" t="str">
        <f t="shared" si="219"/>
        <v/>
      </c>
      <c r="V228" s="23" t="str">
        <f t="shared" si="219"/>
        <v/>
      </c>
      <c r="W228" s="23" t="str">
        <f t="shared" si="219"/>
        <v/>
      </c>
      <c r="X228" s="23" t="str">
        <f t="shared" si="219"/>
        <v/>
      </c>
      <c r="Y228" s="23" t="str">
        <f t="shared" si="219"/>
        <v/>
      </c>
      <c r="Z228" s="23" t="str">
        <f t="shared" si="219"/>
        <v/>
      </c>
      <c r="AA228" s="23" t="str">
        <f t="shared" si="219"/>
        <v/>
      </c>
      <c r="AB228" s="23" t="str">
        <f t="shared" si="219"/>
        <v/>
      </c>
      <c r="AC228" s="23" t="str">
        <f t="shared" si="219"/>
        <v/>
      </c>
      <c r="AD228" s="23" t="str">
        <f t="shared" si="219"/>
        <v/>
      </c>
      <c r="AE228" s="23" t="str">
        <f t="shared" si="220"/>
        <v/>
      </c>
      <c r="AF228" s="23" t="str">
        <f t="shared" si="220"/>
        <v/>
      </c>
      <c r="AG228" s="23" t="str">
        <f t="shared" si="220"/>
        <v/>
      </c>
      <c r="AH228" s="23" t="str">
        <f t="shared" si="220"/>
        <v/>
      </c>
      <c r="AI228" s="23" t="str">
        <f t="shared" si="220"/>
        <v/>
      </c>
      <c r="AJ228" s="23" t="str">
        <f t="shared" si="220"/>
        <v/>
      </c>
      <c r="AK228" s="23" t="str">
        <f t="shared" si="220"/>
        <v/>
      </c>
      <c r="AL228" s="23" t="str">
        <f t="shared" si="220"/>
        <v/>
      </c>
      <c r="AM228" s="23" t="str">
        <f t="shared" si="220"/>
        <v/>
      </c>
      <c r="AN228" s="23" t="str">
        <f t="shared" si="220"/>
        <v/>
      </c>
      <c r="AO228" s="23" t="str">
        <f t="shared" si="221"/>
        <v/>
      </c>
      <c r="AP228" s="23" t="str">
        <f t="shared" si="221"/>
        <v/>
      </c>
      <c r="AQ228" s="23" t="str">
        <f t="shared" si="221"/>
        <v/>
      </c>
      <c r="AR228" s="23">
        <f t="shared" si="221"/>
        <v>1</v>
      </c>
      <c r="AS228" s="23">
        <f t="shared" si="221"/>
        <v>1</v>
      </c>
      <c r="AT228" s="23" t="str">
        <f t="shared" si="221"/>
        <v/>
      </c>
      <c r="AU228" s="23" t="str">
        <f t="shared" si="221"/>
        <v/>
      </c>
      <c r="AV228" s="23" t="str">
        <f t="shared" si="221"/>
        <v/>
      </c>
      <c r="AW228" s="23" t="str">
        <f t="shared" si="221"/>
        <v/>
      </c>
      <c r="AX228" s="23" t="str">
        <f t="shared" si="221"/>
        <v/>
      </c>
      <c r="AY228" s="23" t="str">
        <f t="shared" si="222"/>
        <v/>
      </c>
      <c r="AZ228" s="23" t="str">
        <f t="shared" si="222"/>
        <v/>
      </c>
      <c r="BA228" s="23" t="str">
        <f t="shared" si="222"/>
        <v/>
      </c>
      <c r="BB228" s="23" t="str">
        <f t="shared" si="222"/>
        <v/>
      </c>
      <c r="BC228" s="23" t="str">
        <f t="shared" si="222"/>
        <v/>
      </c>
      <c r="BD228" s="23" t="str">
        <f t="shared" si="222"/>
        <v/>
      </c>
      <c r="BE228" s="23" t="str">
        <f t="shared" si="222"/>
        <v/>
      </c>
      <c r="BF228" s="23" t="str">
        <f t="shared" si="222"/>
        <v/>
      </c>
      <c r="BG228" s="23" t="str">
        <f t="shared" si="222"/>
        <v/>
      </c>
      <c r="BH228" s="23" t="str">
        <f t="shared" si="222"/>
        <v/>
      </c>
      <c r="BI228" s="23" t="str">
        <f t="shared" si="223"/>
        <v/>
      </c>
      <c r="BJ228" s="23" t="str">
        <f t="shared" si="223"/>
        <v/>
      </c>
      <c r="BK228" s="23" t="str">
        <f t="shared" si="223"/>
        <v/>
      </c>
      <c r="BL228" s="23" t="str">
        <f t="shared" si="223"/>
        <v/>
      </c>
      <c r="BM228" s="23" t="str">
        <f t="shared" si="223"/>
        <v/>
      </c>
      <c r="BN228" s="23" t="str">
        <f t="shared" si="223"/>
        <v/>
      </c>
      <c r="BO228" s="23" t="str">
        <f t="shared" si="223"/>
        <v/>
      </c>
      <c r="BP228" s="23" t="str">
        <f t="shared" si="223"/>
        <v/>
      </c>
      <c r="BQ228" s="23" t="str">
        <f t="shared" si="223"/>
        <v/>
      </c>
      <c r="BR228" s="23" t="str">
        <f t="shared" si="223"/>
        <v/>
      </c>
      <c r="BS228" s="23" t="str">
        <f t="shared" si="223"/>
        <v/>
      </c>
      <c r="BU228" s="29" t="s">
        <v>687</v>
      </c>
    </row>
    <row r="229" spans="1:73" x14ac:dyDescent="0.2">
      <c r="BU229" s="30"/>
    </row>
    <row r="230" spans="1:73" ht="17" x14ac:dyDescent="0.2">
      <c r="A230" s="19" t="s">
        <v>688</v>
      </c>
      <c r="B230" s="20" t="s">
        <v>689</v>
      </c>
      <c r="C230" s="19" t="s">
        <v>56</v>
      </c>
      <c r="D230" s="21" t="s">
        <v>117</v>
      </c>
      <c r="E230" s="19"/>
      <c r="F230" s="19" t="s">
        <v>664</v>
      </c>
      <c r="G230" s="22">
        <v>30</v>
      </c>
      <c r="H230" s="22">
        <v>6</v>
      </c>
      <c r="I230" s="22">
        <f>MIN(61,IF(G230&lt;=29,ROUND((G230-1)*(29+SlipWeeks)/29,0)+1,G230+SlipWeeks))</f>
        <v>30</v>
      </c>
      <c r="J230" s="22">
        <f>MIN(61,IF(G230+H230-1&lt;=29,MAX(ROUND((G230+H230-1)*(29+SlipWeeks)/29,0),I230),G230+H230-1+SlipWeeks))</f>
        <v>35</v>
      </c>
      <c r="K230" s="23" t="str">
        <f t="shared" ref="K230:T233" si="224">IF(AND(K$4&gt;=$I230,K$4&lt;=$J230),1,"")</f>
        <v/>
      </c>
      <c r="L230" s="23" t="str">
        <f t="shared" si="224"/>
        <v/>
      </c>
      <c r="M230" s="23" t="str">
        <f t="shared" si="224"/>
        <v/>
      </c>
      <c r="N230" s="23" t="str">
        <f t="shared" si="224"/>
        <v/>
      </c>
      <c r="O230" s="23" t="str">
        <f t="shared" si="224"/>
        <v/>
      </c>
      <c r="P230" s="23" t="str">
        <f t="shared" si="224"/>
        <v/>
      </c>
      <c r="Q230" s="23" t="str">
        <f t="shared" si="224"/>
        <v/>
      </c>
      <c r="R230" s="23" t="str">
        <f t="shared" si="224"/>
        <v/>
      </c>
      <c r="S230" s="23" t="str">
        <f t="shared" si="224"/>
        <v/>
      </c>
      <c r="T230" s="23" t="str">
        <f t="shared" si="224"/>
        <v/>
      </c>
      <c r="U230" s="23" t="str">
        <f t="shared" ref="U230:AD233" si="225">IF(AND(U$4&gt;=$I230,U$4&lt;=$J230),1,"")</f>
        <v/>
      </c>
      <c r="V230" s="23" t="str">
        <f t="shared" si="225"/>
        <v/>
      </c>
      <c r="W230" s="23" t="str">
        <f t="shared" si="225"/>
        <v/>
      </c>
      <c r="X230" s="23" t="str">
        <f t="shared" si="225"/>
        <v/>
      </c>
      <c r="Y230" s="23" t="str">
        <f t="shared" si="225"/>
        <v/>
      </c>
      <c r="Z230" s="23" t="str">
        <f t="shared" si="225"/>
        <v/>
      </c>
      <c r="AA230" s="23" t="str">
        <f t="shared" si="225"/>
        <v/>
      </c>
      <c r="AB230" s="23" t="str">
        <f t="shared" si="225"/>
        <v/>
      </c>
      <c r="AC230" s="23" t="str">
        <f t="shared" si="225"/>
        <v/>
      </c>
      <c r="AD230" s="23" t="str">
        <f t="shared" si="225"/>
        <v/>
      </c>
      <c r="AE230" s="23" t="str">
        <f t="shared" ref="AE230:AN233" si="226">IF(AND(AE$4&gt;=$I230,AE$4&lt;=$J230),1,"")</f>
        <v/>
      </c>
      <c r="AF230" s="23" t="str">
        <f t="shared" si="226"/>
        <v/>
      </c>
      <c r="AG230" s="23" t="str">
        <f t="shared" si="226"/>
        <v/>
      </c>
      <c r="AH230" s="23" t="str">
        <f t="shared" si="226"/>
        <v/>
      </c>
      <c r="AI230" s="23" t="str">
        <f t="shared" si="226"/>
        <v/>
      </c>
      <c r="AJ230" s="23" t="str">
        <f t="shared" si="226"/>
        <v/>
      </c>
      <c r="AK230" s="23" t="str">
        <f t="shared" si="226"/>
        <v/>
      </c>
      <c r="AL230" s="23" t="str">
        <f t="shared" si="226"/>
        <v/>
      </c>
      <c r="AM230" s="23" t="str">
        <f t="shared" si="226"/>
        <v/>
      </c>
      <c r="AN230" s="23">
        <f t="shared" si="226"/>
        <v>1</v>
      </c>
      <c r="AO230" s="23">
        <f t="shared" ref="AO230:AX233" si="227">IF(AND(AO$4&gt;=$I230,AO$4&lt;=$J230),1,"")</f>
        <v>1</v>
      </c>
      <c r="AP230" s="23">
        <f t="shared" si="227"/>
        <v>1</v>
      </c>
      <c r="AQ230" s="23">
        <f t="shared" si="227"/>
        <v>1</v>
      </c>
      <c r="AR230" s="23">
        <f t="shared" si="227"/>
        <v>1</v>
      </c>
      <c r="AS230" s="23">
        <f t="shared" si="227"/>
        <v>1</v>
      </c>
      <c r="AT230" s="23" t="str">
        <f t="shared" si="227"/>
        <v/>
      </c>
      <c r="AU230" s="23" t="str">
        <f t="shared" si="227"/>
        <v/>
      </c>
      <c r="AV230" s="23" t="str">
        <f t="shared" si="227"/>
        <v/>
      </c>
      <c r="AW230" s="23" t="str">
        <f t="shared" si="227"/>
        <v/>
      </c>
      <c r="AX230" s="23" t="str">
        <f t="shared" si="227"/>
        <v/>
      </c>
      <c r="AY230" s="23" t="str">
        <f t="shared" ref="AY230:BH233" si="228">IF(AND(AY$4&gt;=$I230,AY$4&lt;=$J230),1,"")</f>
        <v/>
      </c>
      <c r="AZ230" s="23" t="str">
        <f t="shared" si="228"/>
        <v/>
      </c>
      <c r="BA230" s="23" t="str">
        <f t="shared" si="228"/>
        <v/>
      </c>
      <c r="BB230" s="23" t="str">
        <f t="shared" si="228"/>
        <v/>
      </c>
      <c r="BC230" s="23" t="str">
        <f t="shared" si="228"/>
        <v/>
      </c>
      <c r="BD230" s="23" t="str">
        <f t="shared" si="228"/>
        <v/>
      </c>
      <c r="BE230" s="23" t="str">
        <f t="shared" si="228"/>
        <v/>
      </c>
      <c r="BF230" s="23" t="str">
        <f t="shared" si="228"/>
        <v/>
      </c>
      <c r="BG230" s="23" t="str">
        <f t="shared" si="228"/>
        <v/>
      </c>
      <c r="BH230" s="23" t="str">
        <f t="shared" si="228"/>
        <v/>
      </c>
      <c r="BI230" s="23" t="str">
        <f t="shared" ref="BI230:BS233" si="229">IF(AND(BI$4&gt;=$I230,BI$4&lt;=$J230),1,"")</f>
        <v/>
      </c>
      <c r="BJ230" s="23" t="str">
        <f t="shared" si="229"/>
        <v/>
      </c>
      <c r="BK230" s="23" t="str">
        <f t="shared" si="229"/>
        <v/>
      </c>
      <c r="BL230" s="23" t="str">
        <f t="shared" si="229"/>
        <v/>
      </c>
      <c r="BM230" s="23" t="str">
        <f t="shared" si="229"/>
        <v/>
      </c>
      <c r="BN230" s="23" t="str">
        <f t="shared" si="229"/>
        <v/>
      </c>
      <c r="BO230" s="23" t="str">
        <f t="shared" si="229"/>
        <v/>
      </c>
      <c r="BP230" s="23" t="str">
        <f t="shared" si="229"/>
        <v/>
      </c>
      <c r="BQ230" s="23" t="str">
        <f t="shared" si="229"/>
        <v/>
      </c>
      <c r="BR230" s="23" t="str">
        <f t="shared" si="229"/>
        <v/>
      </c>
      <c r="BS230" s="23" t="str">
        <f t="shared" si="229"/>
        <v/>
      </c>
      <c r="BT230" s="24" t="str">
        <f>IF(IF(G230+H230-1&lt;=29,MAX(ROUND((G230+H230-1)*(29+SlipWeeks)/29,0),$I230),G230+H230-1+SlipWeeks)&gt;61,"▶ clipped","")</f>
        <v/>
      </c>
      <c r="BU230" s="29" t="s">
        <v>690</v>
      </c>
    </row>
    <row r="231" spans="1:73" ht="17" outlineLevel="1" x14ac:dyDescent="0.2">
      <c r="A231" s="6" t="s">
        <v>691</v>
      </c>
      <c r="B231" s="25" t="s">
        <v>692</v>
      </c>
      <c r="C231" s="6" t="s">
        <v>56</v>
      </c>
      <c r="D231" s="24" t="s">
        <v>128</v>
      </c>
      <c r="F231" s="6"/>
      <c r="G231" s="22">
        <v>30</v>
      </c>
      <c r="H231" s="22">
        <v>3</v>
      </c>
      <c r="I231" s="22">
        <f>MEDIAN($I$230,$J$230,$I$230+ROUND((G231-$G$230)/$H$230*($J$230-$I$230+1),0))</f>
        <v>30</v>
      </c>
      <c r="J231" s="22">
        <f>MEDIAN(I231,$J$230,$I$230+ROUND((G231+H231-$G$230)/$H$230*($J$230-$I$230+1),0)-1)</f>
        <v>32</v>
      </c>
      <c r="K231" s="23" t="str">
        <f t="shared" si="224"/>
        <v/>
      </c>
      <c r="L231" s="23" t="str">
        <f t="shared" si="224"/>
        <v/>
      </c>
      <c r="M231" s="23" t="str">
        <f t="shared" si="224"/>
        <v/>
      </c>
      <c r="N231" s="23" t="str">
        <f t="shared" si="224"/>
        <v/>
      </c>
      <c r="O231" s="23" t="str">
        <f t="shared" si="224"/>
        <v/>
      </c>
      <c r="P231" s="23" t="str">
        <f t="shared" si="224"/>
        <v/>
      </c>
      <c r="Q231" s="23" t="str">
        <f t="shared" si="224"/>
        <v/>
      </c>
      <c r="R231" s="23" t="str">
        <f t="shared" si="224"/>
        <v/>
      </c>
      <c r="S231" s="23" t="str">
        <f t="shared" si="224"/>
        <v/>
      </c>
      <c r="T231" s="23" t="str">
        <f t="shared" si="224"/>
        <v/>
      </c>
      <c r="U231" s="23" t="str">
        <f t="shared" si="225"/>
        <v/>
      </c>
      <c r="V231" s="23" t="str">
        <f t="shared" si="225"/>
        <v/>
      </c>
      <c r="W231" s="23" t="str">
        <f t="shared" si="225"/>
        <v/>
      </c>
      <c r="X231" s="23" t="str">
        <f t="shared" si="225"/>
        <v/>
      </c>
      <c r="Y231" s="23" t="str">
        <f t="shared" si="225"/>
        <v/>
      </c>
      <c r="Z231" s="23" t="str">
        <f t="shared" si="225"/>
        <v/>
      </c>
      <c r="AA231" s="23" t="str">
        <f t="shared" si="225"/>
        <v/>
      </c>
      <c r="AB231" s="23" t="str">
        <f t="shared" si="225"/>
        <v/>
      </c>
      <c r="AC231" s="23" t="str">
        <f t="shared" si="225"/>
        <v/>
      </c>
      <c r="AD231" s="23" t="str">
        <f t="shared" si="225"/>
        <v/>
      </c>
      <c r="AE231" s="23" t="str">
        <f t="shared" si="226"/>
        <v/>
      </c>
      <c r="AF231" s="23" t="str">
        <f t="shared" si="226"/>
        <v/>
      </c>
      <c r="AG231" s="23" t="str">
        <f t="shared" si="226"/>
        <v/>
      </c>
      <c r="AH231" s="23" t="str">
        <f t="shared" si="226"/>
        <v/>
      </c>
      <c r="AI231" s="23" t="str">
        <f t="shared" si="226"/>
        <v/>
      </c>
      <c r="AJ231" s="23" t="str">
        <f t="shared" si="226"/>
        <v/>
      </c>
      <c r="AK231" s="23" t="str">
        <f t="shared" si="226"/>
        <v/>
      </c>
      <c r="AL231" s="23" t="str">
        <f t="shared" si="226"/>
        <v/>
      </c>
      <c r="AM231" s="23" t="str">
        <f t="shared" si="226"/>
        <v/>
      </c>
      <c r="AN231" s="23">
        <f t="shared" si="226"/>
        <v>1</v>
      </c>
      <c r="AO231" s="23">
        <f t="shared" si="227"/>
        <v>1</v>
      </c>
      <c r="AP231" s="23">
        <f t="shared" si="227"/>
        <v>1</v>
      </c>
      <c r="AQ231" s="23" t="str">
        <f t="shared" si="227"/>
        <v/>
      </c>
      <c r="AR231" s="23" t="str">
        <f t="shared" si="227"/>
        <v/>
      </c>
      <c r="AS231" s="23" t="str">
        <f t="shared" si="227"/>
        <v/>
      </c>
      <c r="AT231" s="23" t="str">
        <f t="shared" si="227"/>
        <v/>
      </c>
      <c r="AU231" s="23" t="str">
        <f t="shared" si="227"/>
        <v/>
      </c>
      <c r="AV231" s="23" t="str">
        <f t="shared" si="227"/>
        <v/>
      </c>
      <c r="AW231" s="23" t="str">
        <f t="shared" si="227"/>
        <v/>
      </c>
      <c r="AX231" s="23" t="str">
        <f t="shared" si="227"/>
        <v/>
      </c>
      <c r="AY231" s="23" t="str">
        <f t="shared" si="228"/>
        <v/>
      </c>
      <c r="AZ231" s="23" t="str">
        <f t="shared" si="228"/>
        <v/>
      </c>
      <c r="BA231" s="23" t="str">
        <f t="shared" si="228"/>
        <v/>
      </c>
      <c r="BB231" s="23" t="str">
        <f t="shared" si="228"/>
        <v/>
      </c>
      <c r="BC231" s="23" t="str">
        <f t="shared" si="228"/>
        <v/>
      </c>
      <c r="BD231" s="23" t="str">
        <f t="shared" si="228"/>
        <v/>
      </c>
      <c r="BE231" s="23" t="str">
        <f t="shared" si="228"/>
        <v/>
      </c>
      <c r="BF231" s="23" t="str">
        <f t="shared" si="228"/>
        <v/>
      </c>
      <c r="BG231" s="23" t="str">
        <f t="shared" si="228"/>
        <v/>
      </c>
      <c r="BH231" s="23" t="str">
        <f t="shared" si="228"/>
        <v/>
      </c>
      <c r="BI231" s="23" t="str">
        <f t="shared" si="229"/>
        <v/>
      </c>
      <c r="BJ231" s="23" t="str">
        <f t="shared" si="229"/>
        <v/>
      </c>
      <c r="BK231" s="23" t="str">
        <f t="shared" si="229"/>
        <v/>
      </c>
      <c r="BL231" s="23" t="str">
        <f t="shared" si="229"/>
        <v/>
      </c>
      <c r="BM231" s="23" t="str">
        <f t="shared" si="229"/>
        <v/>
      </c>
      <c r="BN231" s="23" t="str">
        <f t="shared" si="229"/>
        <v/>
      </c>
      <c r="BO231" s="23" t="str">
        <f t="shared" si="229"/>
        <v/>
      </c>
      <c r="BP231" s="23" t="str">
        <f t="shared" si="229"/>
        <v/>
      </c>
      <c r="BQ231" s="23" t="str">
        <f t="shared" si="229"/>
        <v/>
      </c>
      <c r="BR231" s="23" t="str">
        <f t="shared" si="229"/>
        <v/>
      </c>
      <c r="BS231" s="23" t="str">
        <f t="shared" si="229"/>
        <v/>
      </c>
      <c r="BU231" s="29" t="s">
        <v>693</v>
      </c>
    </row>
    <row r="232" spans="1:73" ht="34" outlineLevel="1" x14ac:dyDescent="0.2">
      <c r="A232" s="6" t="s">
        <v>694</v>
      </c>
      <c r="B232" s="25" t="s">
        <v>695</v>
      </c>
      <c r="C232" s="6" t="s">
        <v>56</v>
      </c>
      <c r="D232" s="24" t="s">
        <v>128</v>
      </c>
      <c r="F232" s="6" t="s">
        <v>691</v>
      </c>
      <c r="G232" s="22">
        <v>33</v>
      </c>
      <c r="H232" s="22">
        <v>2</v>
      </c>
      <c r="I232" s="22">
        <f>MEDIAN($I$230,$J$230,$I$230+ROUND((G232-$G$230)/$H$230*($J$230-$I$230+1),0))</f>
        <v>33</v>
      </c>
      <c r="J232" s="22">
        <f>MEDIAN(I232,$J$230,$I$230+ROUND((G232+H232-$G$230)/$H$230*($J$230-$I$230+1),0)-1)</f>
        <v>34</v>
      </c>
      <c r="K232" s="23" t="str">
        <f t="shared" si="224"/>
        <v/>
      </c>
      <c r="L232" s="23" t="str">
        <f t="shared" si="224"/>
        <v/>
      </c>
      <c r="M232" s="23" t="str">
        <f t="shared" si="224"/>
        <v/>
      </c>
      <c r="N232" s="23" t="str">
        <f t="shared" si="224"/>
        <v/>
      </c>
      <c r="O232" s="23" t="str">
        <f t="shared" si="224"/>
        <v/>
      </c>
      <c r="P232" s="23" t="str">
        <f t="shared" si="224"/>
        <v/>
      </c>
      <c r="Q232" s="23" t="str">
        <f t="shared" si="224"/>
        <v/>
      </c>
      <c r="R232" s="23" t="str">
        <f t="shared" si="224"/>
        <v/>
      </c>
      <c r="S232" s="23" t="str">
        <f t="shared" si="224"/>
        <v/>
      </c>
      <c r="T232" s="23" t="str">
        <f t="shared" si="224"/>
        <v/>
      </c>
      <c r="U232" s="23" t="str">
        <f t="shared" si="225"/>
        <v/>
      </c>
      <c r="V232" s="23" t="str">
        <f t="shared" si="225"/>
        <v/>
      </c>
      <c r="W232" s="23" t="str">
        <f t="shared" si="225"/>
        <v/>
      </c>
      <c r="X232" s="23" t="str">
        <f t="shared" si="225"/>
        <v/>
      </c>
      <c r="Y232" s="23" t="str">
        <f t="shared" si="225"/>
        <v/>
      </c>
      <c r="Z232" s="23" t="str">
        <f t="shared" si="225"/>
        <v/>
      </c>
      <c r="AA232" s="23" t="str">
        <f t="shared" si="225"/>
        <v/>
      </c>
      <c r="AB232" s="23" t="str">
        <f t="shared" si="225"/>
        <v/>
      </c>
      <c r="AC232" s="23" t="str">
        <f t="shared" si="225"/>
        <v/>
      </c>
      <c r="AD232" s="23" t="str">
        <f t="shared" si="225"/>
        <v/>
      </c>
      <c r="AE232" s="23" t="str">
        <f t="shared" si="226"/>
        <v/>
      </c>
      <c r="AF232" s="23" t="str">
        <f t="shared" si="226"/>
        <v/>
      </c>
      <c r="AG232" s="23" t="str">
        <f t="shared" si="226"/>
        <v/>
      </c>
      <c r="AH232" s="23" t="str">
        <f t="shared" si="226"/>
        <v/>
      </c>
      <c r="AI232" s="23" t="str">
        <f t="shared" si="226"/>
        <v/>
      </c>
      <c r="AJ232" s="23" t="str">
        <f t="shared" si="226"/>
        <v/>
      </c>
      <c r="AK232" s="23" t="str">
        <f t="shared" si="226"/>
        <v/>
      </c>
      <c r="AL232" s="23" t="str">
        <f t="shared" si="226"/>
        <v/>
      </c>
      <c r="AM232" s="23" t="str">
        <f t="shared" si="226"/>
        <v/>
      </c>
      <c r="AN232" s="23" t="str">
        <f t="shared" si="226"/>
        <v/>
      </c>
      <c r="AO232" s="23" t="str">
        <f t="shared" si="227"/>
        <v/>
      </c>
      <c r="AP232" s="23" t="str">
        <f t="shared" si="227"/>
        <v/>
      </c>
      <c r="AQ232" s="23">
        <f t="shared" si="227"/>
        <v>1</v>
      </c>
      <c r="AR232" s="23">
        <f t="shared" si="227"/>
        <v>1</v>
      </c>
      <c r="AS232" s="23" t="str">
        <f t="shared" si="227"/>
        <v/>
      </c>
      <c r="AT232" s="23" t="str">
        <f t="shared" si="227"/>
        <v/>
      </c>
      <c r="AU232" s="23" t="str">
        <f t="shared" si="227"/>
        <v/>
      </c>
      <c r="AV232" s="23" t="str">
        <f t="shared" si="227"/>
        <v/>
      </c>
      <c r="AW232" s="23" t="str">
        <f t="shared" si="227"/>
        <v/>
      </c>
      <c r="AX232" s="23" t="str">
        <f t="shared" si="227"/>
        <v/>
      </c>
      <c r="AY232" s="23" t="str">
        <f t="shared" si="228"/>
        <v/>
      </c>
      <c r="AZ232" s="23" t="str">
        <f t="shared" si="228"/>
        <v/>
      </c>
      <c r="BA232" s="23" t="str">
        <f t="shared" si="228"/>
        <v/>
      </c>
      <c r="BB232" s="23" t="str">
        <f t="shared" si="228"/>
        <v/>
      </c>
      <c r="BC232" s="23" t="str">
        <f t="shared" si="228"/>
        <v/>
      </c>
      <c r="BD232" s="23" t="str">
        <f t="shared" si="228"/>
        <v/>
      </c>
      <c r="BE232" s="23" t="str">
        <f t="shared" si="228"/>
        <v/>
      </c>
      <c r="BF232" s="23" t="str">
        <f t="shared" si="228"/>
        <v/>
      </c>
      <c r="BG232" s="23" t="str">
        <f t="shared" si="228"/>
        <v/>
      </c>
      <c r="BH232" s="23" t="str">
        <f t="shared" si="228"/>
        <v/>
      </c>
      <c r="BI232" s="23" t="str">
        <f t="shared" si="229"/>
        <v/>
      </c>
      <c r="BJ232" s="23" t="str">
        <f t="shared" si="229"/>
        <v/>
      </c>
      <c r="BK232" s="23" t="str">
        <f t="shared" si="229"/>
        <v/>
      </c>
      <c r="BL232" s="23" t="str">
        <f t="shared" si="229"/>
        <v/>
      </c>
      <c r="BM232" s="23" t="str">
        <f t="shared" si="229"/>
        <v/>
      </c>
      <c r="BN232" s="23" t="str">
        <f t="shared" si="229"/>
        <v/>
      </c>
      <c r="BO232" s="23" t="str">
        <f t="shared" si="229"/>
        <v/>
      </c>
      <c r="BP232" s="23" t="str">
        <f t="shared" si="229"/>
        <v/>
      </c>
      <c r="BQ232" s="23" t="str">
        <f t="shared" si="229"/>
        <v/>
      </c>
      <c r="BR232" s="23" t="str">
        <f t="shared" si="229"/>
        <v/>
      </c>
      <c r="BS232" s="23" t="str">
        <f t="shared" si="229"/>
        <v/>
      </c>
      <c r="BU232" s="29" t="s">
        <v>696</v>
      </c>
    </row>
    <row r="233" spans="1:73" ht="34" outlineLevel="1" x14ac:dyDescent="0.2">
      <c r="A233" s="6" t="s">
        <v>697</v>
      </c>
      <c r="B233" s="25" t="s">
        <v>698</v>
      </c>
      <c r="C233" s="6" t="s">
        <v>56</v>
      </c>
      <c r="D233" s="24" t="s">
        <v>128</v>
      </c>
      <c r="F233" s="6" t="s">
        <v>694</v>
      </c>
      <c r="G233" s="22">
        <v>35</v>
      </c>
      <c r="H233" s="22">
        <v>1</v>
      </c>
      <c r="I233" s="22">
        <f>MEDIAN($I$230,$J$230,$I$230+ROUND((G233-$G$230)/$H$230*($J$230-$I$230+1),0))</f>
        <v>35</v>
      </c>
      <c r="J233" s="22">
        <f>MEDIAN(I233,$J$230,$I$230+ROUND((G233+H233-$G$230)/$H$230*($J$230-$I$230+1),0)-1)</f>
        <v>35</v>
      </c>
      <c r="K233" s="23" t="str">
        <f t="shared" si="224"/>
        <v/>
      </c>
      <c r="L233" s="23" t="str">
        <f t="shared" si="224"/>
        <v/>
      </c>
      <c r="M233" s="23" t="str">
        <f t="shared" si="224"/>
        <v/>
      </c>
      <c r="N233" s="23" t="str">
        <f t="shared" si="224"/>
        <v/>
      </c>
      <c r="O233" s="23" t="str">
        <f t="shared" si="224"/>
        <v/>
      </c>
      <c r="P233" s="23" t="str">
        <f t="shared" si="224"/>
        <v/>
      </c>
      <c r="Q233" s="23" t="str">
        <f t="shared" si="224"/>
        <v/>
      </c>
      <c r="R233" s="23" t="str">
        <f t="shared" si="224"/>
        <v/>
      </c>
      <c r="S233" s="23" t="str">
        <f t="shared" si="224"/>
        <v/>
      </c>
      <c r="T233" s="23" t="str">
        <f t="shared" si="224"/>
        <v/>
      </c>
      <c r="U233" s="23" t="str">
        <f t="shared" si="225"/>
        <v/>
      </c>
      <c r="V233" s="23" t="str">
        <f t="shared" si="225"/>
        <v/>
      </c>
      <c r="W233" s="23" t="str">
        <f t="shared" si="225"/>
        <v/>
      </c>
      <c r="X233" s="23" t="str">
        <f t="shared" si="225"/>
        <v/>
      </c>
      <c r="Y233" s="23" t="str">
        <f t="shared" si="225"/>
        <v/>
      </c>
      <c r="Z233" s="23" t="str">
        <f t="shared" si="225"/>
        <v/>
      </c>
      <c r="AA233" s="23" t="str">
        <f t="shared" si="225"/>
        <v/>
      </c>
      <c r="AB233" s="23" t="str">
        <f t="shared" si="225"/>
        <v/>
      </c>
      <c r="AC233" s="23" t="str">
        <f t="shared" si="225"/>
        <v/>
      </c>
      <c r="AD233" s="23" t="str">
        <f t="shared" si="225"/>
        <v/>
      </c>
      <c r="AE233" s="23" t="str">
        <f t="shared" si="226"/>
        <v/>
      </c>
      <c r="AF233" s="23" t="str">
        <f t="shared" si="226"/>
        <v/>
      </c>
      <c r="AG233" s="23" t="str">
        <f t="shared" si="226"/>
        <v/>
      </c>
      <c r="AH233" s="23" t="str">
        <f t="shared" si="226"/>
        <v/>
      </c>
      <c r="AI233" s="23" t="str">
        <f t="shared" si="226"/>
        <v/>
      </c>
      <c r="AJ233" s="23" t="str">
        <f t="shared" si="226"/>
        <v/>
      </c>
      <c r="AK233" s="23" t="str">
        <f t="shared" si="226"/>
        <v/>
      </c>
      <c r="AL233" s="23" t="str">
        <f t="shared" si="226"/>
        <v/>
      </c>
      <c r="AM233" s="23" t="str">
        <f t="shared" si="226"/>
        <v/>
      </c>
      <c r="AN233" s="23" t="str">
        <f t="shared" si="226"/>
        <v/>
      </c>
      <c r="AO233" s="23" t="str">
        <f t="shared" si="227"/>
        <v/>
      </c>
      <c r="AP233" s="23" t="str">
        <f t="shared" si="227"/>
        <v/>
      </c>
      <c r="AQ233" s="23" t="str">
        <f t="shared" si="227"/>
        <v/>
      </c>
      <c r="AR233" s="23" t="str">
        <f t="shared" si="227"/>
        <v/>
      </c>
      <c r="AS233" s="23">
        <f t="shared" si="227"/>
        <v>1</v>
      </c>
      <c r="AT233" s="23" t="str">
        <f t="shared" si="227"/>
        <v/>
      </c>
      <c r="AU233" s="23" t="str">
        <f t="shared" si="227"/>
        <v/>
      </c>
      <c r="AV233" s="23" t="str">
        <f t="shared" si="227"/>
        <v/>
      </c>
      <c r="AW233" s="23" t="str">
        <f t="shared" si="227"/>
        <v/>
      </c>
      <c r="AX233" s="23" t="str">
        <f t="shared" si="227"/>
        <v/>
      </c>
      <c r="AY233" s="23" t="str">
        <f t="shared" si="228"/>
        <v/>
      </c>
      <c r="AZ233" s="23" t="str">
        <f t="shared" si="228"/>
        <v/>
      </c>
      <c r="BA233" s="23" t="str">
        <f t="shared" si="228"/>
        <v/>
      </c>
      <c r="BB233" s="23" t="str">
        <f t="shared" si="228"/>
        <v/>
      </c>
      <c r="BC233" s="23" t="str">
        <f t="shared" si="228"/>
        <v/>
      </c>
      <c r="BD233" s="23" t="str">
        <f t="shared" si="228"/>
        <v/>
      </c>
      <c r="BE233" s="23" t="str">
        <f t="shared" si="228"/>
        <v/>
      </c>
      <c r="BF233" s="23" t="str">
        <f t="shared" si="228"/>
        <v/>
      </c>
      <c r="BG233" s="23" t="str">
        <f t="shared" si="228"/>
        <v/>
      </c>
      <c r="BH233" s="23" t="str">
        <f t="shared" si="228"/>
        <v/>
      </c>
      <c r="BI233" s="23" t="str">
        <f t="shared" si="229"/>
        <v/>
      </c>
      <c r="BJ233" s="23" t="str">
        <f t="shared" si="229"/>
        <v/>
      </c>
      <c r="BK233" s="23" t="str">
        <f t="shared" si="229"/>
        <v/>
      </c>
      <c r="BL233" s="23" t="str">
        <f t="shared" si="229"/>
        <v/>
      </c>
      <c r="BM233" s="23" t="str">
        <f t="shared" si="229"/>
        <v/>
      </c>
      <c r="BN233" s="23" t="str">
        <f t="shared" si="229"/>
        <v/>
      </c>
      <c r="BO233" s="23" t="str">
        <f t="shared" si="229"/>
        <v/>
      </c>
      <c r="BP233" s="23" t="str">
        <f t="shared" si="229"/>
        <v/>
      </c>
      <c r="BQ233" s="23" t="str">
        <f t="shared" si="229"/>
        <v/>
      </c>
      <c r="BR233" s="23" t="str">
        <f t="shared" si="229"/>
        <v/>
      </c>
      <c r="BS233" s="23" t="str">
        <f t="shared" si="229"/>
        <v/>
      </c>
      <c r="BU233" s="29" t="s">
        <v>699</v>
      </c>
    </row>
    <row r="234" spans="1:73" x14ac:dyDescent="0.2">
      <c r="BU234" s="30"/>
    </row>
    <row r="235" spans="1:73" ht="17" x14ac:dyDescent="0.2">
      <c r="A235" s="19" t="s">
        <v>700</v>
      </c>
      <c r="B235" s="20" t="s">
        <v>701</v>
      </c>
      <c r="C235" s="19" t="s">
        <v>55</v>
      </c>
      <c r="D235" s="21" t="s">
        <v>117</v>
      </c>
      <c r="E235" s="19"/>
      <c r="F235" s="19"/>
      <c r="G235" s="22">
        <v>6</v>
      </c>
      <c r="H235" s="22">
        <v>30</v>
      </c>
      <c r="I235" s="22">
        <f>MIN(61,IF(G235&lt;=29,ROUND((G235-1)*(29+SlipWeeks)/29,0)+1,G235+SlipWeeks))</f>
        <v>6</v>
      </c>
      <c r="J235" s="22">
        <f>MIN(61,IF(G235+H235-1&lt;=29,MAX(ROUND((G235+H235-1)*(29+SlipWeeks)/29,0),I235),G235+H235-1+SlipWeeks))</f>
        <v>35</v>
      </c>
      <c r="K235" s="23" t="str">
        <f t="shared" ref="K235:T240" si="230">IF(AND(K$4&gt;=$I235,K$4&lt;=$J235),1,"")</f>
        <v/>
      </c>
      <c r="L235" s="23" t="str">
        <f t="shared" si="230"/>
        <v/>
      </c>
      <c r="M235" s="23" t="str">
        <f t="shared" si="230"/>
        <v/>
      </c>
      <c r="N235" s="23" t="str">
        <f t="shared" si="230"/>
        <v/>
      </c>
      <c r="O235" s="23" t="str">
        <f t="shared" si="230"/>
        <v/>
      </c>
      <c r="P235" s="23">
        <f t="shared" si="230"/>
        <v>1</v>
      </c>
      <c r="Q235" s="23">
        <f t="shared" si="230"/>
        <v>1</v>
      </c>
      <c r="R235" s="23">
        <f t="shared" si="230"/>
        <v>1</v>
      </c>
      <c r="S235" s="23">
        <f t="shared" si="230"/>
        <v>1</v>
      </c>
      <c r="T235" s="23">
        <f t="shared" si="230"/>
        <v>1</v>
      </c>
      <c r="U235" s="23">
        <f t="shared" ref="U235:AD240" si="231">IF(AND(U$4&gt;=$I235,U$4&lt;=$J235),1,"")</f>
        <v>1</v>
      </c>
      <c r="V235" s="23">
        <f t="shared" si="231"/>
        <v>1</v>
      </c>
      <c r="W235" s="23">
        <f t="shared" si="231"/>
        <v>1</v>
      </c>
      <c r="X235" s="23">
        <f t="shared" si="231"/>
        <v>1</v>
      </c>
      <c r="Y235" s="23">
        <f t="shared" si="231"/>
        <v>1</v>
      </c>
      <c r="Z235" s="23">
        <f t="shared" si="231"/>
        <v>1</v>
      </c>
      <c r="AA235" s="23">
        <f t="shared" si="231"/>
        <v>1</v>
      </c>
      <c r="AB235" s="23">
        <f t="shared" si="231"/>
        <v>1</v>
      </c>
      <c r="AC235" s="23">
        <f t="shared" si="231"/>
        <v>1</v>
      </c>
      <c r="AD235" s="23">
        <f t="shared" si="231"/>
        <v>1</v>
      </c>
      <c r="AE235" s="23">
        <f t="shared" ref="AE235:AN240" si="232">IF(AND(AE$4&gt;=$I235,AE$4&lt;=$J235),1,"")</f>
        <v>1</v>
      </c>
      <c r="AF235" s="23">
        <f t="shared" si="232"/>
        <v>1</v>
      </c>
      <c r="AG235" s="23">
        <f t="shared" si="232"/>
        <v>1</v>
      </c>
      <c r="AH235" s="23">
        <f t="shared" si="232"/>
        <v>1</v>
      </c>
      <c r="AI235" s="23">
        <f t="shared" si="232"/>
        <v>1</v>
      </c>
      <c r="AJ235" s="23">
        <f t="shared" si="232"/>
        <v>1</v>
      </c>
      <c r="AK235" s="23">
        <f t="shared" si="232"/>
        <v>1</v>
      </c>
      <c r="AL235" s="23">
        <f t="shared" si="232"/>
        <v>1</v>
      </c>
      <c r="AM235" s="23">
        <f t="shared" si="232"/>
        <v>1</v>
      </c>
      <c r="AN235" s="23">
        <f t="shared" si="232"/>
        <v>1</v>
      </c>
      <c r="AO235" s="23">
        <f t="shared" ref="AO235:AX240" si="233">IF(AND(AO$4&gt;=$I235,AO$4&lt;=$J235),1,"")</f>
        <v>1</v>
      </c>
      <c r="AP235" s="23">
        <f t="shared" si="233"/>
        <v>1</v>
      </c>
      <c r="AQ235" s="23">
        <f t="shared" si="233"/>
        <v>1</v>
      </c>
      <c r="AR235" s="23">
        <f t="shared" si="233"/>
        <v>1</v>
      </c>
      <c r="AS235" s="23">
        <f t="shared" si="233"/>
        <v>1</v>
      </c>
      <c r="AT235" s="23" t="str">
        <f t="shared" si="233"/>
        <v/>
      </c>
      <c r="AU235" s="23" t="str">
        <f t="shared" si="233"/>
        <v/>
      </c>
      <c r="AV235" s="23" t="str">
        <f t="shared" si="233"/>
        <v/>
      </c>
      <c r="AW235" s="23" t="str">
        <f t="shared" si="233"/>
        <v/>
      </c>
      <c r="AX235" s="23" t="str">
        <f t="shared" si="233"/>
        <v/>
      </c>
      <c r="AY235" s="23" t="str">
        <f t="shared" ref="AY235:BH240" si="234">IF(AND(AY$4&gt;=$I235,AY$4&lt;=$J235),1,"")</f>
        <v/>
      </c>
      <c r="AZ235" s="23" t="str">
        <f t="shared" si="234"/>
        <v/>
      </c>
      <c r="BA235" s="23" t="str">
        <f t="shared" si="234"/>
        <v/>
      </c>
      <c r="BB235" s="23" t="str">
        <f t="shared" si="234"/>
        <v/>
      </c>
      <c r="BC235" s="23" t="str">
        <f t="shared" si="234"/>
        <v/>
      </c>
      <c r="BD235" s="23" t="str">
        <f t="shared" si="234"/>
        <v/>
      </c>
      <c r="BE235" s="23" t="str">
        <f t="shared" si="234"/>
        <v/>
      </c>
      <c r="BF235" s="23" t="str">
        <f t="shared" si="234"/>
        <v/>
      </c>
      <c r="BG235" s="23" t="str">
        <f t="shared" si="234"/>
        <v/>
      </c>
      <c r="BH235" s="23" t="str">
        <f t="shared" si="234"/>
        <v/>
      </c>
      <c r="BI235" s="23" t="str">
        <f t="shared" ref="BI235:BS240" si="235">IF(AND(BI$4&gt;=$I235,BI$4&lt;=$J235),1,"")</f>
        <v/>
      </c>
      <c r="BJ235" s="23" t="str">
        <f t="shared" si="235"/>
        <v/>
      </c>
      <c r="BK235" s="23" t="str">
        <f t="shared" si="235"/>
        <v/>
      </c>
      <c r="BL235" s="23" t="str">
        <f t="shared" si="235"/>
        <v/>
      </c>
      <c r="BM235" s="23" t="str">
        <f t="shared" si="235"/>
        <v/>
      </c>
      <c r="BN235" s="23" t="str">
        <f t="shared" si="235"/>
        <v/>
      </c>
      <c r="BO235" s="23" t="str">
        <f t="shared" si="235"/>
        <v/>
      </c>
      <c r="BP235" s="23" t="str">
        <f t="shared" si="235"/>
        <v/>
      </c>
      <c r="BQ235" s="23" t="str">
        <f t="shared" si="235"/>
        <v/>
      </c>
      <c r="BR235" s="23" t="str">
        <f t="shared" si="235"/>
        <v/>
      </c>
      <c r="BS235" s="23" t="str">
        <f t="shared" si="235"/>
        <v/>
      </c>
      <c r="BT235" s="24" t="str">
        <f>IF(IF(G235+H235-1&lt;=29,MAX(ROUND((G235+H235-1)*(29+SlipWeeks)/29,0),$I235),G235+H235-1+SlipWeeks)&gt;61,"▶ clipped","")</f>
        <v/>
      </c>
      <c r="BU235" s="29" t="s">
        <v>702</v>
      </c>
    </row>
    <row r="236" spans="1:73" ht="34" outlineLevel="1" x14ac:dyDescent="0.2">
      <c r="A236" s="6" t="s">
        <v>703</v>
      </c>
      <c r="B236" s="25" t="s">
        <v>704</v>
      </c>
      <c r="C236" s="6" t="s">
        <v>55</v>
      </c>
      <c r="D236" s="24" t="s">
        <v>121</v>
      </c>
      <c r="F236" s="6"/>
      <c r="G236" s="22">
        <v>6</v>
      </c>
      <c r="H236" s="22">
        <v>21</v>
      </c>
      <c r="I236" s="22">
        <f>MEDIAN($I$235,$J$235,$I$235+ROUND((G236-$G$235)/$H$235*($J$235-$I$235+1),0))</f>
        <v>6</v>
      </c>
      <c r="J236" s="22">
        <f>MEDIAN(I236,$J$235,$I$235+ROUND((G236+H236-$G$235)/$H$235*($J$235-$I$235+1),0)-1)</f>
        <v>26</v>
      </c>
      <c r="K236" s="23" t="str">
        <f t="shared" si="230"/>
        <v/>
      </c>
      <c r="L236" s="23" t="str">
        <f t="shared" si="230"/>
        <v/>
      </c>
      <c r="M236" s="23" t="str">
        <f t="shared" si="230"/>
        <v/>
      </c>
      <c r="N236" s="23" t="str">
        <f t="shared" si="230"/>
        <v/>
      </c>
      <c r="O236" s="23" t="str">
        <f t="shared" si="230"/>
        <v/>
      </c>
      <c r="P236" s="23">
        <f t="shared" si="230"/>
        <v>1</v>
      </c>
      <c r="Q236" s="23">
        <f t="shared" si="230"/>
        <v>1</v>
      </c>
      <c r="R236" s="23">
        <f t="shared" si="230"/>
        <v>1</v>
      </c>
      <c r="S236" s="23">
        <f t="shared" si="230"/>
        <v>1</v>
      </c>
      <c r="T236" s="23">
        <f t="shared" si="230"/>
        <v>1</v>
      </c>
      <c r="U236" s="23">
        <f t="shared" si="231"/>
        <v>1</v>
      </c>
      <c r="V236" s="23">
        <f t="shared" si="231"/>
        <v>1</v>
      </c>
      <c r="W236" s="23">
        <f t="shared" si="231"/>
        <v>1</v>
      </c>
      <c r="X236" s="23">
        <f t="shared" si="231"/>
        <v>1</v>
      </c>
      <c r="Y236" s="23">
        <f t="shared" si="231"/>
        <v>1</v>
      </c>
      <c r="Z236" s="23">
        <f t="shared" si="231"/>
        <v>1</v>
      </c>
      <c r="AA236" s="23">
        <f t="shared" si="231"/>
        <v>1</v>
      </c>
      <c r="AB236" s="23">
        <f t="shared" si="231"/>
        <v>1</v>
      </c>
      <c r="AC236" s="23">
        <f t="shared" si="231"/>
        <v>1</v>
      </c>
      <c r="AD236" s="23">
        <f t="shared" si="231"/>
        <v>1</v>
      </c>
      <c r="AE236" s="23">
        <f t="shared" si="232"/>
        <v>1</v>
      </c>
      <c r="AF236" s="23">
        <f t="shared" si="232"/>
        <v>1</v>
      </c>
      <c r="AG236" s="23">
        <f t="shared" si="232"/>
        <v>1</v>
      </c>
      <c r="AH236" s="23">
        <f t="shared" si="232"/>
        <v>1</v>
      </c>
      <c r="AI236" s="23">
        <f t="shared" si="232"/>
        <v>1</v>
      </c>
      <c r="AJ236" s="23">
        <f t="shared" si="232"/>
        <v>1</v>
      </c>
      <c r="AK236" s="23" t="str">
        <f t="shared" si="232"/>
        <v/>
      </c>
      <c r="AL236" s="23" t="str">
        <f t="shared" si="232"/>
        <v/>
      </c>
      <c r="AM236" s="23" t="str">
        <f t="shared" si="232"/>
        <v/>
      </c>
      <c r="AN236" s="23" t="str">
        <f t="shared" si="232"/>
        <v/>
      </c>
      <c r="AO236" s="23" t="str">
        <f t="shared" si="233"/>
        <v/>
      </c>
      <c r="AP236" s="23" t="str">
        <f t="shared" si="233"/>
        <v/>
      </c>
      <c r="AQ236" s="23" t="str">
        <f t="shared" si="233"/>
        <v/>
      </c>
      <c r="AR236" s="23" t="str">
        <f t="shared" si="233"/>
        <v/>
      </c>
      <c r="AS236" s="23" t="str">
        <f t="shared" si="233"/>
        <v/>
      </c>
      <c r="AT236" s="23" t="str">
        <f t="shared" si="233"/>
        <v/>
      </c>
      <c r="AU236" s="23" t="str">
        <f t="shared" si="233"/>
        <v/>
      </c>
      <c r="AV236" s="23" t="str">
        <f t="shared" si="233"/>
        <v/>
      </c>
      <c r="AW236" s="23" t="str">
        <f t="shared" si="233"/>
        <v/>
      </c>
      <c r="AX236" s="23" t="str">
        <f t="shared" si="233"/>
        <v/>
      </c>
      <c r="AY236" s="23" t="str">
        <f t="shared" si="234"/>
        <v/>
      </c>
      <c r="AZ236" s="23" t="str">
        <f t="shared" si="234"/>
        <v/>
      </c>
      <c r="BA236" s="23" t="str">
        <f t="shared" si="234"/>
        <v/>
      </c>
      <c r="BB236" s="23" t="str">
        <f t="shared" si="234"/>
        <v/>
      </c>
      <c r="BC236" s="23" t="str">
        <f t="shared" si="234"/>
        <v/>
      </c>
      <c r="BD236" s="23" t="str">
        <f t="shared" si="234"/>
        <v/>
      </c>
      <c r="BE236" s="23" t="str">
        <f t="shared" si="234"/>
        <v/>
      </c>
      <c r="BF236" s="23" t="str">
        <f t="shared" si="234"/>
        <v/>
      </c>
      <c r="BG236" s="23" t="str">
        <f t="shared" si="234"/>
        <v/>
      </c>
      <c r="BH236" s="23" t="str">
        <f t="shared" si="234"/>
        <v/>
      </c>
      <c r="BI236" s="23" t="str">
        <f t="shared" si="235"/>
        <v/>
      </c>
      <c r="BJ236" s="23" t="str">
        <f t="shared" si="235"/>
        <v/>
      </c>
      <c r="BK236" s="23" t="str">
        <f t="shared" si="235"/>
        <v/>
      </c>
      <c r="BL236" s="23" t="str">
        <f t="shared" si="235"/>
        <v/>
      </c>
      <c r="BM236" s="23" t="str">
        <f t="shared" si="235"/>
        <v/>
      </c>
      <c r="BN236" s="23" t="str">
        <f t="shared" si="235"/>
        <v/>
      </c>
      <c r="BO236" s="23" t="str">
        <f t="shared" si="235"/>
        <v/>
      </c>
      <c r="BP236" s="23" t="str">
        <f t="shared" si="235"/>
        <v/>
      </c>
      <c r="BQ236" s="23" t="str">
        <f t="shared" si="235"/>
        <v/>
      </c>
      <c r="BR236" s="23" t="str">
        <f t="shared" si="235"/>
        <v/>
      </c>
      <c r="BS236" s="23" t="str">
        <f t="shared" si="235"/>
        <v/>
      </c>
      <c r="BU236" s="29" t="s">
        <v>705</v>
      </c>
    </row>
    <row r="237" spans="1:73" ht="17" outlineLevel="1" x14ac:dyDescent="0.2">
      <c r="A237" s="6" t="s">
        <v>706</v>
      </c>
      <c r="B237" s="25" t="s">
        <v>707</v>
      </c>
      <c r="C237" s="6" t="s">
        <v>55</v>
      </c>
      <c r="D237" s="24" t="s">
        <v>121</v>
      </c>
      <c r="F237" s="6"/>
      <c r="G237" s="22">
        <v>11</v>
      </c>
      <c r="H237" s="22">
        <v>15</v>
      </c>
      <c r="I237" s="22">
        <f>MEDIAN($I$235,$J$235,$I$235+ROUND((G237-$G$235)/$H$235*($J$235-$I$235+1),0))</f>
        <v>11</v>
      </c>
      <c r="J237" s="22">
        <f>MEDIAN(I237,$J$235,$I$235+ROUND((G237+H237-$G$235)/$H$235*($J$235-$I$235+1),0)-1)</f>
        <v>25</v>
      </c>
      <c r="K237" s="23" t="str">
        <f t="shared" si="230"/>
        <v/>
      </c>
      <c r="L237" s="23" t="str">
        <f t="shared" si="230"/>
        <v/>
      </c>
      <c r="M237" s="23" t="str">
        <f t="shared" si="230"/>
        <v/>
      </c>
      <c r="N237" s="23" t="str">
        <f t="shared" si="230"/>
        <v/>
      </c>
      <c r="O237" s="23" t="str">
        <f t="shared" si="230"/>
        <v/>
      </c>
      <c r="P237" s="23" t="str">
        <f t="shared" si="230"/>
        <v/>
      </c>
      <c r="Q237" s="23" t="str">
        <f t="shared" si="230"/>
        <v/>
      </c>
      <c r="R237" s="23" t="str">
        <f t="shared" si="230"/>
        <v/>
      </c>
      <c r="S237" s="23" t="str">
        <f t="shared" si="230"/>
        <v/>
      </c>
      <c r="T237" s="23" t="str">
        <f t="shared" si="230"/>
        <v/>
      </c>
      <c r="U237" s="23">
        <f t="shared" si="231"/>
        <v>1</v>
      </c>
      <c r="V237" s="23">
        <f t="shared" si="231"/>
        <v>1</v>
      </c>
      <c r="W237" s="23">
        <f t="shared" si="231"/>
        <v>1</v>
      </c>
      <c r="X237" s="23">
        <f t="shared" si="231"/>
        <v>1</v>
      </c>
      <c r="Y237" s="23">
        <f t="shared" si="231"/>
        <v>1</v>
      </c>
      <c r="Z237" s="23">
        <f t="shared" si="231"/>
        <v>1</v>
      </c>
      <c r="AA237" s="23">
        <f t="shared" si="231"/>
        <v>1</v>
      </c>
      <c r="AB237" s="23">
        <f t="shared" si="231"/>
        <v>1</v>
      </c>
      <c r="AC237" s="23">
        <f t="shared" si="231"/>
        <v>1</v>
      </c>
      <c r="AD237" s="23">
        <f t="shared" si="231"/>
        <v>1</v>
      </c>
      <c r="AE237" s="23">
        <f t="shared" si="232"/>
        <v>1</v>
      </c>
      <c r="AF237" s="23">
        <f t="shared" si="232"/>
        <v>1</v>
      </c>
      <c r="AG237" s="23">
        <f t="shared" si="232"/>
        <v>1</v>
      </c>
      <c r="AH237" s="23">
        <f t="shared" si="232"/>
        <v>1</v>
      </c>
      <c r="AI237" s="23">
        <f t="shared" si="232"/>
        <v>1</v>
      </c>
      <c r="AJ237" s="23" t="str">
        <f t="shared" si="232"/>
        <v/>
      </c>
      <c r="AK237" s="23" t="str">
        <f t="shared" si="232"/>
        <v/>
      </c>
      <c r="AL237" s="23" t="str">
        <f t="shared" si="232"/>
        <v/>
      </c>
      <c r="AM237" s="23" t="str">
        <f t="shared" si="232"/>
        <v/>
      </c>
      <c r="AN237" s="23" t="str">
        <f t="shared" si="232"/>
        <v/>
      </c>
      <c r="AO237" s="23" t="str">
        <f t="shared" si="233"/>
        <v/>
      </c>
      <c r="AP237" s="23" t="str">
        <f t="shared" si="233"/>
        <v/>
      </c>
      <c r="AQ237" s="23" t="str">
        <f t="shared" si="233"/>
        <v/>
      </c>
      <c r="AR237" s="23" t="str">
        <f t="shared" si="233"/>
        <v/>
      </c>
      <c r="AS237" s="23" t="str">
        <f t="shared" si="233"/>
        <v/>
      </c>
      <c r="AT237" s="23" t="str">
        <f t="shared" si="233"/>
        <v/>
      </c>
      <c r="AU237" s="23" t="str">
        <f t="shared" si="233"/>
        <v/>
      </c>
      <c r="AV237" s="23" t="str">
        <f t="shared" si="233"/>
        <v/>
      </c>
      <c r="AW237" s="23" t="str">
        <f t="shared" si="233"/>
        <v/>
      </c>
      <c r="AX237" s="23" t="str">
        <f t="shared" si="233"/>
        <v/>
      </c>
      <c r="AY237" s="23" t="str">
        <f t="shared" si="234"/>
        <v/>
      </c>
      <c r="AZ237" s="23" t="str">
        <f t="shared" si="234"/>
        <v/>
      </c>
      <c r="BA237" s="23" t="str">
        <f t="shared" si="234"/>
        <v/>
      </c>
      <c r="BB237" s="23" t="str">
        <f t="shared" si="234"/>
        <v/>
      </c>
      <c r="BC237" s="23" t="str">
        <f t="shared" si="234"/>
        <v/>
      </c>
      <c r="BD237" s="23" t="str">
        <f t="shared" si="234"/>
        <v/>
      </c>
      <c r="BE237" s="23" t="str">
        <f t="shared" si="234"/>
        <v/>
      </c>
      <c r="BF237" s="23" t="str">
        <f t="shared" si="234"/>
        <v/>
      </c>
      <c r="BG237" s="23" t="str">
        <f t="shared" si="234"/>
        <v/>
      </c>
      <c r="BH237" s="23" t="str">
        <f t="shared" si="234"/>
        <v/>
      </c>
      <c r="BI237" s="23" t="str">
        <f t="shared" si="235"/>
        <v/>
      </c>
      <c r="BJ237" s="23" t="str">
        <f t="shared" si="235"/>
        <v/>
      </c>
      <c r="BK237" s="23" t="str">
        <f t="shared" si="235"/>
        <v/>
      </c>
      <c r="BL237" s="23" t="str">
        <f t="shared" si="235"/>
        <v/>
      </c>
      <c r="BM237" s="23" t="str">
        <f t="shared" si="235"/>
        <v/>
      </c>
      <c r="BN237" s="23" t="str">
        <f t="shared" si="235"/>
        <v/>
      </c>
      <c r="BO237" s="23" t="str">
        <f t="shared" si="235"/>
        <v/>
      </c>
      <c r="BP237" s="23" t="str">
        <f t="shared" si="235"/>
        <v/>
      </c>
      <c r="BQ237" s="23" t="str">
        <f t="shared" si="235"/>
        <v/>
      </c>
      <c r="BR237" s="23" t="str">
        <f t="shared" si="235"/>
        <v/>
      </c>
      <c r="BS237" s="23" t="str">
        <f t="shared" si="235"/>
        <v/>
      </c>
      <c r="BU237" s="29" t="s">
        <v>708</v>
      </c>
    </row>
    <row r="238" spans="1:73" ht="34" outlineLevel="1" x14ac:dyDescent="0.2">
      <c r="A238" s="6" t="s">
        <v>709</v>
      </c>
      <c r="B238" s="25" t="s">
        <v>710</v>
      </c>
      <c r="C238" s="6" t="s">
        <v>55</v>
      </c>
      <c r="D238" s="24" t="s">
        <v>128</v>
      </c>
      <c r="F238" s="6" t="s">
        <v>703</v>
      </c>
      <c r="G238" s="22">
        <v>22</v>
      </c>
      <c r="H238" s="22">
        <v>6</v>
      </c>
      <c r="I238" s="22">
        <f>MEDIAN($I$235,$J$235,$I$235+ROUND((G238-$G$235)/$H$235*($J$235-$I$235+1),0))</f>
        <v>22</v>
      </c>
      <c r="J238" s="22">
        <f>MEDIAN(I238,$J$235,$I$235+ROUND((G238+H238-$G$235)/$H$235*($J$235-$I$235+1),0)-1)</f>
        <v>27</v>
      </c>
      <c r="K238" s="23" t="str">
        <f t="shared" si="230"/>
        <v/>
      </c>
      <c r="L238" s="23" t="str">
        <f t="shared" si="230"/>
        <v/>
      </c>
      <c r="M238" s="23" t="str">
        <f t="shared" si="230"/>
        <v/>
      </c>
      <c r="N238" s="23" t="str">
        <f t="shared" si="230"/>
        <v/>
      </c>
      <c r="O238" s="23" t="str">
        <f t="shared" si="230"/>
        <v/>
      </c>
      <c r="P238" s="23" t="str">
        <f t="shared" si="230"/>
        <v/>
      </c>
      <c r="Q238" s="23" t="str">
        <f t="shared" si="230"/>
        <v/>
      </c>
      <c r="R238" s="23" t="str">
        <f t="shared" si="230"/>
        <v/>
      </c>
      <c r="S238" s="23" t="str">
        <f t="shared" si="230"/>
        <v/>
      </c>
      <c r="T238" s="23" t="str">
        <f t="shared" si="230"/>
        <v/>
      </c>
      <c r="U238" s="23" t="str">
        <f t="shared" si="231"/>
        <v/>
      </c>
      <c r="V238" s="23" t="str">
        <f t="shared" si="231"/>
        <v/>
      </c>
      <c r="W238" s="23" t="str">
        <f t="shared" si="231"/>
        <v/>
      </c>
      <c r="X238" s="23" t="str">
        <f t="shared" si="231"/>
        <v/>
      </c>
      <c r="Y238" s="23" t="str">
        <f t="shared" si="231"/>
        <v/>
      </c>
      <c r="Z238" s="23" t="str">
        <f t="shared" si="231"/>
        <v/>
      </c>
      <c r="AA238" s="23" t="str">
        <f t="shared" si="231"/>
        <v/>
      </c>
      <c r="AB238" s="23" t="str">
        <f t="shared" si="231"/>
        <v/>
      </c>
      <c r="AC238" s="23" t="str">
        <f t="shared" si="231"/>
        <v/>
      </c>
      <c r="AD238" s="23" t="str">
        <f t="shared" si="231"/>
        <v/>
      </c>
      <c r="AE238" s="23" t="str">
        <f t="shared" si="232"/>
        <v/>
      </c>
      <c r="AF238" s="23">
        <f t="shared" si="232"/>
        <v>1</v>
      </c>
      <c r="AG238" s="23">
        <f t="shared" si="232"/>
        <v>1</v>
      </c>
      <c r="AH238" s="23">
        <f t="shared" si="232"/>
        <v>1</v>
      </c>
      <c r="AI238" s="23">
        <f t="shared" si="232"/>
        <v>1</v>
      </c>
      <c r="AJ238" s="23">
        <f t="shared" si="232"/>
        <v>1</v>
      </c>
      <c r="AK238" s="23">
        <f t="shared" si="232"/>
        <v>1</v>
      </c>
      <c r="AL238" s="23" t="str">
        <f t="shared" si="232"/>
        <v/>
      </c>
      <c r="AM238" s="23" t="str">
        <f t="shared" si="232"/>
        <v/>
      </c>
      <c r="AN238" s="23" t="str">
        <f t="shared" si="232"/>
        <v/>
      </c>
      <c r="AO238" s="23" t="str">
        <f t="shared" si="233"/>
        <v/>
      </c>
      <c r="AP238" s="23" t="str">
        <f t="shared" si="233"/>
        <v/>
      </c>
      <c r="AQ238" s="23" t="str">
        <f t="shared" si="233"/>
        <v/>
      </c>
      <c r="AR238" s="23" t="str">
        <f t="shared" si="233"/>
        <v/>
      </c>
      <c r="AS238" s="23" t="str">
        <f t="shared" si="233"/>
        <v/>
      </c>
      <c r="AT238" s="23" t="str">
        <f t="shared" si="233"/>
        <v/>
      </c>
      <c r="AU238" s="23" t="str">
        <f t="shared" si="233"/>
        <v/>
      </c>
      <c r="AV238" s="23" t="str">
        <f t="shared" si="233"/>
        <v/>
      </c>
      <c r="AW238" s="23" t="str">
        <f t="shared" si="233"/>
        <v/>
      </c>
      <c r="AX238" s="23" t="str">
        <f t="shared" si="233"/>
        <v/>
      </c>
      <c r="AY238" s="23" t="str">
        <f t="shared" si="234"/>
        <v/>
      </c>
      <c r="AZ238" s="23" t="str">
        <f t="shared" si="234"/>
        <v/>
      </c>
      <c r="BA238" s="23" t="str">
        <f t="shared" si="234"/>
        <v/>
      </c>
      <c r="BB238" s="23" t="str">
        <f t="shared" si="234"/>
        <v/>
      </c>
      <c r="BC238" s="23" t="str">
        <f t="shared" si="234"/>
        <v/>
      </c>
      <c r="BD238" s="23" t="str">
        <f t="shared" si="234"/>
        <v/>
      </c>
      <c r="BE238" s="23" t="str">
        <f t="shared" si="234"/>
        <v/>
      </c>
      <c r="BF238" s="23" t="str">
        <f t="shared" si="234"/>
        <v/>
      </c>
      <c r="BG238" s="23" t="str">
        <f t="shared" si="234"/>
        <v/>
      </c>
      <c r="BH238" s="23" t="str">
        <f t="shared" si="234"/>
        <v/>
      </c>
      <c r="BI238" s="23" t="str">
        <f t="shared" si="235"/>
        <v/>
      </c>
      <c r="BJ238" s="23" t="str">
        <f t="shared" si="235"/>
        <v/>
      </c>
      <c r="BK238" s="23" t="str">
        <f t="shared" si="235"/>
        <v/>
      </c>
      <c r="BL238" s="23" t="str">
        <f t="shared" si="235"/>
        <v/>
      </c>
      <c r="BM238" s="23" t="str">
        <f t="shared" si="235"/>
        <v/>
      </c>
      <c r="BN238" s="23" t="str">
        <f t="shared" si="235"/>
        <v/>
      </c>
      <c r="BO238" s="23" t="str">
        <f t="shared" si="235"/>
        <v/>
      </c>
      <c r="BP238" s="23" t="str">
        <f t="shared" si="235"/>
        <v/>
      </c>
      <c r="BQ238" s="23" t="str">
        <f t="shared" si="235"/>
        <v/>
      </c>
      <c r="BR238" s="23" t="str">
        <f t="shared" si="235"/>
        <v/>
      </c>
      <c r="BS238" s="23" t="str">
        <f t="shared" si="235"/>
        <v/>
      </c>
      <c r="BU238" s="29" t="s">
        <v>711</v>
      </c>
    </row>
    <row r="239" spans="1:73" ht="34" outlineLevel="1" x14ac:dyDescent="0.2">
      <c r="A239" s="6" t="s">
        <v>712</v>
      </c>
      <c r="B239" s="25" t="s">
        <v>713</v>
      </c>
      <c r="C239" s="6" t="s">
        <v>55</v>
      </c>
      <c r="D239" s="24" t="s">
        <v>128</v>
      </c>
      <c r="F239" s="6" t="s">
        <v>714</v>
      </c>
      <c r="G239" s="22">
        <v>26</v>
      </c>
      <c r="H239" s="22">
        <v>4</v>
      </c>
      <c r="I239" s="22">
        <f>MEDIAN($I$235,$J$235,$I$235+ROUND((G239-$G$235)/$H$235*($J$235-$I$235+1),0))</f>
        <v>26</v>
      </c>
      <c r="J239" s="22">
        <f>MEDIAN(I239,$J$235,$I$235+ROUND((G239+H239-$G$235)/$H$235*($J$235-$I$235+1),0)-1)</f>
        <v>29</v>
      </c>
      <c r="K239" s="23" t="str">
        <f t="shared" si="230"/>
        <v/>
      </c>
      <c r="L239" s="23" t="str">
        <f t="shared" si="230"/>
        <v/>
      </c>
      <c r="M239" s="23" t="str">
        <f t="shared" si="230"/>
        <v/>
      </c>
      <c r="N239" s="23" t="str">
        <f t="shared" si="230"/>
        <v/>
      </c>
      <c r="O239" s="23" t="str">
        <f t="shared" si="230"/>
        <v/>
      </c>
      <c r="P239" s="23" t="str">
        <f t="shared" si="230"/>
        <v/>
      </c>
      <c r="Q239" s="23" t="str">
        <f t="shared" si="230"/>
        <v/>
      </c>
      <c r="R239" s="23" t="str">
        <f t="shared" si="230"/>
        <v/>
      </c>
      <c r="S239" s="23" t="str">
        <f t="shared" si="230"/>
        <v/>
      </c>
      <c r="T239" s="23" t="str">
        <f t="shared" si="230"/>
        <v/>
      </c>
      <c r="U239" s="23" t="str">
        <f t="shared" si="231"/>
        <v/>
      </c>
      <c r="V239" s="23" t="str">
        <f t="shared" si="231"/>
        <v/>
      </c>
      <c r="W239" s="23" t="str">
        <f t="shared" si="231"/>
        <v/>
      </c>
      <c r="X239" s="23" t="str">
        <f t="shared" si="231"/>
        <v/>
      </c>
      <c r="Y239" s="23" t="str">
        <f t="shared" si="231"/>
        <v/>
      </c>
      <c r="Z239" s="23" t="str">
        <f t="shared" si="231"/>
        <v/>
      </c>
      <c r="AA239" s="23" t="str">
        <f t="shared" si="231"/>
        <v/>
      </c>
      <c r="AB239" s="23" t="str">
        <f t="shared" si="231"/>
        <v/>
      </c>
      <c r="AC239" s="23" t="str">
        <f t="shared" si="231"/>
        <v/>
      </c>
      <c r="AD239" s="23" t="str">
        <f t="shared" si="231"/>
        <v/>
      </c>
      <c r="AE239" s="23" t="str">
        <f t="shared" si="232"/>
        <v/>
      </c>
      <c r="AF239" s="23" t="str">
        <f t="shared" si="232"/>
        <v/>
      </c>
      <c r="AG239" s="23" t="str">
        <f t="shared" si="232"/>
        <v/>
      </c>
      <c r="AH239" s="23" t="str">
        <f t="shared" si="232"/>
        <v/>
      </c>
      <c r="AI239" s="23" t="str">
        <f t="shared" si="232"/>
        <v/>
      </c>
      <c r="AJ239" s="23">
        <f t="shared" si="232"/>
        <v>1</v>
      </c>
      <c r="AK239" s="23">
        <f t="shared" si="232"/>
        <v>1</v>
      </c>
      <c r="AL239" s="23">
        <f t="shared" si="232"/>
        <v>1</v>
      </c>
      <c r="AM239" s="23">
        <f t="shared" si="232"/>
        <v>1</v>
      </c>
      <c r="AN239" s="23" t="str">
        <f t="shared" si="232"/>
        <v/>
      </c>
      <c r="AO239" s="23" t="str">
        <f t="shared" si="233"/>
        <v/>
      </c>
      <c r="AP239" s="23" t="str">
        <f t="shared" si="233"/>
        <v/>
      </c>
      <c r="AQ239" s="23" t="str">
        <f t="shared" si="233"/>
        <v/>
      </c>
      <c r="AR239" s="23" t="str">
        <f t="shared" si="233"/>
        <v/>
      </c>
      <c r="AS239" s="23" t="str">
        <f t="shared" si="233"/>
        <v/>
      </c>
      <c r="AT239" s="23" t="str">
        <f t="shared" si="233"/>
        <v/>
      </c>
      <c r="AU239" s="23" t="str">
        <f t="shared" si="233"/>
        <v/>
      </c>
      <c r="AV239" s="23" t="str">
        <f t="shared" si="233"/>
        <v/>
      </c>
      <c r="AW239" s="23" t="str">
        <f t="shared" si="233"/>
        <v/>
      </c>
      <c r="AX239" s="23" t="str">
        <f t="shared" si="233"/>
        <v/>
      </c>
      <c r="AY239" s="23" t="str">
        <f t="shared" si="234"/>
        <v/>
      </c>
      <c r="AZ239" s="23" t="str">
        <f t="shared" si="234"/>
        <v/>
      </c>
      <c r="BA239" s="23" t="str">
        <f t="shared" si="234"/>
        <v/>
      </c>
      <c r="BB239" s="23" t="str">
        <f t="shared" si="234"/>
        <v/>
      </c>
      <c r="BC239" s="23" t="str">
        <f t="shared" si="234"/>
        <v/>
      </c>
      <c r="BD239" s="23" t="str">
        <f t="shared" si="234"/>
        <v/>
      </c>
      <c r="BE239" s="23" t="str">
        <f t="shared" si="234"/>
        <v/>
      </c>
      <c r="BF239" s="23" t="str">
        <f t="shared" si="234"/>
        <v/>
      </c>
      <c r="BG239" s="23" t="str">
        <f t="shared" si="234"/>
        <v/>
      </c>
      <c r="BH239" s="23" t="str">
        <f t="shared" si="234"/>
        <v/>
      </c>
      <c r="BI239" s="23" t="str">
        <f t="shared" si="235"/>
        <v/>
      </c>
      <c r="BJ239" s="23" t="str">
        <f t="shared" si="235"/>
        <v/>
      </c>
      <c r="BK239" s="23" t="str">
        <f t="shared" si="235"/>
        <v/>
      </c>
      <c r="BL239" s="23" t="str">
        <f t="shared" si="235"/>
        <v/>
      </c>
      <c r="BM239" s="23" t="str">
        <f t="shared" si="235"/>
        <v/>
      </c>
      <c r="BN239" s="23" t="str">
        <f t="shared" si="235"/>
        <v/>
      </c>
      <c r="BO239" s="23" t="str">
        <f t="shared" si="235"/>
        <v/>
      </c>
      <c r="BP239" s="23" t="str">
        <f t="shared" si="235"/>
        <v/>
      </c>
      <c r="BQ239" s="23" t="str">
        <f t="shared" si="235"/>
        <v/>
      </c>
      <c r="BR239" s="23" t="str">
        <f t="shared" si="235"/>
        <v/>
      </c>
      <c r="BS239" s="23" t="str">
        <f t="shared" si="235"/>
        <v/>
      </c>
      <c r="BU239" s="29" t="s">
        <v>715</v>
      </c>
    </row>
    <row r="240" spans="1:73" ht="34" outlineLevel="1" x14ac:dyDescent="0.2">
      <c r="A240" s="6" t="s">
        <v>716</v>
      </c>
      <c r="B240" s="25" t="s">
        <v>717</v>
      </c>
      <c r="C240" s="6" t="s">
        <v>55</v>
      </c>
      <c r="D240" s="24" t="s">
        <v>128</v>
      </c>
      <c r="F240" s="6" t="s">
        <v>712</v>
      </c>
      <c r="G240" s="22">
        <v>30</v>
      </c>
      <c r="H240" s="22">
        <v>6</v>
      </c>
      <c r="I240" s="22">
        <f>MEDIAN($I$235,$J$235,$I$235+ROUND((G240-$G$235)/$H$235*($J$235-$I$235+1),0))</f>
        <v>30</v>
      </c>
      <c r="J240" s="22">
        <f>MEDIAN(I240,$J$235,$I$235+ROUND((G240+H240-$G$235)/$H$235*($J$235-$I$235+1),0)-1)</f>
        <v>35</v>
      </c>
      <c r="K240" s="23" t="str">
        <f t="shared" si="230"/>
        <v/>
      </c>
      <c r="L240" s="23" t="str">
        <f t="shared" si="230"/>
        <v/>
      </c>
      <c r="M240" s="23" t="str">
        <f t="shared" si="230"/>
        <v/>
      </c>
      <c r="N240" s="23" t="str">
        <f t="shared" si="230"/>
        <v/>
      </c>
      <c r="O240" s="23" t="str">
        <f t="shared" si="230"/>
        <v/>
      </c>
      <c r="P240" s="23" t="str">
        <f t="shared" si="230"/>
        <v/>
      </c>
      <c r="Q240" s="23" t="str">
        <f t="shared" si="230"/>
        <v/>
      </c>
      <c r="R240" s="23" t="str">
        <f t="shared" si="230"/>
        <v/>
      </c>
      <c r="S240" s="23" t="str">
        <f t="shared" si="230"/>
        <v/>
      </c>
      <c r="T240" s="23" t="str">
        <f t="shared" si="230"/>
        <v/>
      </c>
      <c r="U240" s="23" t="str">
        <f t="shared" si="231"/>
        <v/>
      </c>
      <c r="V240" s="23" t="str">
        <f t="shared" si="231"/>
        <v/>
      </c>
      <c r="W240" s="23" t="str">
        <f t="shared" si="231"/>
        <v/>
      </c>
      <c r="X240" s="23" t="str">
        <f t="shared" si="231"/>
        <v/>
      </c>
      <c r="Y240" s="23" t="str">
        <f t="shared" si="231"/>
        <v/>
      </c>
      <c r="Z240" s="23" t="str">
        <f t="shared" si="231"/>
        <v/>
      </c>
      <c r="AA240" s="23" t="str">
        <f t="shared" si="231"/>
        <v/>
      </c>
      <c r="AB240" s="23" t="str">
        <f t="shared" si="231"/>
        <v/>
      </c>
      <c r="AC240" s="23" t="str">
        <f t="shared" si="231"/>
        <v/>
      </c>
      <c r="AD240" s="23" t="str">
        <f t="shared" si="231"/>
        <v/>
      </c>
      <c r="AE240" s="23" t="str">
        <f t="shared" si="232"/>
        <v/>
      </c>
      <c r="AF240" s="23" t="str">
        <f t="shared" si="232"/>
        <v/>
      </c>
      <c r="AG240" s="23" t="str">
        <f t="shared" si="232"/>
        <v/>
      </c>
      <c r="AH240" s="23" t="str">
        <f t="shared" si="232"/>
        <v/>
      </c>
      <c r="AI240" s="23" t="str">
        <f t="shared" si="232"/>
        <v/>
      </c>
      <c r="AJ240" s="23" t="str">
        <f t="shared" si="232"/>
        <v/>
      </c>
      <c r="AK240" s="23" t="str">
        <f t="shared" si="232"/>
        <v/>
      </c>
      <c r="AL240" s="23" t="str">
        <f t="shared" si="232"/>
        <v/>
      </c>
      <c r="AM240" s="23" t="str">
        <f t="shared" si="232"/>
        <v/>
      </c>
      <c r="AN240" s="23">
        <f t="shared" si="232"/>
        <v>1</v>
      </c>
      <c r="AO240" s="23">
        <f t="shared" si="233"/>
        <v>1</v>
      </c>
      <c r="AP240" s="23">
        <f t="shared" si="233"/>
        <v>1</v>
      </c>
      <c r="AQ240" s="23">
        <f t="shared" si="233"/>
        <v>1</v>
      </c>
      <c r="AR240" s="23">
        <f t="shared" si="233"/>
        <v>1</v>
      </c>
      <c r="AS240" s="23">
        <f t="shared" si="233"/>
        <v>1</v>
      </c>
      <c r="AT240" s="23" t="str">
        <f t="shared" si="233"/>
        <v/>
      </c>
      <c r="AU240" s="23" t="str">
        <f t="shared" si="233"/>
        <v/>
      </c>
      <c r="AV240" s="23" t="str">
        <f t="shared" si="233"/>
        <v/>
      </c>
      <c r="AW240" s="23" t="str">
        <f t="shared" si="233"/>
        <v/>
      </c>
      <c r="AX240" s="23" t="str">
        <f t="shared" si="233"/>
        <v/>
      </c>
      <c r="AY240" s="23" t="str">
        <f t="shared" si="234"/>
        <v/>
      </c>
      <c r="AZ240" s="23" t="str">
        <f t="shared" si="234"/>
        <v/>
      </c>
      <c r="BA240" s="23" t="str">
        <f t="shared" si="234"/>
        <v/>
      </c>
      <c r="BB240" s="23" t="str">
        <f t="shared" si="234"/>
        <v/>
      </c>
      <c r="BC240" s="23" t="str">
        <f t="shared" si="234"/>
        <v/>
      </c>
      <c r="BD240" s="23" t="str">
        <f t="shared" si="234"/>
        <v/>
      </c>
      <c r="BE240" s="23" t="str">
        <f t="shared" si="234"/>
        <v/>
      </c>
      <c r="BF240" s="23" t="str">
        <f t="shared" si="234"/>
        <v/>
      </c>
      <c r="BG240" s="23" t="str">
        <f t="shared" si="234"/>
        <v/>
      </c>
      <c r="BH240" s="23" t="str">
        <f t="shared" si="234"/>
        <v/>
      </c>
      <c r="BI240" s="23" t="str">
        <f t="shared" si="235"/>
        <v/>
      </c>
      <c r="BJ240" s="23" t="str">
        <f t="shared" si="235"/>
        <v/>
      </c>
      <c r="BK240" s="23" t="str">
        <f t="shared" si="235"/>
        <v/>
      </c>
      <c r="BL240" s="23" t="str">
        <f t="shared" si="235"/>
        <v/>
      </c>
      <c r="BM240" s="23" t="str">
        <f t="shared" si="235"/>
        <v/>
      </c>
      <c r="BN240" s="23" t="str">
        <f t="shared" si="235"/>
        <v/>
      </c>
      <c r="BO240" s="23" t="str">
        <f t="shared" si="235"/>
        <v/>
      </c>
      <c r="BP240" s="23" t="str">
        <f t="shared" si="235"/>
        <v/>
      </c>
      <c r="BQ240" s="23" t="str">
        <f t="shared" si="235"/>
        <v/>
      </c>
      <c r="BR240" s="23" t="str">
        <f t="shared" si="235"/>
        <v/>
      </c>
      <c r="BS240" s="23" t="str">
        <f t="shared" si="235"/>
        <v/>
      </c>
      <c r="BU240" s="29" t="s">
        <v>718</v>
      </c>
    </row>
    <row r="241" spans="1:73" x14ac:dyDescent="0.2">
      <c r="BU241" s="30"/>
    </row>
    <row r="242" spans="1:73" ht="17" x14ac:dyDescent="0.2">
      <c r="A242" s="19" t="s">
        <v>719</v>
      </c>
      <c r="B242" s="20" t="s">
        <v>720</v>
      </c>
      <c r="C242" s="19" t="s">
        <v>55</v>
      </c>
      <c r="D242" s="21" t="s">
        <v>128</v>
      </c>
      <c r="E242" s="19"/>
      <c r="F242" s="19" t="s">
        <v>700</v>
      </c>
      <c r="G242" s="22">
        <v>30</v>
      </c>
      <c r="H242" s="22">
        <v>6</v>
      </c>
      <c r="I242" s="22">
        <f>MIN(61,IF(G242&lt;=29,ROUND((G242-1)*(29+SlipWeeks)/29,0)+1,G242+SlipWeeks))</f>
        <v>30</v>
      </c>
      <c r="J242" s="22">
        <f>MIN(61,I242+H242-1)</f>
        <v>35</v>
      </c>
      <c r="K242" s="23" t="str">
        <f t="shared" ref="K242:T245" si="236">IF(AND(K$4&gt;=$I242,K$4&lt;=$J242),1,"")</f>
        <v/>
      </c>
      <c r="L242" s="23" t="str">
        <f t="shared" si="236"/>
        <v/>
      </c>
      <c r="M242" s="23" t="str">
        <f t="shared" si="236"/>
        <v/>
      </c>
      <c r="N242" s="23" t="str">
        <f t="shared" si="236"/>
        <v/>
      </c>
      <c r="O242" s="23" t="str">
        <f t="shared" si="236"/>
        <v/>
      </c>
      <c r="P242" s="23" t="str">
        <f t="shared" si="236"/>
        <v/>
      </c>
      <c r="Q242" s="23" t="str">
        <f t="shared" si="236"/>
        <v/>
      </c>
      <c r="R242" s="23" t="str">
        <f t="shared" si="236"/>
        <v/>
      </c>
      <c r="S242" s="23" t="str">
        <f t="shared" si="236"/>
        <v/>
      </c>
      <c r="T242" s="23" t="str">
        <f t="shared" si="236"/>
        <v/>
      </c>
      <c r="U242" s="23" t="str">
        <f t="shared" ref="U242:AD245" si="237">IF(AND(U$4&gt;=$I242,U$4&lt;=$J242),1,"")</f>
        <v/>
      </c>
      <c r="V242" s="23" t="str">
        <f t="shared" si="237"/>
        <v/>
      </c>
      <c r="W242" s="23" t="str">
        <f t="shared" si="237"/>
        <v/>
      </c>
      <c r="X242" s="23" t="str">
        <f t="shared" si="237"/>
        <v/>
      </c>
      <c r="Y242" s="23" t="str">
        <f t="shared" si="237"/>
        <v/>
      </c>
      <c r="Z242" s="23" t="str">
        <f t="shared" si="237"/>
        <v/>
      </c>
      <c r="AA242" s="23" t="str">
        <f t="shared" si="237"/>
        <v/>
      </c>
      <c r="AB242" s="23" t="str">
        <f t="shared" si="237"/>
        <v/>
      </c>
      <c r="AC242" s="23" t="str">
        <f t="shared" si="237"/>
        <v/>
      </c>
      <c r="AD242" s="23" t="str">
        <f t="shared" si="237"/>
        <v/>
      </c>
      <c r="AE242" s="23" t="str">
        <f t="shared" ref="AE242:AN245" si="238">IF(AND(AE$4&gt;=$I242,AE$4&lt;=$J242),1,"")</f>
        <v/>
      </c>
      <c r="AF242" s="23" t="str">
        <f t="shared" si="238"/>
        <v/>
      </c>
      <c r="AG242" s="23" t="str">
        <f t="shared" si="238"/>
        <v/>
      </c>
      <c r="AH242" s="23" t="str">
        <f t="shared" si="238"/>
        <v/>
      </c>
      <c r="AI242" s="23" t="str">
        <f t="shared" si="238"/>
        <v/>
      </c>
      <c r="AJ242" s="23" t="str">
        <f t="shared" si="238"/>
        <v/>
      </c>
      <c r="AK242" s="23" t="str">
        <f t="shared" si="238"/>
        <v/>
      </c>
      <c r="AL242" s="23" t="str">
        <f t="shared" si="238"/>
        <v/>
      </c>
      <c r="AM242" s="23" t="str">
        <f t="shared" si="238"/>
        <v/>
      </c>
      <c r="AN242" s="23">
        <f t="shared" si="238"/>
        <v>1</v>
      </c>
      <c r="AO242" s="23">
        <f t="shared" ref="AO242:AX245" si="239">IF(AND(AO$4&gt;=$I242,AO$4&lt;=$J242),1,"")</f>
        <v>1</v>
      </c>
      <c r="AP242" s="23">
        <f t="shared" si="239"/>
        <v>1</v>
      </c>
      <c r="AQ242" s="23">
        <f t="shared" si="239"/>
        <v>1</v>
      </c>
      <c r="AR242" s="23">
        <f t="shared" si="239"/>
        <v>1</v>
      </c>
      <c r="AS242" s="23">
        <f t="shared" si="239"/>
        <v>1</v>
      </c>
      <c r="AT242" s="23" t="str">
        <f t="shared" si="239"/>
        <v/>
      </c>
      <c r="AU242" s="23" t="str">
        <f t="shared" si="239"/>
        <v/>
      </c>
      <c r="AV242" s="23" t="str">
        <f t="shared" si="239"/>
        <v/>
      </c>
      <c r="AW242" s="23" t="str">
        <f t="shared" si="239"/>
        <v/>
      </c>
      <c r="AX242" s="23" t="str">
        <f t="shared" si="239"/>
        <v/>
      </c>
      <c r="AY242" s="23" t="str">
        <f t="shared" ref="AY242:BH245" si="240">IF(AND(AY$4&gt;=$I242,AY$4&lt;=$J242),1,"")</f>
        <v/>
      </c>
      <c r="AZ242" s="23" t="str">
        <f t="shared" si="240"/>
        <v/>
      </c>
      <c r="BA242" s="23" t="str">
        <f t="shared" si="240"/>
        <v/>
      </c>
      <c r="BB242" s="23" t="str">
        <f t="shared" si="240"/>
        <v/>
      </c>
      <c r="BC242" s="23" t="str">
        <f t="shared" si="240"/>
        <v/>
      </c>
      <c r="BD242" s="23" t="str">
        <f t="shared" si="240"/>
        <v/>
      </c>
      <c r="BE242" s="23" t="str">
        <f t="shared" si="240"/>
        <v/>
      </c>
      <c r="BF242" s="23" t="str">
        <f t="shared" si="240"/>
        <v/>
      </c>
      <c r="BG242" s="23" t="str">
        <f t="shared" si="240"/>
        <v/>
      </c>
      <c r="BH242" s="23" t="str">
        <f t="shared" si="240"/>
        <v/>
      </c>
      <c r="BI242" s="23" t="str">
        <f t="shared" ref="BI242:BS245" si="241">IF(AND(BI$4&gt;=$I242,BI$4&lt;=$J242),1,"")</f>
        <v/>
      </c>
      <c r="BJ242" s="23" t="str">
        <f t="shared" si="241"/>
        <v/>
      </c>
      <c r="BK242" s="23" t="str">
        <f t="shared" si="241"/>
        <v/>
      </c>
      <c r="BL242" s="23" t="str">
        <f t="shared" si="241"/>
        <v/>
      </c>
      <c r="BM242" s="23" t="str">
        <f t="shared" si="241"/>
        <v/>
      </c>
      <c r="BN242" s="23" t="str">
        <f t="shared" si="241"/>
        <v/>
      </c>
      <c r="BO242" s="23" t="str">
        <f t="shared" si="241"/>
        <v/>
      </c>
      <c r="BP242" s="23" t="str">
        <f t="shared" si="241"/>
        <v/>
      </c>
      <c r="BQ242" s="23" t="str">
        <f t="shared" si="241"/>
        <v/>
      </c>
      <c r="BR242" s="23" t="str">
        <f t="shared" si="241"/>
        <v/>
      </c>
      <c r="BS242" s="23" t="str">
        <f t="shared" si="241"/>
        <v/>
      </c>
      <c r="BT242" s="24" t="str">
        <f>IF($I242+H242-1&gt;61,"▶ clipped","")</f>
        <v/>
      </c>
      <c r="BU242" s="29" t="s">
        <v>721</v>
      </c>
    </row>
    <row r="243" spans="1:73" ht="34" outlineLevel="1" x14ac:dyDescent="0.2">
      <c r="A243" s="6" t="s">
        <v>722</v>
      </c>
      <c r="B243" s="25" t="s">
        <v>723</v>
      </c>
      <c r="C243" s="6" t="s">
        <v>55</v>
      </c>
      <c r="D243" s="24" t="s">
        <v>128</v>
      </c>
      <c r="F243" s="6"/>
      <c r="G243" s="22">
        <v>30</v>
      </c>
      <c r="H243" s="22">
        <v>1</v>
      </c>
      <c r="I243" s="22">
        <f>MEDIAN($I$242,$J$242,$I$242+ROUND((G243-$G$242)/$H$242*($J$242-$I$242+1),0))</f>
        <v>30</v>
      </c>
      <c r="J243" s="22">
        <f>MEDIAN(I243,$J$242,$I$242+ROUND((G243+H243-$G$242)/$H$242*($J$242-$I$242+1),0)-1)</f>
        <v>30</v>
      </c>
      <c r="K243" s="23" t="str">
        <f t="shared" si="236"/>
        <v/>
      </c>
      <c r="L243" s="23" t="str">
        <f t="shared" si="236"/>
        <v/>
      </c>
      <c r="M243" s="23" t="str">
        <f t="shared" si="236"/>
        <v/>
      </c>
      <c r="N243" s="23" t="str">
        <f t="shared" si="236"/>
        <v/>
      </c>
      <c r="O243" s="23" t="str">
        <f t="shared" si="236"/>
        <v/>
      </c>
      <c r="P243" s="23" t="str">
        <f t="shared" si="236"/>
        <v/>
      </c>
      <c r="Q243" s="23" t="str">
        <f t="shared" si="236"/>
        <v/>
      </c>
      <c r="R243" s="23" t="str">
        <f t="shared" si="236"/>
        <v/>
      </c>
      <c r="S243" s="23" t="str">
        <f t="shared" si="236"/>
        <v/>
      </c>
      <c r="T243" s="23" t="str">
        <f t="shared" si="236"/>
        <v/>
      </c>
      <c r="U243" s="23" t="str">
        <f t="shared" si="237"/>
        <v/>
      </c>
      <c r="V243" s="23" t="str">
        <f t="shared" si="237"/>
        <v/>
      </c>
      <c r="W243" s="23" t="str">
        <f t="shared" si="237"/>
        <v/>
      </c>
      <c r="X243" s="23" t="str">
        <f t="shared" si="237"/>
        <v/>
      </c>
      <c r="Y243" s="23" t="str">
        <f t="shared" si="237"/>
        <v/>
      </c>
      <c r="Z243" s="23" t="str">
        <f t="shared" si="237"/>
        <v/>
      </c>
      <c r="AA243" s="23" t="str">
        <f t="shared" si="237"/>
        <v/>
      </c>
      <c r="AB243" s="23" t="str">
        <f t="shared" si="237"/>
        <v/>
      </c>
      <c r="AC243" s="23" t="str">
        <f t="shared" si="237"/>
        <v/>
      </c>
      <c r="AD243" s="23" t="str">
        <f t="shared" si="237"/>
        <v/>
      </c>
      <c r="AE243" s="23" t="str">
        <f t="shared" si="238"/>
        <v/>
      </c>
      <c r="AF243" s="23" t="str">
        <f t="shared" si="238"/>
        <v/>
      </c>
      <c r="AG243" s="23" t="str">
        <f t="shared" si="238"/>
        <v/>
      </c>
      <c r="AH243" s="23" t="str">
        <f t="shared" si="238"/>
        <v/>
      </c>
      <c r="AI243" s="23" t="str">
        <f t="shared" si="238"/>
        <v/>
      </c>
      <c r="AJ243" s="23" t="str">
        <f t="shared" si="238"/>
        <v/>
      </c>
      <c r="AK243" s="23" t="str">
        <f t="shared" si="238"/>
        <v/>
      </c>
      <c r="AL243" s="23" t="str">
        <f t="shared" si="238"/>
        <v/>
      </c>
      <c r="AM243" s="23" t="str">
        <f t="shared" si="238"/>
        <v/>
      </c>
      <c r="AN243" s="23">
        <f t="shared" si="238"/>
        <v>1</v>
      </c>
      <c r="AO243" s="23" t="str">
        <f t="shared" si="239"/>
        <v/>
      </c>
      <c r="AP243" s="23" t="str">
        <f t="shared" si="239"/>
        <v/>
      </c>
      <c r="AQ243" s="23" t="str">
        <f t="shared" si="239"/>
        <v/>
      </c>
      <c r="AR243" s="23" t="str">
        <f t="shared" si="239"/>
        <v/>
      </c>
      <c r="AS243" s="23" t="str">
        <f t="shared" si="239"/>
        <v/>
      </c>
      <c r="AT243" s="23" t="str">
        <f t="shared" si="239"/>
        <v/>
      </c>
      <c r="AU243" s="23" t="str">
        <f t="shared" si="239"/>
        <v/>
      </c>
      <c r="AV243" s="23" t="str">
        <f t="shared" si="239"/>
        <v/>
      </c>
      <c r="AW243" s="23" t="str">
        <f t="shared" si="239"/>
        <v/>
      </c>
      <c r="AX243" s="23" t="str">
        <f t="shared" si="239"/>
        <v/>
      </c>
      <c r="AY243" s="23" t="str">
        <f t="shared" si="240"/>
        <v/>
      </c>
      <c r="AZ243" s="23" t="str">
        <f t="shared" si="240"/>
        <v/>
      </c>
      <c r="BA243" s="23" t="str">
        <f t="shared" si="240"/>
        <v/>
      </c>
      <c r="BB243" s="23" t="str">
        <f t="shared" si="240"/>
        <v/>
      </c>
      <c r="BC243" s="23" t="str">
        <f t="shared" si="240"/>
        <v/>
      </c>
      <c r="BD243" s="23" t="str">
        <f t="shared" si="240"/>
        <v/>
      </c>
      <c r="BE243" s="23" t="str">
        <f t="shared" si="240"/>
        <v/>
      </c>
      <c r="BF243" s="23" t="str">
        <f t="shared" si="240"/>
        <v/>
      </c>
      <c r="BG243" s="23" t="str">
        <f t="shared" si="240"/>
        <v/>
      </c>
      <c r="BH243" s="23" t="str">
        <f t="shared" si="240"/>
        <v/>
      </c>
      <c r="BI243" s="23" t="str">
        <f t="shared" si="241"/>
        <v/>
      </c>
      <c r="BJ243" s="23" t="str">
        <f t="shared" si="241"/>
        <v/>
      </c>
      <c r="BK243" s="23" t="str">
        <f t="shared" si="241"/>
        <v/>
      </c>
      <c r="BL243" s="23" t="str">
        <f t="shared" si="241"/>
        <v/>
      </c>
      <c r="BM243" s="23" t="str">
        <f t="shared" si="241"/>
        <v/>
      </c>
      <c r="BN243" s="23" t="str">
        <f t="shared" si="241"/>
        <v/>
      </c>
      <c r="BO243" s="23" t="str">
        <f t="shared" si="241"/>
        <v/>
      </c>
      <c r="BP243" s="23" t="str">
        <f t="shared" si="241"/>
        <v/>
      </c>
      <c r="BQ243" s="23" t="str">
        <f t="shared" si="241"/>
        <v/>
      </c>
      <c r="BR243" s="23" t="str">
        <f t="shared" si="241"/>
        <v/>
      </c>
      <c r="BS243" s="23" t="str">
        <f t="shared" si="241"/>
        <v/>
      </c>
      <c r="BU243" s="29" t="s">
        <v>724</v>
      </c>
    </row>
    <row r="244" spans="1:73" ht="34" outlineLevel="1" x14ac:dyDescent="0.2">
      <c r="A244" s="6" t="s">
        <v>725</v>
      </c>
      <c r="B244" s="25" t="s">
        <v>726</v>
      </c>
      <c r="C244" s="6" t="s">
        <v>55</v>
      </c>
      <c r="D244" s="24" t="s">
        <v>128</v>
      </c>
      <c r="F244" s="6" t="s">
        <v>722</v>
      </c>
      <c r="G244" s="22">
        <v>31</v>
      </c>
      <c r="H244" s="22">
        <v>4</v>
      </c>
      <c r="I244" s="22">
        <f>MEDIAN($I$242,$J$242,$I$242+ROUND((G244-$G$242)/$H$242*($J$242-$I$242+1),0))</f>
        <v>31</v>
      </c>
      <c r="J244" s="22">
        <f>MEDIAN(I244,$J$242,$I$242+ROUND((G244+H244-$G$242)/$H$242*($J$242-$I$242+1),0)-1)</f>
        <v>34</v>
      </c>
      <c r="K244" s="23" t="str">
        <f t="shared" si="236"/>
        <v/>
      </c>
      <c r="L244" s="23" t="str">
        <f t="shared" si="236"/>
        <v/>
      </c>
      <c r="M244" s="23" t="str">
        <f t="shared" si="236"/>
        <v/>
      </c>
      <c r="N244" s="23" t="str">
        <f t="shared" si="236"/>
        <v/>
      </c>
      <c r="O244" s="23" t="str">
        <f t="shared" si="236"/>
        <v/>
      </c>
      <c r="P244" s="23" t="str">
        <f t="shared" si="236"/>
        <v/>
      </c>
      <c r="Q244" s="23" t="str">
        <f t="shared" si="236"/>
        <v/>
      </c>
      <c r="R244" s="23" t="str">
        <f t="shared" si="236"/>
        <v/>
      </c>
      <c r="S244" s="23" t="str">
        <f t="shared" si="236"/>
        <v/>
      </c>
      <c r="T244" s="23" t="str">
        <f t="shared" si="236"/>
        <v/>
      </c>
      <c r="U244" s="23" t="str">
        <f t="shared" si="237"/>
        <v/>
      </c>
      <c r="V244" s="23" t="str">
        <f t="shared" si="237"/>
        <v/>
      </c>
      <c r="W244" s="23" t="str">
        <f t="shared" si="237"/>
        <v/>
      </c>
      <c r="X244" s="23" t="str">
        <f t="shared" si="237"/>
        <v/>
      </c>
      <c r="Y244" s="23" t="str">
        <f t="shared" si="237"/>
        <v/>
      </c>
      <c r="Z244" s="23" t="str">
        <f t="shared" si="237"/>
        <v/>
      </c>
      <c r="AA244" s="23" t="str">
        <f t="shared" si="237"/>
        <v/>
      </c>
      <c r="AB244" s="23" t="str">
        <f t="shared" si="237"/>
        <v/>
      </c>
      <c r="AC244" s="23" t="str">
        <f t="shared" si="237"/>
        <v/>
      </c>
      <c r="AD244" s="23" t="str">
        <f t="shared" si="237"/>
        <v/>
      </c>
      <c r="AE244" s="23" t="str">
        <f t="shared" si="238"/>
        <v/>
      </c>
      <c r="AF244" s="23" t="str">
        <f t="shared" si="238"/>
        <v/>
      </c>
      <c r="AG244" s="23" t="str">
        <f t="shared" si="238"/>
        <v/>
      </c>
      <c r="AH244" s="23" t="str">
        <f t="shared" si="238"/>
        <v/>
      </c>
      <c r="AI244" s="23" t="str">
        <f t="shared" si="238"/>
        <v/>
      </c>
      <c r="AJ244" s="23" t="str">
        <f t="shared" si="238"/>
        <v/>
      </c>
      <c r="AK244" s="23" t="str">
        <f t="shared" si="238"/>
        <v/>
      </c>
      <c r="AL244" s="23" t="str">
        <f t="shared" si="238"/>
        <v/>
      </c>
      <c r="AM244" s="23" t="str">
        <f t="shared" si="238"/>
        <v/>
      </c>
      <c r="AN244" s="23" t="str">
        <f t="shared" si="238"/>
        <v/>
      </c>
      <c r="AO244" s="23">
        <f t="shared" si="239"/>
        <v>1</v>
      </c>
      <c r="AP244" s="23">
        <f t="shared" si="239"/>
        <v>1</v>
      </c>
      <c r="AQ244" s="23">
        <f t="shared" si="239"/>
        <v>1</v>
      </c>
      <c r="AR244" s="23">
        <f t="shared" si="239"/>
        <v>1</v>
      </c>
      <c r="AS244" s="23" t="str">
        <f t="shared" si="239"/>
        <v/>
      </c>
      <c r="AT244" s="23" t="str">
        <f t="shared" si="239"/>
        <v/>
      </c>
      <c r="AU244" s="23" t="str">
        <f t="shared" si="239"/>
        <v/>
      </c>
      <c r="AV244" s="23" t="str">
        <f t="shared" si="239"/>
        <v/>
      </c>
      <c r="AW244" s="23" t="str">
        <f t="shared" si="239"/>
        <v/>
      </c>
      <c r="AX244" s="23" t="str">
        <f t="shared" si="239"/>
        <v/>
      </c>
      <c r="AY244" s="23" t="str">
        <f t="shared" si="240"/>
        <v/>
      </c>
      <c r="AZ244" s="23" t="str">
        <f t="shared" si="240"/>
        <v/>
      </c>
      <c r="BA244" s="23" t="str">
        <f t="shared" si="240"/>
        <v/>
      </c>
      <c r="BB244" s="23" t="str">
        <f t="shared" si="240"/>
        <v/>
      </c>
      <c r="BC244" s="23" t="str">
        <f t="shared" si="240"/>
        <v/>
      </c>
      <c r="BD244" s="23" t="str">
        <f t="shared" si="240"/>
        <v/>
      </c>
      <c r="BE244" s="23" t="str">
        <f t="shared" si="240"/>
        <v/>
      </c>
      <c r="BF244" s="23" t="str">
        <f t="shared" si="240"/>
        <v/>
      </c>
      <c r="BG244" s="23" t="str">
        <f t="shared" si="240"/>
        <v/>
      </c>
      <c r="BH244" s="23" t="str">
        <f t="shared" si="240"/>
        <v/>
      </c>
      <c r="BI244" s="23" t="str">
        <f t="shared" si="241"/>
        <v/>
      </c>
      <c r="BJ244" s="23" t="str">
        <f t="shared" si="241"/>
        <v/>
      </c>
      <c r="BK244" s="23" t="str">
        <f t="shared" si="241"/>
        <v/>
      </c>
      <c r="BL244" s="23" t="str">
        <f t="shared" si="241"/>
        <v/>
      </c>
      <c r="BM244" s="23" t="str">
        <f t="shared" si="241"/>
        <v/>
      </c>
      <c r="BN244" s="23" t="str">
        <f t="shared" si="241"/>
        <v/>
      </c>
      <c r="BO244" s="23" t="str">
        <f t="shared" si="241"/>
        <v/>
      </c>
      <c r="BP244" s="23" t="str">
        <f t="shared" si="241"/>
        <v/>
      </c>
      <c r="BQ244" s="23" t="str">
        <f t="shared" si="241"/>
        <v/>
      </c>
      <c r="BR244" s="23" t="str">
        <f t="shared" si="241"/>
        <v/>
      </c>
      <c r="BS244" s="23" t="str">
        <f t="shared" si="241"/>
        <v/>
      </c>
      <c r="BU244" s="29" t="s">
        <v>727</v>
      </c>
    </row>
    <row r="245" spans="1:73" ht="17" outlineLevel="1" x14ac:dyDescent="0.2">
      <c r="A245" s="6" t="s">
        <v>728</v>
      </c>
      <c r="B245" s="25" t="s">
        <v>729</v>
      </c>
      <c r="C245" s="6" t="s">
        <v>55</v>
      </c>
      <c r="D245" s="24" t="s">
        <v>128</v>
      </c>
      <c r="F245" s="6" t="s">
        <v>725</v>
      </c>
      <c r="G245" s="22">
        <v>35</v>
      </c>
      <c r="H245" s="22">
        <v>1</v>
      </c>
      <c r="I245" s="22">
        <f>MEDIAN($I$242,$J$242,$I$242+ROUND((G245-$G$242)/$H$242*($J$242-$I$242+1),0))</f>
        <v>35</v>
      </c>
      <c r="J245" s="22">
        <f>MEDIAN(I245,$J$242,$I$242+ROUND((G245+H245-$G$242)/$H$242*($J$242-$I$242+1),0)-1)</f>
        <v>35</v>
      </c>
      <c r="K245" s="23" t="str">
        <f t="shared" si="236"/>
        <v/>
      </c>
      <c r="L245" s="23" t="str">
        <f t="shared" si="236"/>
        <v/>
      </c>
      <c r="M245" s="23" t="str">
        <f t="shared" si="236"/>
        <v/>
      </c>
      <c r="N245" s="23" t="str">
        <f t="shared" si="236"/>
        <v/>
      </c>
      <c r="O245" s="23" t="str">
        <f t="shared" si="236"/>
        <v/>
      </c>
      <c r="P245" s="23" t="str">
        <f t="shared" si="236"/>
        <v/>
      </c>
      <c r="Q245" s="23" t="str">
        <f t="shared" si="236"/>
        <v/>
      </c>
      <c r="R245" s="23" t="str">
        <f t="shared" si="236"/>
        <v/>
      </c>
      <c r="S245" s="23" t="str">
        <f t="shared" si="236"/>
        <v/>
      </c>
      <c r="T245" s="23" t="str">
        <f t="shared" si="236"/>
        <v/>
      </c>
      <c r="U245" s="23" t="str">
        <f t="shared" si="237"/>
        <v/>
      </c>
      <c r="V245" s="23" t="str">
        <f t="shared" si="237"/>
        <v/>
      </c>
      <c r="W245" s="23" t="str">
        <f t="shared" si="237"/>
        <v/>
      </c>
      <c r="X245" s="23" t="str">
        <f t="shared" si="237"/>
        <v/>
      </c>
      <c r="Y245" s="23" t="str">
        <f t="shared" si="237"/>
        <v/>
      </c>
      <c r="Z245" s="23" t="str">
        <f t="shared" si="237"/>
        <v/>
      </c>
      <c r="AA245" s="23" t="str">
        <f t="shared" si="237"/>
        <v/>
      </c>
      <c r="AB245" s="23" t="str">
        <f t="shared" si="237"/>
        <v/>
      </c>
      <c r="AC245" s="23" t="str">
        <f t="shared" si="237"/>
        <v/>
      </c>
      <c r="AD245" s="23" t="str">
        <f t="shared" si="237"/>
        <v/>
      </c>
      <c r="AE245" s="23" t="str">
        <f t="shared" si="238"/>
        <v/>
      </c>
      <c r="AF245" s="23" t="str">
        <f t="shared" si="238"/>
        <v/>
      </c>
      <c r="AG245" s="23" t="str">
        <f t="shared" si="238"/>
        <v/>
      </c>
      <c r="AH245" s="23" t="str">
        <f t="shared" si="238"/>
        <v/>
      </c>
      <c r="AI245" s="23" t="str">
        <f t="shared" si="238"/>
        <v/>
      </c>
      <c r="AJ245" s="23" t="str">
        <f t="shared" si="238"/>
        <v/>
      </c>
      <c r="AK245" s="23" t="str">
        <f t="shared" si="238"/>
        <v/>
      </c>
      <c r="AL245" s="23" t="str">
        <f t="shared" si="238"/>
        <v/>
      </c>
      <c r="AM245" s="23" t="str">
        <f t="shared" si="238"/>
        <v/>
      </c>
      <c r="AN245" s="23" t="str">
        <f t="shared" si="238"/>
        <v/>
      </c>
      <c r="AO245" s="23" t="str">
        <f t="shared" si="239"/>
        <v/>
      </c>
      <c r="AP245" s="23" t="str">
        <f t="shared" si="239"/>
        <v/>
      </c>
      <c r="AQ245" s="23" t="str">
        <f t="shared" si="239"/>
        <v/>
      </c>
      <c r="AR245" s="23" t="str">
        <f t="shared" si="239"/>
        <v/>
      </c>
      <c r="AS245" s="23">
        <f t="shared" si="239"/>
        <v>1</v>
      </c>
      <c r="AT245" s="23" t="str">
        <f t="shared" si="239"/>
        <v/>
      </c>
      <c r="AU245" s="23" t="str">
        <f t="shared" si="239"/>
        <v/>
      </c>
      <c r="AV245" s="23" t="str">
        <f t="shared" si="239"/>
        <v/>
      </c>
      <c r="AW245" s="23" t="str">
        <f t="shared" si="239"/>
        <v/>
      </c>
      <c r="AX245" s="23" t="str">
        <f t="shared" si="239"/>
        <v/>
      </c>
      <c r="AY245" s="23" t="str">
        <f t="shared" si="240"/>
        <v/>
      </c>
      <c r="AZ245" s="23" t="str">
        <f t="shared" si="240"/>
        <v/>
      </c>
      <c r="BA245" s="23" t="str">
        <f t="shared" si="240"/>
        <v/>
      </c>
      <c r="BB245" s="23" t="str">
        <f t="shared" si="240"/>
        <v/>
      </c>
      <c r="BC245" s="23" t="str">
        <f t="shared" si="240"/>
        <v/>
      </c>
      <c r="BD245" s="23" t="str">
        <f t="shared" si="240"/>
        <v/>
      </c>
      <c r="BE245" s="23" t="str">
        <f t="shared" si="240"/>
        <v/>
      </c>
      <c r="BF245" s="23" t="str">
        <f t="shared" si="240"/>
        <v/>
      </c>
      <c r="BG245" s="23" t="str">
        <f t="shared" si="240"/>
        <v/>
      </c>
      <c r="BH245" s="23" t="str">
        <f t="shared" si="240"/>
        <v/>
      </c>
      <c r="BI245" s="23" t="str">
        <f t="shared" si="241"/>
        <v/>
      </c>
      <c r="BJ245" s="23" t="str">
        <f t="shared" si="241"/>
        <v/>
      </c>
      <c r="BK245" s="23" t="str">
        <f t="shared" si="241"/>
        <v/>
      </c>
      <c r="BL245" s="23" t="str">
        <f t="shared" si="241"/>
        <v/>
      </c>
      <c r="BM245" s="23" t="str">
        <f t="shared" si="241"/>
        <v/>
      </c>
      <c r="BN245" s="23" t="str">
        <f t="shared" si="241"/>
        <v/>
      </c>
      <c r="BO245" s="23" t="str">
        <f t="shared" si="241"/>
        <v/>
      </c>
      <c r="BP245" s="23" t="str">
        <f t="shared" si="241"/>
        <v/>
      </c>
      <c r="BQ245" s="23" t="str">
        <f t="shared" si="241"/>
        <v/>
      </c>
      <c r="BR245" s="23" t="str">
        <f t="shared" si="241"/>
        <v/>
      </c>
      <c r="BS245" s="23" t="str">
        <f t="shared" si="241"/>
        <v/>
      </c>
      <c r="BU245" s="29" t="s">
        <v>730</v>
      </c>
    </row>
    <row r="246" spans="1:73" x14ac:dyDescent="0.2">
      <c r="BU246" s="30"/>
    </row>
    <row r="247" spans="1:73" ht="17" x14ac:dyDescent="0.2">
      <c r="A247" s="19" t="s">
        <v>731</v>
      </c>
      <c r="B247" s="20" t="s">
        <v>732</v>
      </c>
      <c r="C247" s="19" t="s">
        <v>55</v>
      </c>
      <c r="D247" s="21" t="s">
        <v>117</v>
      </c>
      <c r="E247" s="19"/>
      <c r="F247" s="19" t="s">
        <v>625</v>
      </c>
      <c r="G247" s="22">
        <v>30</v>
      </c>
      <c r="H247" s="22">
        <v>6</v>
      </c>
      <c r="I247" s="22">
        <f>MIN(61,IF(G247&lt;=29,ROUND((G247-1)*(29+SlipWeeks)/29,0)+1,G247+SlipWeeks))</f>
        <v>30</v>
      </c>
      <c r="J247" s="22">
        <f>MIN(61,IF(G247+H247-1&lt;=29,MAX(ROUND((G247+H247-1)*(29+SlipWeeks)/29,0),I247),G247+H247-1+SlipWeeks))</f>
        <v>35</v>
      </c>
      <c r="K247" s="23" t="str">
        <f t="shared" ref="K247:T250" si="242">IF(AND(K$4&gt;=$I247,K$4&lt;=$J247),1,"")</f>
        <v/>
      </c>
      <c r="L247" s="23" t="str">
        <f t="shared" si="242"/>
        <v/>
      </c>
      <c r="M247" s="23" t="str">
        <f t="shared" si="242"/>
        <v/>
      </c>
      <c r="N247" s="23" t="str">
        <f t="shared" si="242"/>
        <v/>
      </c>
      <c r="O247" s="23" t="str">
        <f t="shared" si="242"/>
        <v/>
      </c>
      <c r="P247" s="23" t="str">
        <f t="shared" si="242"/>
        <v/>
      </c>
      <c r="Q247" s="23" t="str">
        <f t="shared" si="242"/>
        <v/>
      </c>
      <c r="R247" s="23" t="str">
        <f t="shared" si="242"/>
        <v/>
      </c>
      <c r="S247" s="23" t="str">
        <f t="shared" si="242"/>
        <v/>
      </c>
      <c r="T247" s="23" t="str">
        <f t="shared" si="242"/>
        <v/>
      </c>
      <c r="U247" s="23" t="str">
        <f t="shared" ref="U247:AD250" si="243">IF(AND(U$4&gt;=$I247,U$4&lt;=$J247),1,"")</f>
        <v/>
      </c>
      <c r="V247" s="23" t="str">
        <f t="shared" si="243"/>
        <v/>
      </c>
      <c r="W247" s="23" t="str">
        <f t="shared" si="243"/>
        <v/>
      </c>
      <c r="X247" s="23" t="str">
        <f t="shared" si="243"/>
        <v/>
      </c>
      <c r="Y247" s="23" t="str">
        <f t="shared" si="243"/>
        <v/>
      </c>
      <c r="Z247" s="23" t="str">
        <f t="shared" si="243"/>
        <v/>
      </c>
      <c r="AA247" s="23" t="str">
        <f t="shared" si="243"/>
        <v/>
      </c>
      <c r="AB247" s="23" t="str">
        <f t="shared" si="243"/>
        <v/>
      </c>
      <c r="AC247" s="23" t="str">
        <f t="shared" si="243"/>
        <v/>
      </c>
      <c r="AD247" s="23" t="str">
        <f t="shared" si="243"/>
        <v/>
      </c>
      <c r="AE247" s="23" t="str">
        <f t="shared" ref="AE247:AN250" si="244">IF(AND(AE$4&gt;=$I247,AE$4&lt;=$J247),1,"")</f>
        <v/>
      </c>
      <c r="AF247" s="23" t="str">
        <f t="shared" si="244"/>
        <v/>
      </c>
      <c r="AG247" s="23" t="str">
        <f t="shared" si="244"/>
        <v/>
      </c>
      <c r="AH247" s="23" t="str">
        <f t="shared" si="244"/>
        <v/>
      </c>
      <c r="AI247" s="23" t="str">
        <f t="shared" si="244"/>
        <v/>
      </c>
      <c r="AJ247" s="23" t="str">
        <f t="shared" si="244"/>
        <v/>
      </c>
      <c r="AK247" s="23" t="str">
        <f t="shared" si="244"/>
        <v/>
      </c>
      <c r="AL247" s="23" t="str">
        <f t="shared" si="244"/>
        <v/>
      </c>
      <c r="AM247" s="23" t="str">
        <f t="shared" si="244"/>
        <v/>
      </c>
      <c r="AN247" s="23">
        <f t="shared" si="244"/>
        <v>1</v>
      </c>
      <c r="AO247" s="23">
        <f t="shared" ref="AO247:AX250" si="245">IF(AND(AO$4&gt;=$I247,AO$4&lt;=$J247),1,"")</f>
        <v>1</v>
      </c>
      <c r="AP247" s="23">
        <f t="shared" si="245"/>
        <v>1</v>
      </c>
      <c r="AQ247" s="23">
        <f t="shared" si="245"/>
        <v>1</v>
      </c>
      <c r="AR247" s="23">
        <f t="shared" si="245"/>
        <v>1</v>
      </c>
      <c r="AS247" s="23">
        <f t="shared" si="245"/>
        <v>1</v>
      </c>
      <c r="AT247" s="23" t="str">
        <f t="shared" si="245"/>
        <v/>
      </c>
      <c r="AU247" s="23" t="str">
        <f t="shared" si="245"/>
        <v/>
      </c>
      <c r="AV247" s="23" t="str">
        <f t="shared" si="245"/>
        <v/>
      </c>
      <c r="AW247" s="23" t="str">
        <f t="shared" si="245"/>
        <v/>
      </c>
      <c r="AX247" s="23" t="str">
        <f t="shared" si="245"/>
        <v/>
      </c>
      <c r="AY247" s="23" t="str">
        <f t="shared" ref="AY247:BH250" si="246">IF(AND(AY$4&gt;=$I247,AY$4&lt;=$J247),1,"")</f>
        <v/>
      </c>
      <c r="AZ247" s="23" t="str">
        <f t="shared" si="246"/>
        <v/>
      </c>
      <c r="BA247" s="23" t="str">
        <f t="shared" si="246"/>
        <v/>
      </c>
      <c r="BB247" s="23" t="str">
        <f t="shared" si="246"/>
        <v/>
      </c>
      <c r="BC247" s="23" t="str">
        <f t="shared" si="246"/>
        <v/>
      </c>
      <c r="BD247" s="23" t="str">
        <f t="shared" si="246"/>
        <v/>
      </c>
      <c r="BE247" s="23" t="str">
        <f t="shared" si="246"/>
        <v/>
      </c>
      <c r="BF247" s="23" t="str">
        <f t="shared" si="246"/>
        <v/>
      </c>
      <c r="BG247" s="23" t="str">
        <f t="shared" si="246"/>
        <v/>
      </c>
      <c r="BH247" s="23" t="str">
        <f t="shared" si="246"/>
        <v/>
      </c>
      <c r="BI247" s="23" t="str">
        <f t="shared" ref="BI247:BS250" si="247">IF(AND(BI$4&gt;=$I247,BI$4&lt;=$J247),1,"")</f>
        <v/>
      </c>
      <c r="BJ247" s="23" t="str">
        <f t="shared" si="247"/>
        <v/>
      </c>
      <c r="BK247" s="23" t="str">
        <f t="shared" si="247"/>
        <v/>
      </c>
      <c r="BL247" s="23" t="str">
        <f t="shared" si="247"/>
        <v/>
      </c>
      <c r="BM247" s="23" t="str">
        <f t="shared" si="247"/>
        <v/>
      </c>
      <c r="BN247" s="23" t="str">
        <f t="shared" si="247"/>
        <v/>
      </c>
      <c r="BO247" s="23" t="str">
        <f t="shared" si="247"/>
        <v/>
      </c>
      <c r="BP247" s="23" t="str">
        <f t="shared" si="247"/>
        <v/>
      </c>
      <c r="BQ247" s="23" t="str">
        <f t="shared" si="247"/>
        <v/>
      </c>
      <c r="BR247" s="23" t="str">
        <f t="shared" si="247"/>
        <v/>
      </c>
      <c r="BS247" s="23" t="str">
        <f t="shared" si="247"/>
        <v/>
      </c>
      <c r="BT247" s="24" t="str">
        <f>IF(IF(G247+H247-1&lt;=29,MAX(ROUND((G247+H247-1)*(29+SlipWeeks)/29,0),$I247),G247+H247-1+SlipWeeks)&gt;61,"▶ clipped","")</f>
        <v/>
      </c>
      <c r="BU247" s="29" t="s">
        <v>733</v>
      </c>
    </row>
    <row r="248" spans="1:73" ht="34" outlineLevel="1" x14ac:dyDescent="0.2">
      <c r="A248" s="6" t="s">
        <v>734</v>
      </c>
      <c r="B248" s="25" t="s">
        <v>735</v>
      </c>
      <c r="C248" s="6" t="s">
        <v>55</v>
      </c>
      <c r="D248" s="24" t="s">
        <v>128</v>
      </c>
      <c r="F248" s="6"/>
      <c r="G248" s="22">
        <v>30</v>
      </c>
      <c r="H248" s="22">
        <v>2</v>
      </c>
      <c r="I248" s="22">
        <f>MEDIAN($I$247,$J$247,$I$247+ROUND((G248-$G$247)/$H$247*($J$247-$I$247+1),0))</f>
        <v>30</v>
      </c>
      <c r="J248" s="22">
        <f>MEDIAN(I248,$J$247,$I$247+ROUND((G248+H248-$G$247)/$H$247*($J$247-$I$247+1),0)-1)</f>
        <v>31</v>
      </c>
      <c r="K248" s="23" t="str">
        <f t="shared" si="242"/>
        <v/>
      </c>
      <c r="L248" s="23" t="str">
        <f t="shared" si="242"/>
        <v/>
      </c>
      <c r="M248" s="23" t="str">
        <f t="shared" si="242"/>
        <v/>
      </c>
      <c r="N248" s="23" t="str">
        <f t="shared" si="242"/>
        <v/>
      </c>
      <c r="O248" s="23" t="str">
        <f t="shared" si="242"/>
        <v/>
      </c>
      <c r="P248" s="23" t="str">
        <f t="shared" si="242"/>
        <v/>
      </c>
      <c r="Q248" s="23" t="str">
        <f t="shared" si="242"/>
        <v/>
      </c>
      <c r="R248" s="23" t="str">
        <f t="shared" si="242"/>
        <v/>
      </c>
      <c r="S248" s="23" t="str">
        <f t="shared" si="242"/>
        <v/>
      </c>
      <c r="T248" s="23" t="str">
        <f t="shared" si="242"/>
        <v/>
      </c>
      <c r="U248" s="23" t="str">
        <f t="shared" si="243"/>
        <v/>
      </c>
      <c r="V248" s="23" t="str">
        <f t="shared" si="243"/>
        <v/>
      </c>
      <c r="W248" s="23" t="str">
        <f t="shared" si="243"/>
        <v/>
      </c>
      <c r="X248" s="23" t="str">
        <f t="shared" si="243"/>
        <v/>
      </c>
      <c r="Y248" s="23" t="str">
        <f t="shared" si="243"/>
        <v/>
      </c>
      <c r="Z248" s="23" t="str">
        <f t="shared" si="243"/>
        <v/>
      </c>
      <c r="AA248" s="23" t="str">
        <f t="shared" si="243"/>
        <v/>
      </c>
      <c r="AB248" s="23" t="str">
        <f t="shared" si="243"/>
        <v/>
      </c>
      <c r="AC248" s="23" t="str">
        <f t="shared" si="243"/>
        <v/>
      </c>
      <c r="AD248" s="23" t="str">
        <f t="shared" si="243"/>
        <v/>
      </c>
      <c r="AE248" s="23" t="str">
        <f t="shared" si="244"/>
        <v/>
      </c>
      <c r="AF248" s="23" t="str">
        <f t="shared" si="244"/>
        <v/>
      </c>
      <c r="AG248" s="23" t="str">
        <f t="shared" si="244"/>
        <v/>
      </c>
      <c r="AH248" s="23" t="str">
        <f t="shared" si="244"/>
        <v/>
      </c>
      <c r="AI248" s="23" t="str">
        <f t="shared" si="244"/>
        <v/>
      </c>
      <c r="AJ248" s="23" t="str">
        <f t="shared" si="244"/>
        <v/>
      </c>
      <c r="AK248" s="23" t="str">
        <f t="shared" si="244"/>
        <v/>
      </c>
      <c r="AL248" s="23" t="str">
        <f t="shared" si="244"/>
        <v/>
      </c>
      <c r="AM248" s="23" t="str">
        <f t="shared" si="244"/>
        <v/>
      </c>
      <c r="AN248" s="23">
        <f t="shared" si="244"/>
        <v>1</v>
      </c>
      <c r="AO248" s="23">
        <f t="shared" si="245"/>
        <v>1</v>
      </c>
      <c r="AP248" s="23" t="str">
        <f t="shared" si="245"/>
        <v/>
      </c>
      <c r="AQ248" s="23" t="str">
        <f t="shared" si="245"/>
        <v/>
      </c>
      <c r="AR248" s="23" t="str">
        <f t="shared" si="245"/>
        <v/>
      </c>
      <c r="AS248" s="23" t="str">
        <f t="shared" si="245"/>
        <v/>
      </c>
      <c r="AT248" s="23" t="str">
        <f t="shared" si="245"/>
        <v/>
      </c>
      <c r="AU248" s="23" t="str">
        <f t="shared" si="245"/>
        <v/>
      </c>
      <c r="AV248" s="23" t="str">
        <f t="shared" si="245"/>
        <v/>
      </c>
      <c r="AW248" s="23" t="str">
        <f t="shared" si="245"/>
        <v/>
      </c>
      <c r="AX248" s="23" t="str">
        <f t="shared" si="245"/>
        <v/>
      </c>
      <c r="AY248" s="23" t="str">
        <f t="shared" si="246"/>
        <v/>
      </c>
      <c r="AZ248" s="23" t="str">
        <f t="shared" si="246"/>
        <v/>
      </c>
      <c r="BA248" s="23" t="str">
        <f t="shared" si="246"/>
        <v/>
      </c>
      <c r="BB248" s="23" t="str">
        <f t="shared" si="246"/>
        <v/>
      </c>
      <c r="BC248" s="23" t="str">
        <f t="shared" si="246"/>
        <v/>
      </c>
      <c r="BD248" s="23" t="str">
        <f t="shared" si="246"/>
        <v/>
      </c>
      <c r="BE248" s="23" t="str">
        <f t="shared" si="246"/>
        <v/>
      </c>
      <c r="BF248" s="23" t="str">
        <f t="shared" si="246"/>
        <v/>
      </c>
      <c r="BG248" s="23" t="str">
        <f t="shared" si="246"/>
        <v/>
      </c>
      <c r="BH248" s="23" t="str">
        <f t="shared" si="246"/>
        <v/>
      </c>
      <c r="BI248" s="23" t="str">
        <f t="shared" si="247"/>
        <v/>
      </c>
      <c r="BJ248" s="23" t="str">
        <f t="shared" si="247"/>
        <v/>
      </c>
      <c r="BK248" s="23" t="str">
        <f t="shared" si="247"/>
        <v/>
      </c>
      <c r="BL248" s="23" t="str">
        <f t="shared" si="247"/>
        <v/>
      </c>
      <c r="BM248" s="23" t="str">
        <f t="shared" si="247"/>
        <v/>
      </c>
      <c r="BN248" s="23" t="str">
        <f t="shared" si="247"/>
        <v/>
      </c>
      <c r="BO248" s="23" t="str">
        <f t="shared" si="247"/>
        <v/>
      </c>
      <c r="BP248" s="23" t="str">
        <f t="shared" si="247"/>
        <v/>
      </c>
      <c r="BQ248" s="23" t="str">
        <f t="shared" si="247"/>
        <v/>
      </c>
      <c r="BR248" s="23" t="str">
        <f t="shared" si="247"/>
        <v/>
      </c>
      <c r="BS248" s="23" t="str">
        <f t="shared" si="247"/>
        <v/>
      </c>
      <c r="BU248" s="29" t="s">
        <v>736</v>
      </c>
    </row>
    <row r="249" spans="1:73" ht="34" outlineLevel="1" x14ac:dyDescent="0.2">
      <c r="A249" s="6" t="s">
        <v>737</v>
      </c>
      <c r="B249" s="25" t="s">
        <v>738</v>
      </c>
      <c r="C249" s="6" t="s">
        <v>55</v>
      </c>
      <c r="D249" s="24" t="s">
        <v>128</v>
      </c>
      <c r="F249" s="6" t="s">
        <v>734</v>
      </c>
      <c r="G249" s="22">
        <v>32</v>
      </c>
      <c r="H249" s="22">
        <v>2</v>
      </c>
      <c r="I249" s="22">
        <f>MEDIAN($I$247,$J$247,$I$247+ROUND((G249-$G$247)/$H$247*($J$247-$I$247+1),0))</f>
        <v>32</v>
      </c>
      <c r="J249" s="22">
        <f>MEDIAN(I249,$J$247,$I$247+ROUND((G249+H249-$G$247)/$H$247*($J$247-$I$247+1),0)-1)</f>
        <v>33</v>
      </c>
      <c r="K249" s="23" t="str">
        <f t="shared" si="242"/>
        <v/>
      </c>
      <c r="L249" s="23" t="str">
        <f t="shared" si="242"/>
        <v/>
      </c>
      <c r="M249" s="23" t="str">
        <f t="shared" si="242"/>
        <v/>
      </c>
      <c r="N249" s="23" t="str">
        <f t="shared" si="242"/>
        <v/>
      </c>
      <c r="O249" s="23" t="str">
        <f t="shared" si="242"/>
        <v/>
      </c>
      <c r="P249" s="23" t="str">
        <f t="shared" si="242"/>
        <v/>
      </c>
      <c r="Q249" s="23" t="str">
        <f t="shared" si="242"/>
        <v/>
      </c>
      <c r="R249" s="23" t="str">
        <f t="shared" si="242"/>
        <v/>
      </c>
      <c r="S249" s="23" t="str">
        <f t="shared" si="242"/>
        <v/>
      </c>
      <c r="T249" s="23" t="str">
        <f t="shared" si="242"/>
        <v/>
      </c>
      <c r="U249" s="23" t="str">
        <f t="shared" si="243"/>
        <v/>
      </c>
      <c r="V249" s="23" t="str">
        <f t="shared" si="243"/>
        <v/>
      </c>
      <c r="W249" s="23" t="str">
        <f t="shared" si="243"/>
        <v/>
      </c>
      <c r="X249" s="23" t="str">
        <f t="shared" si="243"/>
        <v/>
      </c>
      <c r="Y249" s="23" t="str">
        <f t="shared" si="243"/>
        <v/>
      </c>
      <c r="Z249" s="23" t="str">
        <f t="shared" si="243"/>
        <v/>
      </c>
      <c r="AA249" s="23" t="str">
        <f t="shared" si="243"/>
        <v/>
      </c>
      <c r="AB249" s="23" t="str">
        <f t="shared" si="243"/>
        <v/>
      </c>
      <c r="AC249" s="23" t="str">
        <f t="shared" si="243"/>
        <v/>
      </c>
      <c r="AD249" s="23" t="str">
        <f t="shared" si="243"/>
        <v/>
      </c>
      <c r="AE249" s="23" t="str">
        <f t="shared" si="244"/>
        <v/>
      </c>
      <c r="AF249" s="23" t="str">
        <f t="shared" si="244"/>
        <v/>
      </c>
      <c r="AG249" s="23" t="str">
        <f t="shared" si="244"/>
        <v/>
      </c>
      <c r="AH249" s="23" t="str">
        <f t="shared" si="244"/>
        <v/>
      </c>
      <c r="AI249" s="23" t="str">
        <f t="shared" si="244"/>
        <v/>
      </c>
      <c r="AJ249" s="23" t="str">
        <f t="shared" si="244"/>
        <v/>
      </c>
      <c r="AK249" s="23" t="str">
        <f t="shared" si="244"/>
        <v/>
      </c>
      <c r="AL249" s="23" t="str">
        <f t="shared" si="244"/>
        <v/>
      </c>
      <c r="AM249" s="23" t="str">
        <f t="shared" si="244"/>
        <v/>
      </c>
      <c r="AN249" s="23" t="str">
        <f t="shared" si="244"/>
        <v/>
      </c>
      <c r="AO249" s="23" t="str">
        <f t="shared" si="245"/>
        <v/>
      </c>
      <c r="AP249" s="23">
        <f t="shared" si="245"/>
        <v>1</v>
      </c>
      <c r="AQ249" s="23">
        <f t="shared" si="245"/>
        <v>1</v>
      </c>
      <c r="AR249" s="23" t="str">
        <f t="shared" si="245"/>
        <v/>
      </c>
      <c r="AS249" s="23" t="str">
        <f t="shared" si="245"/>
        <v/>
      </c>
      <c r="AT249" s="23" t="str">
        <f t="shared" si="245"/>
        <v/>
      </c>
      <c r="AU249" s="23" t="str">
        <f t="shared" si="245"/>
        <v/>
      </c>
      <c r="AV249" s="23" t="str">
        <f t="shared" si="245"/>
        <v/>
      </c>
      <c r="AW249" s="23" t="str">
        <f t="shared" si="245"/>
        <v/>
      </c>
      <c r="AX249" s="23" t="str">
        <f t="shared" si="245"/>
        <v/>
      </c>
      <c r="AY249" s="23" t="str">
        <f t="shared" si="246"/>
        <v/>
      </c>
      <c r="AZ249" s="23" t="str">
        <f t="shared" si="246"/>
        <v/>
      </c>
      <c r="BA249" s="23" t="str">
        <f t="shared" si="246"/>
        <v/>
      </c>
      <c r="BB249" s="23" t="str">
        <f t="shared" si="246"/>
        <v/>
      </c>
      <c r="BC249" s="23" t="str">
        <f t="shared" si="246"/>
        <v/>
      </c>
      <c r="BD249" s="23" t="str">
        <f t="shared" si="246"/>
        <v/>
      </c>
      <c r="BE249" s="23" t="str">
        <f t="shared" si="246"/>
        <v/>
      </c>
      <c r="BF249" s="23" t="str">
        <f t="shared" si="246"/>
        <v/>
      </c>
      <c r="BG249" s="23" t="str">
        <f t="shared" si="246"/>
        <v/>
      </c>
      <c r="BH249" s="23" t="str">
        <f t="shared" si="246"/>
        <v/>
      </c>
      <c r="BI249" s="23" t="str">
        <f t="shared" si="247"/>
        <v/>
      </c>
      <c r="BJ249" s="23" t="str">
        <f t="shared" si="247"/>
        <v/>
      </c>
      <c r="BK249" s="23" t="str">
        <f t="shared" si="247"/>
        <v/>
      </c>
      <c r="BL249" s="23" t="str">
        <f t="shared" si="247"/>
        <v/>
      </c>
      <c r="BM249" s="23" t="str">
        <f t="shared" si="247"/>
        <v/>
      </c>
      <c r="BN249" s="23" t="str">
        <f t="shared" si="247"/>
        <v/>
      </c>
      <c r="BO249" s="23" t="str">
        <f t="shared" si="247"/>
        <v/>
      </c>
      <c r="BP249" s="23" t="str">
        <f t="shared" si="247"/>
        <v/>
      </c>
      <c r="BQ249" s="23" t="str">
        <f t="shared" si="247"/>
        <v/>
      </c>
      <c r="BR249" s="23" t="str">
        <f t="shared" si="247"/>
        <v/>
      </c>
      <c r="BS249" s="23" t="str">
        <f t="shared" si="247"/>
        <v/>
      </c>
      <c r="BU249" s="29" t="s">
        <v>739</v>
      </c>
    </row>
    <row r="250" spans="1:73" ht="17" outlineLevel="1" x14ac:dyDescent="0.2">
      <c r="A250" s="6" t="s">
        <v>740</v>
      </c>
      <c r="B250" s="25" t="s">
        <v>741</v>
      </c>
      <c r="C250" s="6" t="s">
        <v>55</v>
      </c>
      <c r="D250" s="24" t="s">
        <v>128</v>
      </c>
      <c r="F250" s="6" t="s">
        <v>737</v>
      </c>
      <c r="G250" s="22">
        <v>34</v>
      </c>
      <c r="H250" s="22">
        <v>2</v>
      </c>
      <c r="I250" s="22">
        <f>MEDIAN($I$247,$J$247,$I$247+ROUND((G250-$G$247)/$H$247*($J$247-$I$247+1),0))</f>
        <v>34</v>
      </c>
      <c r="J250" s="22">
        <f>MEDIAN(I250,$J$247,$I$247+ROUND((G250+H250-$G$247)/$H$247*($J$247-$I$247+1),0)-1)</f>
        <v>35</v>
      </c>
      <c r="K250" s="23" t="str">
        <f t="shared" si="242"/>
        <v/>
      </c>
      <c r="L250" s="23" t="str">
        <f t="shared" si="242"/>
        <v/>
      </c>
      <c r="M250" s="23" t="str">
        <f t="shared" si="242"/>
        <v/>
      </c>
      <c r="N250" s="23" t="str">
        <f t="shared" si="242"/>
        <v/>
      </c>
      <c r="O250" s="23" t="str">
        <f t="shared" si="242"/>
        <v/>
      </c>
      <c r="P250" s="23" t="str">
        <f t="shared" si="242"/>
        <v/>
      </c>
      <c r="Q250" s="23" t="str">
        <f t="shared" si="242"/>
        <v/>
      </c>
      <c r="R250" s="23" t="str">
        <f t="shared" si="242"/>
        <v/>
      </c>
      <c r="S250" s="23" t="str">
        <f t="shared" si="242"/>
        <v/>
      </c>
      <c r="T250" s="23" t="str">
        <f t="shared" si="242"/>
        <v/>
      </c>
      <c r="U250" s="23" t="str">
        <f t="shared" si="243"/>
        <v/>
      </c>
      <c r="V250" s="23" t="str">
        <f t="shared" si="243"/>
        <v/>
      </c>
      <c r="W250" s="23" t="str">
        <f t="shared" si="243"/>
        <v/>
      </c>
      <c r="X250" s="23" t="str">
        <f t="shared" si="243"/>
        <v/>
      </c>
      <c r="Y250" s="23" t="str">
        <f t="shared" si="243"/>
        <v/>
      </c>
      <c r="Z250" s="23" t="str">
        <f t="shared" si="243"/>
        <v/>
      </c>
      <c r="AA250" s="23" t="str">
        <f t="shared" si="243"/>
        <v/>
      </c>
      <c r="AB250" s="23" t="str">
        <f t="shared" si="243"/>
        <v/>
      </c>
      <c r="AC250" s="23" t="str">
        <f t="shared" si="243"/>
        <v/>
      </c>
      <c r="AD250" s="23" t="str">
        <f t="shared" si="243"/>
        <v/>
      </c>
      <c r="AE250" s="23" t="str">
        <f t="shared" si="244"/>
        <v/>
      </c>
      <c r="AF250" s="23" t="str">
        <f t="shared" si="244"/>
        <v/>
      </c>
      <c r="AG250" s="23" t="str">
        <f t="shared" si="244"/>
        <v/>
      </c>
      <c r="AH250" s="23" t="str">
        <f t="shared" si="244"/>
        <v/>
      </c>
      <c r="AI250" s="23" t="str">
        <f t="shared" si="244"/>
        <v/>
      </c>
      <c r="AJ250" s="23" t="str">
        <f t="shared" si="244"/>
        <v/>
      </c>
      <c r="AK250" s="23" t="str">
        <f t="shared" si="244"/>
        <v/>
      </c>
      <c r="AL250" s="23" t="str">
        <f t="shared" si="244"/>
        <v/>
      </c>
      <c r="AM250" s="23" t="str">
        <f t="shared" si="244"/>
        <v/>
      </c>
      <c r="AN250" s="23" t="str">
        <f t="shared" si="244"/>
        <v/>
      </c>
      <c r="AO250" s="23" t="str">
        <f t="shared" si="245"/>
        <v/>
      </c>
      <c r="AP250" s="23" t="str">
        <f t="shared" si="245"/>
        <v/>
      </c>
      <c r="AQ250" s="23" t="str">
        <f t="shared" si="245"/>
        <v/>
      </c>
      <c r="AR250" s="23">
        <f t="shared" si="245"/>
        <v>1</v>
      </c>
      <c r="AS250" s="23">
        <f t="shared" si="245"/>
        <v>1</v>
      </c>
      <c r="AT250" s="23" t="str">
        <f t="shared" si="245"/>
        <v/>
      </c>
      <c r="AU250" s="23" t="str">
        <f t="shared" si="245"/>
        <v/>
      </c>
      <c r="AV250" s="23" t="str">
        <f t="shared" si="245"/>
        <v/>
      </c>
      <c r="AW250" s="23" t="str">
        <f t="shared" si="245"/>
        <v/>
      </c>
      <c r="AX250" s="23" t="str">
        <f t="shared" si="245"/>
        <v/>
      </c>
      <c r="AY250" s="23" t="str">
        <f t="shared" si="246"/>
        <v/>
      </c>
      <c r="AZ250" s="23" t="str">
        <f t="shared" si="246"/>
        <v/>
      </c>
      <c r="BA250" s="23" t="str">
        <f t="shared" si="246"/>
        <v/>
      </c>
      <c r="BB250" s="23" t="str">
        <f t="shared" si="246"/>
        <v/>
      </c>
      <c r="BC250" s="23" t="str">
        <f t="shared" si="246"/>
        <v/>
      </c>
      <c r="BD250" s="23" t="str">
        <f t="shared" si="246"/>
        <v/>
      </c>
      <c r="BE250" s="23" t="str">
        <f t="shared" si="246"/>
        <v/>
      </c>
      <c r="BF250" s="23" t="str">
        <f t="shared" si="246"/>
        <v/>
      </c>
      <c r="BG250" s="23" t="str">
        <f t="shared" si="246"/>
        <v/>
      </c>
      <c r="BH250" s="23" t="str">
        <f t="shared" si="246"/>
        <v/>
      </c>
      <c r="BI250" s="23" t="str">
        <f t="shared" si="247"/>
        <v/>
      </c>
      <c r="BJ250" s="23" t="str">
        <f t="shared" si="247"/>
        <v/>
      </c>
      <c r="BK250" s="23" t="str">
        <f t="shared" si="247"/>
        <v/>
      </c>
      <c r="BL250" s="23" t="str">
        <f t="shared" si="247"/>
        <v/>
      </c>
      <c r="BM250" s="23" t="str">
        <f t="shared" si="247"/>
        <v/>
      </c>
      <c r="BN250" s="23" t="str">
        <f t="shared" si="247"/>
        <v/>
      </c>
      <c r="BO250" s="23" t="str">
        <f t="shared" si="247"/>
        <v/>
      </c>
      <c r="BP250" s="23" t="str">
        <f t="shared" si="247"/>
        <v/>
      </c>
      <c r="BQ250" s="23" t="str">
        <f t="shared" si="247"/>
        <v/>
      </c>
      <c r="BR250" s="23" t="str">
        <f t="shared" si="247"/>
        <v/>
      </c>
      <c r="BS250" s="23" t="str">
        <f t="shared" si="247"/>
        <v/>
      </c>
      <c r="BU250" s="29" t="s">
        <v>742</v>
      </c>
    </row>
    <row r="251" spans="1:73" x14ac:dyDescent="0.2">
      <c r="BU251" s="30"/>
    </row>
    <row r="252" spans="1:73" ht="17" x14ac:dyDescent="0.2">
      <c r="A252" s="19" t="s">
        <v>743</v>
      </c>
      <c r="B252" s="20" t="s">
        <v>744</v>
      </c>
      <c r="C252" s="19" t="s">
        <v>55</v>
      </c>
      <c r="D252" s="21" t="s">
        <v>117</v>
      </c>
      <c r="E252" s="19" t="s">
        <v>745</v>
      </c>
      <c r="F252" s="19"/>
      <c r="G252" s="22">
        <v>6</v>
      </c>
      <c r="H252" s="22">
        <v>25</v>
      </c>
      <c r="I252" s="22">
        <f>MIN(61,IF(G252&lt;=29,ROUND((G252-1)*(29+SlipWeeks)/29,0)+1,G252+SlipWeeks))</f>
        <v>6</v>
      </c>
      <c r="J252" s="22">
        <f>MIN(61,IF(G252+H252-1&lt;=29,MAX(ROUND((G252+H252-1)*(29+SlipWeeks)/29,0),I252),G252+H252-1+SlipWeeks))</f>
        <v>30</v>
      </c>
      <c r="K252" s="23" t="str">
        <f t="shared" ref="K252:T258" si="248">IF(AND(K$4&gt;=$I252,K$4&lt;=$J252),1,"")</f>
        <v/>
      </c>
      <c r="L252" s="23" t="str">
        <f t="shared" si="248"/>
        <v/>
      </c>
      <c r="M252" s="23" t="str">
        <f t="shared" si="248"/>
        <v/>
      </c>
      <c r="N252" s="23" t="str">
        <f t="shared" si="248"/>
        <v/>
      </c>
      <c r="O252" s="23" t="str">
        <f t="shared" si="248"/>
        <v/>
      </c>
      <c r="P252" s="23">
        <f t="shared" si="248"/>
        <v>1</v>
      </c>
      <c r="Q252" s="23">
        <f t="shared" si="248"/>
        <v>1</v>
      </c>
      <c r="R252" s="23">
        <f t="shared" si="248"/>
        <v>1</v>
      </c>
      <c r="S252" s="23">
        <f t="shared" si="248"/>
        <v>1</v>
      </c>
      <c r="T252" s="23">
        <f t="shared" si="248"/>
        <v>1</v>
      </c>
      <c r="U252" s="23">
        <f t="shared" ref="U252:AD258" si="249">IF(AND(U$4&gt;=$I252,U$4&lt;=$J252),1,"")</f>
        <v>1</v>
      </c>
      <c r="V252" s="23">
        <f t="shared" si="249"/>
        <v>1</v>
      </c>
      <c r="W252" s="23">
        <f t="shared" si="249"/>
        <v>1</v>
      </c>
      <c r="X252" s="23">
        <f t="shared" si="249"/>
        <v>1</v>
      </c>
      <c r="Y252" s="23">
        <f t="shared" si="249"/>
        <v>1</v>
      </c>
      <c r="Z252" s="23">
        <f t="shared" si="249"/>
        <v>1</v>
      </c>
      <c r="AA252" s="23">
        <f t="shared" si="249"/>
        <v>1</v>
      </c>
      <c r="AB252" s="23">
        <f t="shared" si="249"/>
        <v>1</v>
      </c>
      <c r="AC252" s="23">
        <f t="shared" si="249"/>
        <v>1</v>
      </c>
      <c r="AD252" s="23">
        <f t="shared" si="249"/>
        <v>1</v>
      </c>
      <c r="AE252" s="23">
        <f t="shared" ref="AE252:AN258" si="250">IF(AND(AE$4&gt;=$I252,AE$4&lt;=$J252),1,"")</f>
        <v>1</v>
      </c>
      <c r="AF252" s="23">
        <f t="shared" si="250"/>
        <v>1</v>
      </c>
      <c r="AG252" s="23">
        <f t="shared" si="250"/>
        <v>1</v>
      </c>
      <c r="AH252" s="23">
        <f t="shared" si="250"/>
        <v>1</v>
      </c>
      <c r="AI252" s="23">
        <f t="shared" si="250"/>
        <v>1</v>
      </c>
      <c r="AJ252" s="23">
        <f t="shared" si="250"/>
        <v>1</v>
      </c>
      <c r="AK252" s="23">
        <f t="shared" si="250"/>
        <v>1</v>
      </c>
      <c r="AL252" s="23">
        <f t="shared" si="250"/>
        <v>1</v>
      </c>
      <c r="AM252" s="23">
        <f t="shared" si="250"/>
        <v>1</v>
      </c>
      <c r="AN252" s="23">
        <f t="shared" si="250"/>
        <v>1</v>
      </c>
      <c r="AO252" s="23" t="str">
        <f t="shared" ref="AO252:AX258" si="251">IF(AND(AO$4&gt;=$I252,AO$4&lt;=$J252),1,"")</f>
        <v/>
      </c>
      <c r="AP252" s="23" t="str">
        <f t="shared" si="251"/>
        <v/>
      </c>
      <c r="AQ252" s="23" t="str">
        <f t="shared" si="251"/>
        <v/>
      </c>
      <c r="AR252" s="23" t="str">
        <f t="shared" si="251"/>
        <v/>
      </c>
      <c r="AS252" s="23" t="str">
        <f t="shared" si="251"/>
        <v/>
      </c>
      <c r="AT252" s="23" t="str">
        <f t="shared" si="251"/>
        <v/>
      </c>
      <c r="AU252" s="23" t="str">
        <f t="shared" si="251"/>
        <v/>
      </c>
      <c r="AV252" s="23" t="str">
        <f t="shared" si="251"/>
        <v/>
      </c>
      <c r="AW252" s="23" t="str">
        <f t="shared" si="251"/>
        <v/>
      </c>
      <c r="AX252" s="23" t="str">
        <f t="shared" si="251"/>
        <v/>
      </c>
      <c r="AY252" s="23" t="str">
        <f t="shared" ref="AY252:BH258" si="252">IF(AND(AY$4&gt;=$I252,AY$4&lt;=$J252),1,"")</f>
        <v/>
      </c>
      <c r="AZ252" s="23" t="str">
        <f t="shared" si="252"/>
        <v/>
      </c>
      <c r="BA252" s="23" t="str">
        <f t="shared" si="252"/>
        <v/>
      </c>
      <c r="BB252" s="23" t="str">
        <f t="shared" si="252"/>
        <v/>
      </c>
      <c r="BC252" s="23" t="str">
        <f t="shared" si="252"/>
        <v/>
      </c>
      <c r="BD252" s="23" t="str">
        <f t="shared" si="252"/>
        <v/>
      </c>
      <c r="BE252" s="23" t="str">
        <f t="shared" si="252"/>
        <v/>
      </c>
      <c r="BF252" s="23" t="str">
        <f t="shared" si="252"/>
        <v/>
      </c>
      <c r="BG252" s="23" t="str">
        <f t="shared" si="252"/>
        <v/>
      </c>
      <c r="BH252" s="23" t="str">
        <f t="shared" si="252"/>
        <v/>
      </c>
      <c r="BI252" s="23" t="str">
        <f t="shared" ref="BI252:BS258" si="253">IF(AND(BI$4&gt;=$I252,BI$4&lt;=$J252),1,"")</f>
        <v/>
      </c>
      <c r="BJ252" s="23" t="str">
        <f t="shared" si="253"/>
        <v/>
      </c>
      <c r="BK252" s="23" t="str">
        <f t="shared" si="253"/>
        <v/>
      </c>
      <c r="BL252" s="23" t="str">
        <f t="shared" si="253"/>
        <v/>
      </c>
      <c r="BM252" s="23" t="str">
        <f t="shared" si="253"/>
        <v/>
      </c>
      <c r="BN252" s="23" t="str">
        <f t="shared" si="253"/>
        <v/>
      </c>
      <c r="BO252" s="23" t="str">
        <f t="shared" si="253"/>
        <v/>
      </c>
      <c r="BP252" s="23" t="str">
        <f t="shared" si="253"/>
        <v/>
      </c>
      <c r="BQ252" s="23" t="str">
        <f t="shared" si="253"/>
        <v/>
      </c>
      <c r="BR252" s="23" t="str">
        <f t="shared" si="253"/>
        <v/>
      </c>
      <c r="BS252" s="23" t="str">
        <f t="shared" si="253"/>
        <v/>
      </c>
      <c r="BT252" s="24" t="str">
        <f>IF(IF(G252+H252-1&lt;=29,MAX(ROUND((G252+H252-1)*(29+SlipWeeks)/29,0),$I252),G252+H252-1+SlipWeeks)&gt;61,"▶ clipped","")</f>
        <v/>
      </c>
      <c r="BU252" s="29" t="s">
        <v>746</v>
      </c>
    </row>
    <row r="253" spans="1:73" ht="17" outlineLevel="1" x14ac:dyDescent="0.2">
      <c r="A253" s="6" t="s">
        <v>747</v>
      </c>
      <c r="B253" s="25" t="s">
        <v>748</v>
      </c>
      <c r="C253" s="6" t="s">
        <v>55</v>
      </c>
      <c r="D253" s="24" t="s">
        <v>121</v>
      </c>
      <c r="F253" s="6"/>
      <c r="G253" s="22">
        <v>9</v>
      </c>
      <c r="H253" s="22">
        <v>17</v>
      </c>
      <c r="I253" s="22">
        <f t="shared" ref="I253:I258" si="254">MEDIAN($I$252,$J$252,$I$252+ROUND((G253-$G$252)/$H$252*($J$252-$I$252+1),0))</f>
        <v>9</v>
      </c>
      <c r="J253" s="22">
        <f t="shared" ref="J253:J258" si="255">MEDIAN(I253,$J$252,$I$252+ROUND((G253+H253-$G$252)/$H$252*($J$252-$I$252+1),0)-1)</f>
        <v>25</v>
      </c>
      <c r="K253" s="23" t="str">
        <f t="shared" si="248"/>
        <v/>
      </c>
      <c r="L253" s="23" t="str">
        <f t="shared" si="248"/>
        <v/>
      </c>
      <c r="M253" s="23" t="str">
        <f t="shared" si="248"/>
        <v/>
      </c>
      <c r="N253" s="23" t="str">
        <f t="shared" si="248"/>
        <v/>
      </c>
      <c r="O253" s="23" t="str">
        <f t="shared" si="248"/>
        <v/>
      </c>
      <c r="P253" s="23" t="str">
        <f t="shared" si="248"/>
        <v/>
      </c>
      <c r="Q253" s="23" t="str">
        <f t="shared" si="248"/>
        <v/>
      </c>
      <c r="R253" s="23" t="str">
        <f t="shared" si="248"/>
        <v/>
      </c>
      <c r="S253" s="23">
        <f t="shared" si="248"/>
        <v>1</v>
      </c>
      <c r="T253" s="23">
        <f t="shared" si="248"/>
        <v>1</v>
      </c>
      <c r="U253" s="23">
        <f t="shared" si="249"/>
        <v>1</v>
      </c>
      <c r="V253" s="23">
        <f t="shared" si="249"/>
        <v>1</v>
      </c>
      <c r="W253" s="23">
        <f t="shared" si="249"/>
        <v>1</v>
      </c>
      <c r="X253" s="23">
        <f t="shared" si="249"/>
        <v>1</v>
      </c>
      <c r="Y253" s="23">
        <f t="shared" si="249"/>
        <v>1</v>
      </c>
      <c r="Z253" s="23">
        <f t="shared" si="249"/>
        <v>1</v>
      </c>
      <c r="AA253" s="23">
        <f t="shared" si="249"/>
        <v>1</v>
      </c>
      <c r="AB253" s="23">
        <f t="shared" si="249"/>
        <v>1</v>
      </c>
      <c r="AC253" s="23">
        <f t="shared" si="249"/>
        <v>1</v>
      </c>
      <c r="AD253" s="23">
        <f t="shared" si="249"/>
        <v>1</v>
      </c>
      <c r="AE253" s="23">
        <f t="shared" si="250"/>
        <v>1</v>
      </c>
      <c r="AF253" s="23">
        <f t="shared" si="250"/>
        <v>1</v>
      </c>
      <c r="AG253" s="23">
        <f t="shared" si="250"/>
        <v>1</v>
      </c>
      <c r="AH253" s="23">
        <f t="shared" si="250"/>
        <v>1</v>
      </c>
      <c r="AI253" s="23">
        <f t="shared" si="250"/>
        <v>1</v>
      </c>
      <c r="AJ253" s="23" t="str">
        <f t="shared" si="250"/>
        <v/>
      </c>
      <c r="AK253" s="23" t="str">
        <f t="shared" si="250"/>
        <v/>
      </c>
      <c r="AL253" s="23" t="str">
        <f t="shared" si="250"/>
        <v/>
      </c>
      <c r="AM253" s="23" t="str">
        <f t="shared" si="250"/>
        <v/>
      </c>
      <c r="AN253" s="23" t="str">
        <f t="shared" si="250"/>
        <v/>
      </c>
      <c r="AO253" s="23" t="str">
        <f t="shared" si="251"/>
        <v/>
      </c>
      <c r="AP253" s="23" t="str">
        <f t="shared" si="251"/>
        <v/>
      </c>
      <c r="AQ253" s="23" t="str">
        <f t="shared" si="251"/>
        <v/>
      </c>
      <c r="AR253" s="23" t="str">
        <f t="shared" si="251"/>
        <v/>
      </c>
      <c r="AS253" s="23" t="str">
        <f t="shared" si="251"/>
        <v/>
      </c>
      <c r="AT253" s="23" t="str">
        <f t="shared" si="251"/>
        <v/>
      </c>
      <c r="AU253" s="23" t="str">
        <f t="shared" si="251"/>
        <v/>
      </c>
      <c r="AV253" s="23" t="str">
        <f t="shared" si="251"/>
        <v/>
      </c>
      <c r="AW253" s="23" t="str">
        <f t="shared" si="251"/>
        <v/>
      </c>
      <c r="AX253" s="23" t="str">
        <f t="shared" si="251"/>
        <v/>
      </c>
      <c r="AY253" s="23" t="str">
        <f t="shared" si="252"/>
        <v/>
      </c>
      <c r="AZ253" s="23" t="str">
        <f t="shared" si="252"/>
        <v/>
      </c>
      <c r="BA253" s="23" t="str">
        <f t="shared" si="252"/>
        <v/>
      </c>
      <c r="BB253" s="23" t="str">
        <f t="shared" si="252"/>
        <v/>
      </c>
      <c r="BC253" s="23" t="str">
        <f t="shared" si="252"/>
        <v/>
      </c>
      <c r="BD253" s="23" t="str">
        <f t="shared" si="252"/>
        <v/>
      </c>
      <c r="BE253" s="23" t="str">
        <f t="shared" si="252"/>
        <v/>
      </c>
      <c r="BF253" s="23" t="str">
        <f t="shared" si="252"/>
        <v/>
      </c>
      <c r="BG253" s="23" t="str">
        <f t="shared" si="252"/>
        <v/>
      </c>
      <c r="BH253" s="23" t="str">
        <f t="shared" si="252"/>
        <v/>
      </c>
      <c r="BI253" s="23" t="str">
        <f t="shared" si="253"/>
        <v/>
      </c>
      <c r="BJ253" s="23" t="str">
        <f t="shared" si="253"/>
        <v/>
      </c>
      <c r="BK253" s="23" t="str">
        <f t="shared" si="253"/>
        <v/>
      </c>
      <c r="BL253" s="23" t="str">
        <f t="shared" si="253"/>
        <v/>
      </c>
      <c r="BM253" s="23" t="str">
        <f t="shared" si="253"/>
        <v/>
      </c>
      <c r="BN253" s="23" t="str">
        <f t="shared" si="253"/>
        <v/>
      </c>
      <c r="BO253" s="23" t="str">
        <f t="shared" si="253"/>
        <v/>
      </c>
      <c r="BP253" s="23" t="str">
        <f t="shared" si="253"/>
        <v/>
      </c>
      <c r="BQ253" s="23" t="str">
        <f t="shared" si="253"/>
        <v/>
      </c>
      <c r="BR253" s="23" t="str">
        <f t="shared" si="253"/>
        <v/>
      </c>
      <c r="BS253" s="23" t="str">
        <f t="shared" si="253"/>
        <v/>
      </c>
      <c r="BU253" s="29" t="s">
        <v>749</v>
      </c>
    </row>
    <row r="254" spans="1:73" ht="17" outlineLevel="1" x14ac:dyDescent="0.2">
      <c r="A254" s="6" t="s">
        <v>750</v>
      </c>
      <c r="B254" s="25" t="s">
        <v>751</v>
      </c>
      <c r="C254" s="6" t="s">
        <v>55</v>
      </c>
      <c r="D254" s="24" t="s">
        <v>121</v>
      </c>
      <c r="F254" s="6"/>
      <c r="G254" s="22">
        <v>9</v>
      </c>
      <c r="H254" s="22">
        <v>17</v>
      </c>
      <c r="I254" s="22">
        <f t="shared" si="254"/>
        <v>9</v>
      </c>
      <c r="J254" s="22">
        <f t="shared" si="255"/>
        <v>25</v>
      </c>
      <c r="K254" s="23" t="str">
        <f t="shared" si="248"/>
        <v/>
      </c>
      <c r="L254" s="23" t="str">
        <f t="shared" si="248"/>
        <v/>
      </c>
      <c r="M254" s="23" t="str">
        <f t="shared" si="248"/>
        <v/>
      </c>
      <c r="N254" s="23" t="str">
        <f t="shared" si="248"/>
        <v/>
      </c>
      <c r="O254" s="23" t="str">
        <f t="shared" si="248"/>
        <v/>
      </c>
      <c r="P254" s="23" t="str">
        <f t="shared" si="248"/>
        <v/>
      </c>
      <c r="Q254" s="23" t="str">
        <f t="shared" si="248"/>
        <v/>
      </c>
      <c r="R254" s="23" t="str">
        <f t="shared" si="248"/>
        <v/>
      </c>
      <c r="S254" s="23">
        <f t="shared" si="248"/>
        <v>1</v>
      </c>
      <c r="T254" s="23">
        <f t="shared" si="248"/>
        <v>1</v>
      </c>
      <c r="U254" s="23">
        <f t="shared" si="249"/>
        <v>1</v>
      </c>
      <c r="V254" s="23">
        <f t="shared" si="249"/>
        <v>1</v>
      </c>
      <c r="W254" s="23">
        <f t="shared" si="249"/>
        <v>1</v>
      </c>
      <c r="X254" s="23">
        <f t="shared" si="249"/>
        <v>1</v>
      </c>
      <c r="Y254" s="23">
        <f t="shared" si="249"/>
        <v>1</v>
      </c>
      <c r="Z254" s="23">
        <f t="shared" si="249"/>
        <v>1</v>
      </c>
      <c r="AA254" s="23">
        <f t="shared" si="249"/>
        <v>1</v>
      </c>
      <c r="AB254" s="23">
        <f t="shared" si="249"/>
        <v>1</v>
      </c>
      <c r="AC254" s="23">
        <f t="shared" si="249"/>
        <v>1</v>
      </c>
      <c r="AD254" s="23">
        <f t="shared" si="249"/>
        <v>1</v>
      </c>
      <c r="AE254" s="23">
        <f t="shared" si="250"/>
        <v>1</v>
      </c>
      <c r="AF254" s="23">
        <f t="shared" si="250"/>
        <v>1</v>
      </c>
      <c r="AG254" s="23">
        <f t="shared" si="250"/>
        <v>1</v>
      </c>
      <c r="AH254" s="23">
        <f t="shared" si="250"/>
        <v>1</v>
      </c>
      <c r="AI254" s="23">
        <f t="shared" si="250"/>
        <v>1</v>
      </c>
      <c r="AJ254" s="23" t="str">
        <f t="shared" si="250"/>
        <v/>
      </c>
      <c r="AK254" s="23" t="str">
        <f t="shared" si="250"/>
        <v/>
      </c>
      <c r="AL254" s="23" t="str">
        <f t="shared" si="250"/>
        <v/>
      </c>
      <c r="AM254" s="23" t="str">
        <f t="shared" si="250"/>
        <v/>
      </c>
      <c r="AN254" s="23" t="str">
        <f t="shared" si="250"/>
        <v/>
      </c>
      <c r="AO254" s="23" t="str">
        <f t="shared" si="251"/>
        <v/>
      </c>
      <c r="AP254" s="23" t="str">
        <f t="shared" si="251"/>
        <v/>
      </c>
      <c r="AQ254" s="23" t="str">
        <f t="shared" si="251"/>
        <v/>
      </c>
      <c r="AR254" s="23" t="str">
        <f t="shared" si="251"/>
        <v/>
      </c>
      <c r="AS254" s="23" t="str">
        <f t="shared" si="251"/>
        <v/>
      </c>
      <c r="AT254" s="23" t="str">
        <f t="shared" si="251"/>
        <v/>
      </c>
      <c r="AU254" s="23" t="str">
        <f t="shared" si="251"/>
        <v/>
      </c>
      <c r="AV254" s="23" t="str">
        <f t="shared" si="251"/>
        <v/>
      </c>
      <c r="AW254" s="23" t="str">
        <f t="shared" si="251"/>
        <v/>
      </c>
      <c r="AX254" s="23" t="str">
        <f t="shared" si="251"/>
        <v/>
      </c>
      <c r="AY254" s="23" t="str">
        <f t="shared" si="252"/>
        <v/>
      </c>
      <c r="AZ254" s="23" t="str">
        <f t="shared" si="252"/>
        <v/>
      </c>
      <c r="BA254" s="23" t="str">
        <f t="shared" si="252"/>
        <v/>
      </c>
      <c r="BB254" s="23" t="str">
        <f t="shared" si="252"/>
        <v/>
      </c>
      <c r="BC254" s="23" t="str">
        <f t="shared" si="252"/>
        <v/>
      </c>
      <c r="BD254" s="23" t="str">
        <f t="shared" si="252"/>
        <v/>
      </c>
      <c r="BE254" s="23" t="str">
        <f t="shared" si="252"/>
        <v/>
      </c>
      <c r="BF254" s="23" t="str">
        <f t="shared" si="252"/>
        <v/>
      </c>
      <c r="BG254" s="23" t="str">
        <f t="shared" si="252"/>
        <v/>
      </c>
      <c r="BH254" s="23" t="str">
        <f t="shared" si="252"/>
        <v/>
      </c>
      <c r="BI254" s="23" t="str">
        <f t="shared" si="253"/>
        <v/>
      </c>
      <c r="BJ254" s="23" t="str">
        <f t="shared" si="253"/>
        <v/>
      </c>
      <c r="BK254" s="23" t="str">
        <f t="shared" si="253"/>
        <v/>
      </c>
      <c r="BL254" s="23" t="str">
        <f t="shared" si="253"/>
        <v/>
      </c>
      <c r="BM254" s="23" t="str">
        <f t="shared" si="253"/>
        <v/>
      </c>
      <c r="BN254" s="23" t="str">
        <f t="shared" si="253"/>
        <v/>
      </c>
      <c r="BO254" s="23" t="str">
        <f t="shared" si="253"/>
        <v/>
      </c>
      <c r="BP254" s="23" t="str">
        <f t="shared" si="253"/>
        <v/>
      </c>
      <c r="BQ254" s="23" t="str">
        <f t="shared" si="253"/>
        <v/>
      </c>
      <c r="BR254" s="23" t="str">
        <f t="shared" si="253"/>
        <v/>
      </c>
      <c r="BS254" s="23" t="str">
        <f t="shared" si="253"/>
        <v/>
      </c>
      <c r="BU254" s="29" t="s">
        <v>752</v>
      </c>
    </row>
    <row r="255" spans="1:73" ht="17" outlineLevel="1" x14ac:dyDescent="0.2">
      <c r="A255" s="6" t="s">
        <v>753</v>
      </c>
      <c r="B255" s="25" t="s">
        <v>754</v>
      </c>
      <c r="C255" s="6" t="s">
        <v>55</v>
      </c>
      <c r="D255" s="24" t="s">
        <v>121</v>
      </c>
      <c r="F255" s="6"/>
      <c r="G255" s="22">
        <v>6</v>
      </c>
      <c r="H255" s="22">
        <v>17</v>
      </c>
      <c r="I255" s="22">
        <f t="shared" si="254"/>
        <v>6</v>
      </c>
      <c r="J255" s="22">
        <f t="shared" si="255"/>
        <v>22</v>
      </c>
      <c r="K255" s="23" t="str">
        <f t="shared" si="248"/>
        <v/>
      </c>
      <c r="L255" s="23" t="str">
        <f t="shared" si="248"/>
        <v/>
      </c>
      <c r="M255" s="23" t="str">
        <f t="shared" si="248"/>
        <v/>
      </c>
      <c r="N255" s="23" t="str">
        <f t="shared" si="248"/>
        <v/>
      </c>
      <c r="O255" s="23" t="str">
        <f t="shared" si="248"/>
        <v/>
      </c>
      <c r="P255" s="23">
        <f t="shared" si="248"/>
        <v>1</v>
      </c>
      <c r="Q255" s="23">
        <f t="shared" si="248"/>
        <v>1</v>
      </c>
      <c r="R255" s="23">
        <f t="shared" si="248"/>
        <v>1</v>
      </c>
      <c r="S255" s="23">
        <f t="shared" si="248"/>
        <v>1</v>
      </c>
      <c r="T255" s="23">
        <f t="shared" si="248"/>
        <v>1</v>
      </c>
      <c r="U255" s="23">
        <f t="shared" si="249"/>
        <v>1</v>
      </c>
      <c r="V255" s="23">
        <f t="shared" si="249"/>
        <v>1</v>
      </c>
      <c r="W255" s="23">
        <f t="shared" si="249"/>
        <v>1</v>
      </c>
      <c r="X255" s="23">
        <f t="shared" si="249"/>
        <v>1</v>
      </c>
      <c r="Y255" s="23">
        <f t="shared" si="249"/>
        <v>1</v>
      </c>
      <c r="Z255" s="23">
        <f t="shared" si="249"/>
        <v>1</v>
      </c>
      <c r="AA255" s="23">
        <f t="shared" si="249"/>
        <v>1</v>
      </c>
      <c r="AB255" s="23">
        <f t="shared" si="249"/>
        <v>1</v>
      </c>
      <c r="AC255" s="23">
        <f t="shared" si="249"/>
        <v>1</v>
      </c>
      <c r="AD255" s="23">
        <f t="shared" si="249"/>
        <v>1</v>
      </c>
      <c r="AE255" s="23">
        <f t="shared" si="250"/>
        <v>1</v>
      </c>
      <c r="AF255" s="23">
        <f t="shared" si="250"/>
        <v>1</v>
      </c>
      <c r="AG255" s="23" t="str">
        <f t="shared" si="250"/>
        <v/>
      </c>
      <c r="AH255" s="23" t="str">
        <f t="shared" si="250"/>
        <v/>
      </c>
      <c r="AI255" s="23" t="str">
        <f t="shared" si="250"/>
        <v/>
      </c>
      <c r="AJ255" s="23" t="str">
        <f t="shared" si="250"/>
        <v/>
      </c>
      <c r="AK255" s="23" t="str">
        <f t="shared" si="250"/>
        <v/>
      </c>
      <c r="AL255" s="23" t="str">
        <f t="shared" si="250"/>
        <v/>
      </c>
      <c r="AM255" s="23" t="str">
        <f t="shared" si="250"/>
        <v/>
      </c>
      <c r="AN255" s="23" t="str">
        <f t="shared" si="250"/>
        <v/>
      </c>
      <c r="AO255" s="23" t="str">
        <f t="shared" si="251"/>
        <v/>
      </c>
      <c r="AP255" s="23" t="str">
        <f t="shared" si="251"/>
        <v/>
      </c>
      <c r="AQ255" s="23" t="str">
        <f t="shared" si="251"/>
        <v/>
      </c>
      <c r="AR255" s="23" t="str">
        <f t="shared" si="251"/>
        <v/>
      </c>
      <c r="AS255" s="23" t="str">
        <f t="shared" si="251"/>
        <v/>
      </c>
      <c r="AT255" s="23" t="str">
        <f t="shared" si="251"/>
        <v/>
      </c>
      <c r="AU255" s="23" t="str">
        <f t="shared" si="251"/>
        <v/>
      </c>
      <c r="AV255" s="23" t="str">
        <f t="shared" si="251"/>
        <v/>
      </c>
      <c r="AW255" s="23" t="str">
        <f t="shared" si="251"/>
        <v/>
      </c>
      <c r="AX255" s="23" t="str">
        <f t="shared" si="251"/>
        <v/>
      </c>
      <c r="AY255" s="23" t="str">
        <f t="shared" si="252"/>
        <v/>
      </c>
      <c r="AZ255" s="23" t="str">
        <f t="shared" si="252"/>
        <v/>
      </c>
      <c r="BA255" s="23" t="str">
        <f t="shared" si="252"/>
        <v/>
      </c>
      <c r="BB255" s="23" t="str">
        <f t="shared" si="252"/>
        <v/>
      </c>
      <c r="BC255" s="23" t="str">
        <f t="shared" si="252"/>
        <v/>
      </c>
      <c r="BD255" s="23" t="str">
        <f t="shared" si="252"/>
        <v/>
      </c>
      <c r="BE255" s="23" t="str">
        <f t="shared" si="252"/>
        <v/>
      </c>
      <c r="BF255" s="23" t="str">
        <f t="shared" si="252"/>
        <v/>
      </c>
      <c r="BG255" s="23" t="str">
        <f t="shared" si="252"/>
        <v/>
      </c>
      <c r="BH255" s="23" t="str">
        <f t="shared" si="252"/>
        <v/>
      </c>
      <c r="BI255" s="23" t="str">
        <f t="shared" si="253"/>
        <v/>
      </c>
      <c r="BJ255" s="23" t="str">
        <f t="shared" si="253"/>
        <v/>
      </c>
      <c r="BK255" s="23" t="str">
        <f t="shared" si="253"/>
        <v/>
      </c>
      <c r="BL255" s="23" t="str">
        <f t="shared" si="253"/>
        <v/>
      </c>
      <c r="BM255" s="23" t="str">
        <f t="shared" si="253"/>
        <v/>
      </c>
      <c r="BN255" s="23" t="str">
        <f t="shared" si="253"/>
        <v/>
      </c>
      <c r="BO255" s="23" t="str">
        <f t="shared" si="253"/>
        <v/>
      </c>
      <c r="BP255" s="23" t="str">
        <f t="shared" si="253"/>
        <v/>
      </c>
      <c r="BQ255" s="23" t="str">
        <f t="shared" si="253"/>
        <v/>
      </c>
      <c r="BR255" s="23" t="str">
        <f t="shared" si="253"/>
        <v/>
      </c>
      <c r="BS255" s="23" t="str">
        <f t="shared" si="253"/>
        <v/>
      </c>
      <c r="BU255" s="29" t="s">
        <v>755</v>
      </c>
    </row>
    <row r="256" spans="1:73" ht="17" outlineLevel="1" x14ac:dyDescent="0.2">
      <c r="A256" s="6" t="s">
        <v>756</v>
      </c>
      <c r="B256" s="25" t="s">
        <v>757</v>
      </c>
      <c r="C256" s="6" t="s">
        <v>55</v>
      </c>
      <c r="D256" s="24" t="s">
        <v>121</v>
      </c>
      <c r="F256" s="6"/>
      <c r="G256" s="22">
        <v>11</v>
      </c>
      <c r="H256" s="22">
        <v>15</v>
      </c>
      <c r="I256" s="22">
        <f t="shared" si="254"/>
        <v>11</v>
      </c>
      <c r="J256" s="22">
        <f t="shared" si="255"/>
        <v>25</v>
      </c>
      <c r="K256" s="23" t="str">
        <f t="shared" si="248"/>
        <v/>
      </c>
      <c r="L256" s="23" t="str">
        <f t="shared" si="248"/>
        <v/>
      </c>
      <c r="M256" s="23" t="str">
        <f t="shared" si="248"/>
        <v/>
      </c>
      <c r="N256" s="23" t="str">
        <f t="shared" si="248"/>
        <v/>
      </c>
      <c r="O256" s="23" t="str">
        <f t="shared" si="248"/>
        <v/>
      </c>
      <c r="P256" s="23" t="str">
        <f t="shared" si="248"/>
        <v/>
      </c>
      <c r="Q256" s="23" t="str">
        <f t="shared" si="248"/>
        <v/>
      </c>
      <c r="R256" s="23" t="str">
        <f t="shared" si="248"/>
        <v/>
      </c>
      <c r="S256" s="23" t="str">
        <f t="shared" si="248"/>
        <v/>
      </c>
      <c r="T256" s="23" t="str">
        <f t="shared" si="248"/>
        <v/>
      </c>
      <c r="U256" s="23">
        <f t="shared" si="249"/>
        <v>1</v>
      </c>
      <c r="V256" s="23">
        <f t="shared" si="249"/>
        <v>1</v>
      </c>
      <c r="W256" s="23">
        <f t="shared" si="249"/>
        <v>1</v>
      </c>
      <c r="X256" s="23">
        <f t="shared" si="249"/>
        <v>1</v>
      </c>
      <c r="Y256" s="23">
        <f t="shared" si="249"/>
        <v>1</v>
      </c>
      <c r="Z256" s="23">
        <f t="shared" si="249"/>
        <v>1</v>
      </c>
      <c r="AA256" s="23">
        <f t="shared" si="249"/>
        <v>1</v>
      </c>
      <c r="AB256" s="23">
        <f t="shared" si="249"/>
        <v>1</v>
      </c>
      <c r="AC256" s="23">
        <f t="shared" si="249"/>
        <v>1</v>
      </c>
      <c r="AD256" s="23">
        <f t="shared" si="249"/>
        <v>1</v>
      </c>
      <c r="AE256" s="23">
        <f t="shared" si="250"/>
        <v>1</v>
      </c>
      <c r="AF256" s="23">
        <f t="shared" si="250"/>
        <v>1</v>
      </c>
      <c r="AG256" s="23">
        <f t="shared" si="250"/>
        <v>1</v>
      </c>
      <c r="AH256" s="23">
        <f t="shared" si="250"/>
        <v>1</v>
      </c>
      <c r="AI256" s="23">
        <f t="shared" si="250"/>
        <v>1</v>
      </c>
      <c r="AJ256" s="23" t="str">
        <f t="shared" si="250"/>
        <v/>
      </c>
      <c r="AK256" s="23" t="str">
        <f t="shared" si="250"/>
        <v/>
      </c>
      <c r="AL256" s="23" t="str">
        <f t="shared" si="250"/>
        <v/>
      </c>
      <c r="AM256" s="23" t="str">
        <f t="shared" si="250"/>
        <v/>
      </c>
      <c r="AN256" s="23" t="str">
        <f t="shared" si="250"/>
        <v/>
      </c>
      <c r="AO256" s="23" t="str">
        <f t="shared" si="251"/>
        <v/>
      </c>
      <c r="AP256" s="23" t="str">
        <f t="shared" si="251"/>
        <v/>
      </c>
      <c r="AQ256" s="23" t="str">
        <f t="shared" si="251"/>
        <v/>
      </c>
      <c r="AR256" s="23" t="str">
        <f t="shared" si="251"/>
        <v/>
      </c>
      <c r="AS256" s="23" t="str">
        <f t="shared" si="251"/>
        <v/>
      </c>
      <c r="AT256" s="23" t="str">
        <f t="shared" si="251"/>
        <v/>
      </c>
      <c r="AU256" s="23" t="str">
        <f t="shared" si="251"/>
        <v/>
      </c>
      <c r="AV256" s="23" t="str">
        <f t="shared" si="251"/>
        <v/>
      </c>
      <c r="AW256" s="23" t="str">
        <f t="shared" si="251"/>
        <v/>
      </c>
      <c r="AX256" s="23" t="str">
        <f t="shared" si="251"/>
        <v/>
      </c>
      <c r="AY256" s="23" t="str">
        <f t="shared" si="252"/>
        <v/>
      </c>
      <c r="AZ256" s="23" t="str">
        <f t="shared" si="252"/>
        <v/>
      </c>
      <c r="BA256" s="23" t="str">
        <f t="shared" si="252"/>
        <v/>
      </c>
      <c r="BB256" s="23" t="str">
        <f t="shared" si="252"/>
        <v/>
      </c>
      <c r="BC256" s="23" t="str">
        <f t="shared" si="252"/>
        <v/>
      </c>
      <c r="BD256" s="23" t="str">
        <f t="shared" si="252"/>
        <v/>
      </c>
      <c r="BE256" s="23" t="str">
        <f t="shared" si="252"/>
        <v/>
      </c>
      <c r="BF256" s="23" t="str">
        <f t="shared" si="252"/>
        <v/>
      </c>
      <c r="BG256" s="23" t="str">
        <f t="shared" si="252"/>
        <v/>
      </c>
      <c r="BH256" s="23" t="str">
        <f t="shared" si="252"/>
        <v/>
      </c>
      <c r="BI256" s="23" t="str">
        <f t="shared" si="253"/>
        <v/>
      </c>
      <c r="BJ256" s="23" t="str">
        <f t="shared" si="253"/>
        <v/>
      </c>
      <c r="BK256" s="23" t="str">
        <f t="shared" si="253"/>
        <v/>
      </c>
      <c r="BL256" s="23" t="str">
        <f t="shared" si="253"/>
        <v/>
      </c>
      <c r="BM256" s="23" t="str">
        <f t="shared" si="253"/>
        <v/>
      </c>
      <c r="BN256" s="23" t="str">
        <f t="shared" si="253"/>
        <v/>
      </c>
      <c r="BO256" s="23" t="str">
        <f t="shared" si="253"/>
        <v/>
      </c>
      <c r="BP256" s="23" t="str">
        <f t="shared" si="253"/>
        <v/>
      </c>
      <c r="BQ256" s="23" t="str">
        <f t="shared" si="253"/>
        <v/>
      </c>
      <c r="BR256" s="23" t="str">
        <f t="shared" si="253"/>
        <v/>
      </c>
      <c r="BS256" s="23" t="str">
        <f t="shared" si="253"/>
        <v/>
      </c>
      <c r="BU256" s="29" t="s">
        <v>758</v>
      </c>
    </row>
    <row r="257" spans="1:73" ht="17" outlineLevel="1" x14ac:dyDescent="0.2">
      <c r="A257" s="6" t="s">
        <v>759</v>
      </c>
      <c r="B257" s="25" t="s">
        <v>760</v>
      </c>
      <c r="C257" s="6" t="s">
        <v>55</v>
      </c>
      <c r="D257" s="24" t="s">
        <v>121</v>
      </c>
      <c r="F257" s="6"/>
      <c r="G257" s="22">
        <v>11</v>
      </c>
      <c r="H257" s="22">
        <v>20</v>
      </c>
      <c r="I257" s="22">
        <f t="shared" si="254"/>
        <v>11</v>
      </c>
      <c r="J257" s="22">
        <f t="shared" si="255"/>
        <v>30</v>
      </c>
      <c r="K257" s="23" t="str">
        <f t="shared" si="248"/>
        <v/>
      </c>
      <c r="L257" s="23" t="str">
        <f t="shared" si="248"/>
        <v/>
      </c>
      <c r="M257" s="23" t="str">
        <f t="shared" si="248"/>
        <v/>
      </c>
      <c r="N257" s="23" t="str">
        <f t="shared" si="248"/>
        <v/>
      </c>
      <c r="O257" s="23" t="str">
        <f t="shared" si="248"/>
        <v/>
      </c>
      <c r="P257" s="23" t="str">
        <f t="shared" si="248"/>
        <v/>
      </c>
      <c r="Q257" s="23" t="str">
        <f t="shared" si="248"/>
        <v/>
      </c>
      <c r="R257" s="23" t="str">
        <f t="shared" si="248"/>
        <v/>
      </c>
      <c r="S257" s="23" t="str">
        <f t="shared" si="248"/>
        <v/>
      </c>
      <c r="T257" s="23" t="str">
        <f t="shared" si="248"/>
        <v/>
      </c>
      <c r="U257" s="23">
        <f t="shared" si="249"/>
        <v>1</v>
      </c>
      <c r="V257" s="23">
        <f t="shared" si="249"/>
        <v>1</v>
      </c>
      <c r="W257" s="23">
        <f t="shared" si="249"/>
        <v>1</v>
      </c>
      <c r="X257" s="23">
        <f t="shared" si="249"/>
        <v>1</v>
      </c>
      <c r="Y257" s="23">
        <f t="shared" si="249"/>
        <v>1</v>
      </c>
      <c r="Z257" s="23">
        <f t="shared" si="249"/>
        <v>1</v>
      </c>
      <c r="AA257" s="23">
        <f t="shared" si="249"/>
        <v>1</v>
      </c>
      <c r="AB257" s="23">
        <f t="shared" si="249"/>
        <v>1</v>
      </c>
      <c r="AC257" s="23">
        <f t="shared" si="249"/>
        <v>1</v>
      </c>
      <c r="AD257" s="23">
        <f t="shared" si="249"/>
        <v>1</v>
      </c>
      <c r="AE257" s="23">
        <f t="shared" si="250"/>
        <v>1</v>
      </c>
      <c r="AF257" s="23">
        <f t="shared" si="250"/>
        <v>1</v>
      </c>
      <c r="AG257" s="23">
        <f t="shared" si="250"/>
        <v>1</v>
      </c>
      <c r="AH257" s="23">
        <f t="shared" si="250"/>
        <v>1</v>
      </c>
      <c r="AI257" s="23">
        <f t="shared" si="250"/>
        <v>1</v>
      </c>
      <c r="AJ257" s="23">
        <f t="shared" si="250"/>
        <v>1</v>
      </c>
      <c r="AK257" s="23">
        <f t="shared" si="250"/>
        <v>1</v>
      </c>
      <c r="AL257" s="23">
        <f t="shared" si="250"/>
        <v>1</v>
      </c>
      <c r="AM257" s="23">
        <f t="shared" si="250"/>
        <v>1</v>
      </c>
      <c r="AN257" s="23">
        <f t="shared" si="250"/>
        <v>1</v>
      </c>
      <c r="AO257" s="23" t="str">
        <f t="shared" si="251"/>
        <v/>
      </c>
      <c r="AP257" s="23" t="str">
        <f t="shared" si="251"/>
        <v/>
      </c>
      <c r="AQ257" s="23" t="str">
        <f t="shared" si="251"/>
        <v/>
      </c>
      <c r="AR257" s="23" t="str">
        <f t="shared" si="251"/>
        <v/>
      </c>
      <c r="AS257" s="23" t="str">
        <f t="shared" si="251"/>
        <v/>
      </c>
      <c r="AT257" s="23" t="str">
        <f t="shared" si="251"/>
        <v/>
      </c>
      <c r="AU257" s="23" t="str">
        <f t="shared" si="251"/>
        <v/>
      </c>
      <c r="AV257" s="23" t="str">
        <f t="shared" si="251"/>
        <v/>
      </c>
      <c r="AW257" s="23" t="str">
        <f t="shared" si="251"/>
        <v/>
      </c>
      <c r="AX257" s="23" t="str">
        <f t="shared" si="251"/>
        <v/>
      </c>
      <c r="AY257" s="23" t="str">
        <f t="shared" si="252"/>
        <v/>
      </c>
      <c r="AZ257" s="23" t="str">
        <f t="shared" si="252"/>
        <v/>
      </c>
      <c r="BA257" s="23" t="str">
        <f t="shared" si="252"/>
        <v/>
      </c>
      <c r="BB257" s="23" t="str">
        <f t="shared" si="252"/>
        <v/>
      </c>
      <c r="BC257" s="23" t="str">
        <f t="shared" si="252"/>
        <v/>
      </c>
      <c r="BD257" s="23" t="str">
        <f t="shared" si="252"/>
        <v/>
      </c>
      <c r="BE257" s="23" t="str">
        <f t="shared" si="252"/>
        <v/>
      </c>
      <c r="BF257" s="23" t="str">
        <f t="shared" si="252"/>
        <v/>
      </c>
      <c r="BG257" s="23" t="str">
        <f t="shared" si="252"/>
        <v/>
      </c>
      <c r="BH257" s="23" t="str">
        <f t="shared" si="252"/>
        <v/>
      </c>
      <c r="BI257" s="23" t="str">
        <f t="shared" si="253"/>
        <v/>
      </c>
      <c r="BJ257" s="23" t="str">
        <f t="shared" si="253"/>
        <v/>
      </c>
      <c r="BK257" s="23" t="str">
        <f t="shared" si="253"/>
        <v/>
      </c>
      <c r="BL257" s="23" t="str">
        <f t="shared" si="253"/>
        <v/>
      </c>
      <c r="BM257" s="23" t="str">
        <f t="shared" si="253"/>
        <v/>
      </c>
      <c r="BN257" s="23" t="str">
        <f t="shared" si="253"/>
        <v/>
      </c>
      <c r="BO257" s="23" t="str">
        <f t="shared" si="253"/>
        <v/>
      </c>
      <c r="BP257" s="23" t="str">
        <f t="shared" si="253"/>
        <v/>
      </c>
      <c r="BQ257" s="23" t="str">
        <f t="shared" si="253"/>
        <v/>
      </c>
      <c r="BR257" s="23" t="str">
        <f t="shared" si="253"/>
        <v/>
      </c>
      <c r="BS257" s="23" t="str">
        <f t="shared" si="253"/>
        <v/>
      </c>
      <c r="BU257" s="29" t="s">
        <v>761</v>
      </c>
    </row>
    <row r="258" spans="1:73" ht="17" outlineLevel="1" x14ac:dyDescent="0.2">
      <c r="A258" s="6" t="s">
        <v>762</v>
      </c>
      <c r="B258" s="25" t="s">
        <v>763</v>
      </c>
      <c r="C258" s="6" t="s">
        <v>55</v>
      </c>
      <c r="D258" s="24" t="s">
        <v>121</v>
      </c>
      <c r="F258" s="6"/>
      <c r="G258" s="22">
        <v>6</v>
      </c>
      <c r="H258" s="22">
        <v>21</v>
      </c>
      <c r="I258" s="22">
        <f t="shared" si="254"/>
        <v>6</v>
      </c>
      <c r="J258" s="22">
        <f t="shared" si="255"/>
        <v>26</v>
      </c>
      <c r="K258" s="23" t="str">
        <f t="shared" si="248"/>
        <v/>
      </c>
      <c r="L258" s="23" t="str">
        <f t="shared" si="248"/>
        <v/>
      </c>
      <c r="M258" s="23" t="str">
        <f t="shared" si="248"/>
        <v/>
      </c>
      <c r="N258" s="23" t="str">
        <f t="shared" si="248"/>
        <v/>
      </c>
      <c r="O258" s="23" t="str">
        <f t="shared" si="248"/>
        <v/>
      </c>
      <c r="P258" s="23">
        <f t="shared" si="248"/>
        <v>1</v>
      </c>
      <c r="Q258" s="23">
        <f t="shared" si="248"/>
        <v>1</v>
      </c>
      <c r="R258" s="23">
        <f t="shared" si="248"/>
        <v>1</v>
      </c>
      <c r="S258" s="23">
        <f t="shared" si="248"/>
        <v>1</v>
      </c>
      <c r="T258" s="23">
        <f t="shared" si="248"/>
        <v>1</v>
      </c>
      <c r="U258" s="23">
        <f t="shared" si="249"/>
        <v>1</v>
      </c>
      <c r="V258" s="23">
        <f t="shared" si="249"/>
        <v>1</v>
      </c>
      <c r="W258" s="23">
        <f t="shared" si="249"/>
        <v>1</v>
      </c>
      <c r="X258" s="23">
        <f t="shared" si="249"/>
        <v>1</v>
      </c>
      <c r="Y258" s="23">
        <f t="shared" si="249"/>
        <v>1</v>
      </c>
      <c r="Z258" s="23">
        <f t="shared" si="249"/>
        <v>1</v>
      </c>
      <c r="AA258" s="23">
        <f t="shared" si="249"/>
        <v>1</v>
      </c>
      <c r="AB258" s="23">
        <f t="shared" si="249"/>
        <v>1</v>
      </c>
      <c r="AC258" s="23">
        <f t="shared" si="249"/>
        <v>1</v>
      </c>
      <c r="AD258" s="23">
        <f t="shared" si="249"/>
        <v>1</v>
      </c>
      <c r="AE258" s="23">
        <f t="shared" si="250"/>
        <v>1</v>
      </c>
      <c r="AF258" s="23">
        <f t="shared" si="250"/>
        <v>1</v>
      </c>
      <c r="AG258" s="23">
        <f t="shared" si="250"/>
        <v>1</v>
      </c>
      <c r="AH258" s="23">
        <f t="shared" si="250"/>
        <v>1</v>
      </c>
      <c r="AI258" s="23">
        <f t="shared" si="250"/>
        <v>1</v>
      </c>
      <c r="AJ258" s="23">
        <f t="shared" si="250"/>
        <v>1</v>
      </c>
      <c r="AK258" s="23" t="str">
        <f t="shared" si="250"/>
        <v/>
      </c>
      <c r="AL258" s="23" t="str">
        <f t="shared" si="250"/>
        <v/>
      </c>
      <c r="AM258" s="23" t="str">
        <f t="shared" si="250"/>
        <v/>
      </c>
      <c r="AN258" s="23" t="str">
        <f t="shared" si="250"/>
        <v/>
      </c>
      <c r="AO258" s="23" t="str">
        <f t="shared" si="251"/>
        <v/>
      </c>
      <c r="AP258" s="23" t="str">
        <f t="shared" si="251"/>
        <v/>
      </c>
      <c r="AQ258" s="23" t="str">
        <f t="shared" si="251"/>
        <v/>
      </c>
      <c r="AR258" s="23" t="str">
        <f t="shared" si="251"/>
        <v/>
      </c>
      <c r="AS258" s="23" t="str">
        <f t="shared" si="251"/>
        <v/>
      </c>
      <c r="AT258" s="23" t="str">
        <f t="shared" si="251"/>
        <v/>
      </c>
      <c r="AU258" s="23" t="str">
        <f t="shared" si="251"/>
        <v/>
      </c>
      <c r="AV258" s="23" t="str">
        <f t="shared" si="251"/>
        <v/>
      </c>
      <c r="AW258" s="23" t="str">
        <f t="shared" si="251"/>
        <v/>
      </c>
      <c r="AX258" s="23" t="str">
        <f t="shared" si="251"/>
        <v/>
      </c>
      <c r="AY258" s="23" t="str">
        <f t="shared" si="252"/>
        <v/>
      </c>
      <c r="AZ258" s="23" t="str">
        <f t="shared" si="252"/>
        <v/>
      </c>
      <c r="BA258" s="23" t="str">
        <f t="shared" si="252"/>
        <v/>
      </c>
      <c r="BB258" s="23" t="str">
        <f t="shared" si="252"/>
        <v/>
      </c>
      <c r="BC258" s="23" t="str">
        <f t="shared" si="252"/>
        <v/>
      </c>
      <c r="BD258" s="23" t="str">
        <f t="shared" si="252"/>
        <v/>
      </c>
      <c r="BE258" s="23" t="str">
        <f t="shared" si="252"/>
        <v/>
      </c>
      <c r="BF258" s="23" t="str">
        <f t="shared" si="252"/>
        <v/>
      </c>
      <c r="BG258" s="23" t="str">
        <f t="shared" si="252"/>
        <v/>
      </c>
      <c r="BH258" s="23" t="str">
        <f t="shared" si="252"/>
        <v/>
      </c>
      <c r="BI258" s="23" t="str">
        <f t="shared" si="253"/>
        <v/>
      </c>
      <c r="BJ258" s="23" t="str">
        <f t="shared" si="253"/>
        <v/>
      </c>
      <c r="BK258" s="23" t="str">
        <f t="shared" si="253"/>
        <v/>
      </c>
      <c r="BL258" s="23" t="str">
        <f t="shared" si="253"/>
        <v/>
      </c>
      <c r="BM258" s="23" t="str">
        <f t="shared" si="253"/>
        <v/>
      </c>
      <c r="BN258" s="23" t="str">
        <f t="shared" si="253"/>
        <v/>
      </c>
      <c r="BO258" s="23" t="str">
        <f t="shared" si="253"/>
        <v/>
      </c>
      <c r="BP258" s="23" t="str">
        <f t="shared" si="253"/>
        <v/>
      </c>
      <c r="BQ258" s="23" t="str">
        <f t="shared" si="253"/>
        <v/>
      </c>
      <c r="BR258" s="23" t="str">
        <f t="shared" si="253"/>
        <v/>
      </c>
      <c r="BS258" s="23" t="str">
        <f t="shared" si="253"/>
        <v/>
      </c>
      <c r="BU258" s="29" t="s">
        <v>764</v>
      </c>
    </row>
    <row r="259" spans="1:73" x14ac:dyDescent="0.2">
      <c r="BU259" s="30"/>
    </row>
    <row r="260" spans="1:73" ht="17" x14ac:dyDescent="0.2">
      <c r="A260" s="19" t="s">
        <v>765</v>
      </c>
      <c r="B260" s="20" t="s">
        <v>766</v>
      </c>
      <c r="C260" s="19" t="s">
        <v>55</v>
      </c>
      <c r="D260" s="21" t="s">
        <v>128</v>
      </c>
      <c r="E260" s="19" t="s">
        <v>78</v>
      </c>
      <c r="F260" s="19"/>
      <c r="G260" s="22">
        <v>6</v>
      </c>
      <c r="H260" s="22">
        <v>10</v>
      </c>
      <c r="I260" s="22">
        <f>MIN(61,IF(G260&lt;=29,ROUND((G260-1)*(29+SlipWeeks)/29,0)+1,G260+SlipWeeks))</f>
        <v>6</v>
      </c>
      <c r="J260" s="22">
        <f>MIN(61,IF(G260+H260-1&lt;=29,MAX(ROUND((G260+H260-1)*(29+SlipWeeks)/29,0),I260),G260+H260-1+SlipWeeks))</f>
        <v>15</v>
      </c>
      <c r="K260" s="23" t="str">
        <f t="shared" ref="K260:T263" si="256">IF(AND(K$4&gt;=$I260,K$4&lt;=$J260),1,"")</f>
        <v/>
      </c>
      <c r="L260" s="23" t="str">
        <f t="shared" si="256"/>
        <v/>
      </c>
      <c r="M260" s="23" t="str">
        <f t="shared" si="256"/>
        <v/>
      </c>
      <c r="N260" s="23" t="str">
        <f t="shared" si="256"/>
        <v/>
      </c>
      <c r="O260" s="23" t="str">
        <f t="shared" si="256"/>
        <v/>
      </c>
      <c r="P260" s="23">
        <f t="shared" si="256"/>
        <v>1</v>
      </c>
      <c r="Q260" s="23">
        <f t="shared" si="256"/>
        <v>1</v>
      </c>
      <c r="R260" s="23">
        <f t="shared" si="256"/>
        <v>1</v>
      </c>
      <c r="S260" s="23">
        <f t="shared" si="256"/>
        <v>1</v>
      </c>
      <c r="T260" s="23">
        <f t="shared" si="256"/>
        <v>1</v>
      </c>
      <c r="U260" s="23">
        <f t="shared" ref="U260:AD263" si="257">IF(AND(U$4&gt;=$I260,U$4&lt;=$J260),1,"")</f>
        <v>1</v>
      </c>
      <c r="V260" s="23">
        <f t="shared" si="257"/>
        <v>1</v>
      </c>
      <c r="W260" s="23">
        <f t="shared" si="257"/>
        <v>1</v>
      </c>
      <c r="X260" s="23">
        <f t="shared" si="257"/>
        <v>1</v>
      </c>
      <c r="Y260" s="23">
        <f t="shared" si="257"/>
        <v>1</v>
      </c>
      <c r="Z260" s="23" t="str">
        <f t="shared" si="257"/>
        <v/>
      </c>
      <c r="AA260" s="23" t="str">
        <f t="shared" si="257"/>
        <v/>
      </c>
      <c r="AB260" s="23" t="str">
        <f t="shared" si="257"/>
        <v/>
      </c>
      <c r="AC260" s="23" t="str">
        <f t="shared" si="257"/>
        <v/>
      </c>
      <c r="AD260" s="23" t="str">
        <f t="shared" si="257"/>
        <v/>
      </c>
      <c r="AE260" s="23" t="str">
        <f t="shared" ref="AE260:AN263" si="258">IF(AND(AE$4&gt;=$I260,AE$4&lt;=$J260),1,"")</f>
        <v/>
      </c>
      <c r="AF260" s="23" t="str">
        <f t="shared" si="258"/>
        <v/>
      </c>
      <c r="AG260" s="23" t="str">
        <f t="shared" si="258"/>
        <v/>
      </c>
      <c r="AH260" s="23" t="str">
        <f t="shared" si="258"/>
        <v/>
      </c>
      <c r="AI260" s="23" t="str">
        <f t="shared" si="258"/>
        <v/>
      </c>
      <c r="AJ260" s="23" t="str">
        <f t="shared" si="258"/>
        <v/>
      </c>
      <c r="AK260" s="23" t="str">
        <f t="shared" si="258"/>
        <v/>
      </c>
      <c r="AL260" s="23" t="str">
        <f t="shared" si="258"/>
        <v/>
      </c>
      <c r="AM260" s="23" t="str">
        <f t="shared" si="258"/>
        <v/>
      </c>
      <c r="AN260" s="23" t="str">
        <f t="shared" si="258"/>
        <v/>
      </c>
      <c r="AO260" s="23" t="str">
        <f t="shared" ref="AO260:AX263" si="259">IF(AND(AO$4&gt;=$I260,AO$4&lt;=$J260),1,"")</f>
        <v/>
      </c>
      <c r="AP260" s="23" t="str">
        <f t="shared" si="259"/>
        <v/>
      </c>
      <c r="AQ260" s="23" t="str">
        <f t="shared" si="259"/>
        <v/>
      </c>
      <c r="AR260" s="23" t="str">
        <f t="shared" si="259"/>
        <v/>
      </c>
      <c r="AS260" s="23" t="str">
        <f t="shared" si="259"/>
        <v/>
      </c>
      <c r="AT260" s="23" t="str">
        <f t="shared" si="259"/>
        <v/>
      </c>
      <c r="AU260" s="23" t="str">
        <f t="shared" si="259"/>
        <v/>
      </c>
      <c r="AV260" s="23" t="str">
        <f t="shared" si="259"/>
        <v/>
      </c>
      <c r="AW260" s="23" t="str">
        <f t="shared" si="259"/>
        <v/>
      </c>
      <c r="AX260" s="23" t="str">
        <f t="shared" si="259"/>
        <v/>
      </c>
      <c r="AY260" s="23" t="str">
        <f t="shared" ref="AY260:BH263" si="260">IF(AND(AY$4&gt;=$I260,AY$4&lt;=$J260),1,"")</f>
        <v/>
      </c>
      <c r="AZ260" s="23" t="str">
        <f t="shared" si="260"/>
        <v/>
      </c>
      <c r="BA260" s="23" t="str">
        <f t="shared" si="260"/>
        <v/>
      </c>
      <c r="BB260" s="23" t="str">
        <f t="shared" si="260"/>
        <v/>
      </c>
      <c r="BC260" s="23" t="str">
        <f t="shared" si="260"/>
        <v/>
      </c>
      <c r="BD260" s="23" t="str">
        <f t="shared" si="260"/>
        <v/>
      </c>
      <c r="BE260" s="23" t="str">
        <f t="shared" si="260"/>
        <v/>
      </c>
      <c r="BF260" s="23" t="str">
        <f t="shared" si="260"/>
        <v/>
      </c>
      <c r="BG260" s="23" t="str">
        <f t="shared" si="260"/>
        <v/>
      </c>
      <c r="BH260" s="23" t="str">
        <f t="shared" si="260"/>
        <v/>
      </c>
      <c r="BI260" s="23" t="str">
        <f t="shared" ref="BI260:BS263" si="261">IF(AND(BI$4&gt;=$I260,BI$4&lt;=$J260),1,"")</f>
        <v/>
      </c>
      <c r="BJ260" s="23" t="str">
        <f t="shared" si="261"/>
        <v/>
      </c>
      <c r="BK260" s="23" t="str">
        <f t="shared" si="261"/>
        <v/>
      </c>
      <c r="BL260" s="23" t="str">
        <f t="shared" si="261"/>
        <v/>
      </c>
      <c r="BM260" s="23" t="str">
        <f t="shared" si="261"/>
        <v/>
      </c>
      <c r="BN260" s="23" t="str">
        <f t="shared" si="261"/>
        <v/>
      </c>
      <c r="BO260" s="23" t="str">
        <f t="shared" si="261"/>
        <v/>
      </c>
      <c r="BP260" s="23" t="str">
        <f t="shared" si="261"/>
        <v/>
      </c>
      <c r="BQ260" s="23" t="str">
        <f t="shared" si="261"/>
        <v/>
      </c>
      <c r="BR260" s="23" t="str">
        <f t="shared" si="261"/>
        <v/>
      </c>
      <c r="BS260" s="23" t="str">
        <f t="shared" si="261"/>
        <v/>
      </c>
      <c r="BT260" s="24" t="str">
        <f>IF(IF(G260+H260-1&lt;=29,MAX(ROUND((G260+H260-1)*(29+SlipWeeks)/29,0),$I260),G260+H260-1+SlipWeeks)&gt;61,"▶ clipped","")</f>
        <v/>
      </c>
      <c r="BU260" s="29" t="s">
        <v>767</v>
      </c>
    </row>
    <row r="261" spans="1:73" ht="34" outlineLevel="1" x14ac:dyDescent="0.2">
      <c r="A261" s="6" t="s">
        <v>768</v>
      </c>
      <c r="B261" s="25" t="s">
        <v>769</v>
      </c>
      <c r="C261" s="6" t="s">
        <v>55</v>
      </c>
      <c r="D261" s="24" t="s">
        <v>128</v>
      </c>
      <c r="F261" s="6"/>
      <c r="G261" s="22">
        <v>6</v>
      </c>
      <c r="H261" s="22">
        <v>3</v>
      </c>
      <c r="I261" s="22">
        <f>MEDIAN($I$260,$J$260,$I$260+ROUND((G261-$G$260)/$H$260*($J$260-$I$260+1),0))</f>
        <v>6</v>
      </c>
      <c r="J261" s="22">
        <f>MEDIAN(I261,$J$260,$I$260+ROUND((G261+H261-$G$260)/$H$260*($J$260-$I$260+1),0)-1)</f>
        <v>8</v>
      </c>
      <c r="K261" s="23" t="str">
        <f t="shared" si="256"/>
        <v/>
      </c>
      <c r="L261" s="23" t="str">
        <f t="shared" si="256"/>
        <v/>
      </c>
      <c r="M261" s="23" t="str">
        <f t="shared" si="256"/>
        <v/>
      </c>
      <c r="N261" s="23" t="str">
        <f t="shared" si="256"/>
        <v/>
      </c>
      <c r="O261" s="23" t="str">
        <f t="shared" si="256"/>
        <v/>
      </c>
      <c r="P261" s="23">
        <f t="shared" si="256"/>
        <v>1</v>
      </c>
      <c r="Q261" s="23">
        <f t="shared" si="256"/>
        <v>1</v>
      </c>
      <c r="R261" s="23">
        <f t="shared" si="256"/>
        <v>1</v>
      </c>
      <c r="S261" s="23" t="str">
        <f t="shared" si="256"/>
        <v/>
      </c>
      <c r="T261" s="23" t="str">
        <f t="shared" si="256"/>
        <v/>
      </c>
      <c r="U261" s="23" t="str">
        <f t="shared" si="257"/>
        <v/>
      </c>
      <c r="V261" s="23" t="str">
        <f t="shared" si="257"/>
        <v/>
      </c>
      <c r="W261" s="23" t="str">
        <f t="shared" si="257"/>
        <v/>
      </c>
      <c r="X261" s="23" t="str">
        <f t="shared" si="257"/>
        <v/>
      </c>
      <c r="Y261" s="23" t="str">
        <f t="shared" si="257"/>
        <v/>
      </c>
      <c r="Z261" s="23" t="str">
        <f t="shared" si="257"/>
        <v/>
      </c>
      <c r="AA261" s="23" t="str">
        <f t="shared" si="257"/>
        <v/>
      </c>
      <c r="AB261" s="23" t="str">
        <f t="shared" si="257"/>
        <v/>
      </c>
      <c r="AC261" s="23" t="str">
        <f t="shared" si="257"/>
        <v/>
      </c>
      <c r="AD261" s="23" t="str">
        <f t="shared" si="257"/>
        <v/>
      </c>
      <c r="AE261" s="23" t="str">
        <f t="shared" si="258"/>
        <v/>
      </c>
      <c r="AF261" s="23" t="str">
        <f t="shared" si="258"/>
        <v/>
      </c>
      <c r="AG261" s="23" t="str">
        <f t="shared" si="258"/>
        <v/>
      </c>
      <c r="AH261" s="23" t="str">
        <f t="shared" si="258"/>
        <v/>
      </c>
      <c r="AI261" s="23" t="str">
        <f t="shared" si="258"/>
        <v/>
      </c>
      <c r="AJ261" s="23" t="str">
        <f t="shared" si="258"/>
        <v/>
      </c>
      <c r="AK261" s="23" t="str">
        <f t="shared" si="258"/>
        <v/>
      </c>
      <c r="AL261" s="23" t="str">
        <f t="shared" si="258"/>
        <v/>
      </c>
      <c r="AM261" s="23" t="str">
        <f t="shared" si="258"/>
        <v/>
      </c>
      <c r="AN261" s="23" t="str">
        <f t="shared" si="258"/>
        <v/>
      </c>
      <c r="AO261" s="23" t="str">
        <f t="shared" si="259"/>
        <v/>
      </c>
      <c r="AP261" s="23" t="str">
        <f t="shared" si="259"/>
        <v/>
      </c>
      <c r="AQ261" s="23" t="str">
        <f t="shared" si="259"/>
        <v/>
      </c>
      <c r="AR261" s="23" t="str">
        <f t="shared" si="259"/>
        <v/>
      </c>
      <c r="AS261" s="23" t="str">
        <f t="shared" si="259"/>
        <v/>
      </c>
      <c r="AT261" s="23" t="str">
        <f t="shared" si="259"/>
        <v/>
      </c>
      <c r="AU261" s="23" t="str">
        <f t="shared" si="259"/>
        <v/>
      </c>
      <c r="AV261" s="23" t="str">
        <f t="shared" si="259"/>
        <v/>
      </c>
      <c r="AW261" s="23" t="str">
        <f t="shared" si="259"/>
        <v/>
      </c>
      <c r="AX261" s="23" t="str">
        <f t="shared" si="259"/>
        <v/>
      </c>
      <c r="AY261" s="23" t="str">
        <f t="shared" si="260"/>
        <v/>
      </c>
      <c r="AZ261" s="23" t="str">
        <f t="shared" si="260"/>
        <v/>
      </c>
      <c r="BA261" s="23" t="str">
        <f t="shared" si="260"/>
        <v/>
      </c>
      <c r="BB261" s="23" t="str">
        <f t="shared" si="260"/>
        <v/>
      </c>
      <c r="BC261" s="23" t="str">
        <f t="shared" si="260"/>
        <v/>
      </c>
      <c r="BD261" s="23" t="str">
        <f t="shared" si="260"/>
        <v/>
      </c>
      <c r="BE261" s="23" t="str">
        <f t="shared" si="260"/>
        <v/>
      </c>
      <c r="BF261" s="23" t="str">
        <f t="shared" si="260"/>
        <v/>
      </c>
      <c r="BG261" s="23" t="str">
        <f t="shared" si="260"/>
        <v/>
      </c>
      <c r="BH261" s="23" t="str">
        <f t="shared" si="260"/>
        <v/>
      </c>
      <c r="BI261" s="23" t="str">
        <f t="shared" si="261"/>
        <v/>
      </c>
      <c r="BJ261" s="23" t="str">
        <f t="shared" si="261"/>
        <v/>
      </c>
      <c r="BK261" s="23" t="str">
        <f t="shared" si="261"/>
        <v/>
      </c>
      <c r="BL261" s="23" t="str">
        <f t="shared" si="261"/>
        <v/>
      </c>
      <c r="BM261" s="23" t="str">
        <f t="shared" si="261"/>
        <v/>
      </c>
      <c r="BN261" s="23" t="str">
        <f t="shared" si="261"/>
        <v/>
      </c>
      <c r="BO261" s="23" t="str">
        <f t="shared" si="261"/>
        <v/>
      </c>
      <c r="BP261" s="23" t="str">
        <f t="shared" si="261"/>
        <v/>
      </c>
      <c r="BQ261" s="23" t="str">
        <f t="shared" si="261"/>
        <v/>
      </c>
      <c r="BR261" s="23" t="str">
        <f t="shared" si="261"/>
        <v/>
      </c>
      <c r="BS261" s="23" t="str">
        <f t="shared" si="261"/>
        <v/>
      </c>
      <c r="BU261" s="29" t="s">
        <v>770</v>
      </c>
    </row>
    <row r="262" spans="1:73" ht="17" outlineLevel="1" x14ac:dyDescent="0.2">
      <c r="A262" s="6" t="s">
        <v>771</v>
      </c>
      <c r="B262" s="25" t="s">
        <v>772</v>
      </c>
      <c r="C262" s="6" t="s">
        <v>55</v>
      </c>
      <c r="D262" s="24" t="s">
        <v>128</v>
      </c>
      <c r="F262" s="6"/>
      <c r="G262" s="22">
        <v>9</v>
      </c>
      <c r="H262" s="22">
        <v>4</v>
      </c>
      <c r="I262" s="22">
        <f>MEDIAN($I$260,$J$260,$I$260+ROUND((G262-$G$260)/$H$260*($J$260-$I$260+1),0))</f>
        <v>9</v>
      </c>
      <c r="J262" s="22">
        <f>MEDIAN(I262,$J$260,$I$260+ROUND((G262+H262-$G$260)/$H$260*($J$260-$I$260+1),0)-1)</f>
        <v>12</v>
      </c>
      <c r="K262" s="23" t="str">
        <f t="shared" si="256"/>
        <v/>
      </c>
      <c r="L262" s="23" t="str">
        <f t="shared" si="256"/>
        <v/>
      </c>
      <c r="M262" s="23" t="str">
        <f t="shared" si="256"/>
        <v/>
      </c>
      <c r="N262" s="23" t="str">
        <f t="shared" si="256"/>
        <v/>
      </c>
      <c r="O262" s="23" t="str">
        <f t="shared" si="256"/>
        <v/>
      </c>
      <c r="P262" s="23" t="str">
        <f t="shared" si="256"/>
        <v/>
      </c>
      <c r="Q262" s="23" t="str">
        <f t="shared" si="256"/>
        <v/>
      </c>
      <c r="R262" s="23" t="str">
        <f t="shared" si="256"/>
        <v/>
      </c>
      <c r="S262" s="23">
        <f t="shared" si="256"/>
        <v>1</v>
      </c>
      <c r="T262" s="23">
        <f t="shared" si="256"/>
        <v>1</v>
      </c>
      <c r="U262" s="23">
        <f t="shared" si="257"/>
        <v>1</v>
      </c>
      <c r="V262" s="23">
        <f t="shared" si="257"/>
        <v>1</v>
      </c>
      <c r="W262" s="23" t="str">
        <f t="shared" si="257"/>
        <v/>
      </c>
      <c r="X262" s="23" t="str">
        <f t="shared" si="257"/>
        <v/>
      </c>
      <c r="Y262" s="23" t="str">
        <f t="shared" si="257"/>
        <v/>
      </c>
      <c r="Z262" s="23" t="str">
        <f t="shared" si="257"/>
        <v/>
      </c>
      <c r="AA262" s="23" t="str">
        <f t="shared" si="257"/>
        <v/>
      </c>
      <c r="AB262" s="23" t="str">
        <f t="shared" si="257"/>
        <v/>
      </c>
      <c r="AC262" s="23" t="str">
        <f t="shared" si="257"/>
        <v/>
      </c>
      <c r="AD262" s="23" t="str">
        <f t="shared" si="257"/>
        <v/>
      </c>
      <c r="AE262" s="23" t="str">
        <f t="shared" si="258"/>
        <v/>
      </c>
      <c r="AF262" s="23" t="str">
        <f t="shared" si="258"/>
        <v/>
      </c>
      <c r="AG262" s="23" t="str">
        <f t="shared" si="258"/>
        <v/>
      </c>
      <c r="AH262" s="23" t="str">
        <f t="shared" si="258"/>
        <v/>
      </c>
      <c r="AI262" s="23" t="str">
        <f t="shared" si="258"/>
        <v/>
      </c>
      <c r="AJ262" s="23" t="str">
        <f t="shared" si="258"/>
        <v/>
      </c>
      <c r="AK262" s="23" t="str">
        <f t="shared" si="258"/>
        <v/>
      </c>
      <c r="AL262" s="23" t="str">
        <f t="shared" si="258"/>
        <v/>
      </c>
      <c r="AM262" s="23" t="str">
        <f t="shared" si="258"/>
        <v/>
      </c>
      <c r="AN262" s="23" t="str">
        <f t="shared" si="258"/>
        <v/>
      </c>
      <c r="AO262" s="23" t="str">
        <f t="shared" si="259"/>
        <v/>
      </c>
      <c r="AP262" s="23" t="str">
        <f t="shared" si="259"/>
        <v/>
      </c>
      <c r="AQ262" s="23" t="str">
        <f t="shared" si="259"/>
        <v/>
      </c>
      <c r="AR262" s="23" t="str">
        <f t="shared" si="259"/>
        <v/>
      </c>
      <c r="AS262" s="23" t="str">
        <f t="shared" si="259"/>
        <v/>
      </c>
      <c r="AT262" s="23" t="str">
        <f t="shared" si="259"/>
        <v/>
      </c>
      <c r="AU262" s="23" t="str">
        <f t="shared" si="259"/>
        <v/>
      </c>
      <c r="AV262" s="23" t="str">
        <f t="shared" si="259"/>
        <v/>
      </c>
      <c r="AW262" s="23" t="str">
        <f t="shared" si="259"/>
        <v/>
      </c>
      <c r="AX262" s="23" t="str">
        <f t="shared" si="259"/>
        <v/>
      </c>
      <c r="AY262" s="23" t="str">
        <f t="shared" si="260"/>
        <v/>
      </c>
      <c r="AZ262" s="23" t="str">
        <f t="shared" si="260"/>
        <v/>
      </c>
      <c r="BA262" s="23" t="str">
        <f t="shared" si="260"/>
        <v/>
      </c>
      <c r="BB262" s="23" t="str">
        <f t="shared" si="260"/>
        <v/>
      </c>
      <c r="BC262" s="23" t="str">
        <f t="shared" si="260"/>
        <v/>
      </c>
      <c r="BD262" s="23" t="str">
        <f t="shared" si="260"/>
        <v/>
      </c>
      <c r="BE262" s="23" t="str">
        <f t="shared" si="260"/>
        <v/>
      </c>
      <c r="BF262" s="23" t="str">
        <f t="shared" si="260"/>
        <v/>
      </c>
      <c r="BG262" s="23" t="str">
        <f t="shared" si="260"/>
        <v/>
      </c>
      <c r="BH262" s="23" t="str">
        <f t="shared" si="260"/>
        <v/>
      </c>
      <c r="BI262" s="23" t="str">
        <f t="shared" si="261"/>
        <v/>
      </c>
      <c r="BJ262" s="23" t="str">
        <f t="shared" si="261"/>
        <v/>
      </c>
      <c r="BK262" s="23" t="str">
        <f t="shared" si="261"/>
        <v/>
      </c>
      <c r="BL262" s="23" t="str">
        <f t="shared" si="261"/>
        <v/>
      </c>
      <c r="BM262" s="23" t="str">
        <f t="shared" si="261"/>
        <v/>
      </c>
      <c r="BN262" s="23" t="str">
        <f t="shared" si="261"/>
        <v/>
      </c>
      <c r="BO262" s="23" t="str">
        <f t="shared" si="261"/>
        <v/>
      </c>
      <c r="BP262" s="23" t="str">
        <f t="shared" si="261"/>
        <v/>
      </c>
      <c r="BQ262" s="23" t="str">
        <f t="shared" si="261"/>
        <v/>
      </c>
      <c r="BR262" s="23" t="str">
        <f t="shared" si="261"/>
        <v/>
      </c>
      <c r="BS262" s="23" t="str">
        <f t="shared" si="261"/>
        <v/>
      </c>
      <c r="BU262" s="29" t="s">
        <v>773</v>
      </c>
    </row>
    <row r="263" spans="1:73" ht="17" outlineLevel="1" x14ac:dyDescent="0.2">
      <c r="A263" s="6" t="s">
        <v>774</v>
      </c>
      <c r="B263" s="25" t="s">
        <v>775</v>
      </c>
      <c r="C263" s="6" t="s">
        <v>55</v>
      </c>
      <c r="D263" s="24" t="s">
        <v>128</v>
      </c>
      <c r="F263" s="6"/>
      <c r="G263" s="22">
        <v>13</v>
      </c>
      <c r="H263" s="22">
        <v>3</v>
      </c>
      <c r="I263" s="22">
        <f>MEDIAN($I$260,$J$260,$I$260+ROUND((G263-$G$260)/$H$260*($J$260-$I$260+1),0))</f>
        <v>13</v>
      </c>
      <c r="J263" s="22">
        <f>MEDIAN(I263,$J$260,$I$260+ROUND((G263+H263-$G$260)/$H$260*($J$260-$I$260+1),0)-1)</f>
        <v>15</v>
      </c>
      <c r="K263" s="23" t="str">
        <f t="shared" si="256"/>
        <v/>
      </c>
      <c r="L263" s="23" t="str">
        <f t="shared" si="256"/>
        <v/>
      </c>
      <c r="M263" s="23" t="str">
        <f t="shared" si="256"/>
        <v/>
      </c>
      <c r="N263" s="23" t="str">
        <f t="shared" si="256"/>
        <v/>
      </c>
      <c r="O263" s="23" t="str">
        <f t="shared" si="256"/>
        <v/>
      </c>
      <c r="P263" s="23" t="str">
        <f t="shared" si="256"/>
        <v/>
      </c>
      <c r="Q263" s="23" t="str">
        <f t="shared" si="256"/>
        <v/>
      </c>
      <c r="R263" s="23" t="str">
        <f t="shared" si="256"/>
        <v/>
      </c>
      <c r="S263" s="23" t="str">
        <f t="shared" si="256"/>
        <v/>
      </c>
      <c r="T263" s="23" t="str">
        <f t="shared" si="256"/>
        <v/>
      </c>
      <c r="U263" s="23" t="str">
        <f t="shared" si="257"/>
        <v/>
      </c>
      <c r="V263" s="23" t="str">
        <f t="shared" si="257"/>
        <v/>
      </c>
      <c r="W263" s="23">
        <f t="shared" si="257"/>
        <v>1</v>
      </c>
      <c r="X263" s="23">
        <f t="shared" si="257"/>
        <v>1</v>
      </c>
      <c r="Y263" s="23">
        <f t="shared" si="257"/>
        <v>1</v>
      </c>
      <c r="Z263" s="23" t="str">
        <f t="shared" si="257"/>
        <v/>
      </c>
      <c r="AA263" s="23" t="str">
        <f t="shared" si="257"/>
        <v/>
      </c>
      <c r="AB263" s="23" t="str">
        <f t="shared" si="257"/>
        <v/>
      </c>
      <c r="AC263" s="23" t="str">
        <f t="shared" si="257"/>
        <v/>
      </c>
      <c r="AD263" s="23" t="str">
        <f t="shared" si="257"/>
        <v/>
      </c>
      <c r="AE263" s="23" t="str">
        <f t="shared" si="258"/>
        <v/>
      </c>
      <c r="AF263" s="23" t="str">
        <f t="shared" si="258"/>
        <v/>
      </c>
      <c r="AG263" s="23" t="str">
        <f t="shared" si="258"/>
        <v/>
      </c>
      <c r="AH263" s="23" t="str">
        <f t="shared" si="258"/>
        <v/>
      </c>
      <c r="AI263" s="23" t="str">
        <f t="shared" si="258"/>
        <v/>
      </c>
      <c r="AJ263" s="23" t="str">
        <f t="shared" si="258"/>
        <v/>
      </c>
      <c r="AK263" s="23" t="str">
        <f t="shared" si="258"/>
        <v/>
      </c>
      <c r="AL263" s="23" t="str">
        <f t="shared" si="258"/>
        <v/>
      </c>
      <c r="AM263" s="23" t="str">
        <f t="shared" si="258"/>
        <v/>
      </c>
      <c r="AN263" s="23" t="str">
        <f t="shared" si="258"/>
        <v/>
      </c>
      <c r="AO263" s="23" t="str">
        <f t="shared" si="259"/>
        <v/>
      </c>
      <c r="AP263" s="23" t="str">
        <f t="shared" si="259"/>
        <v/>
      </c>
      <c r="AQ263" s="23" t="str">
        <f t="shared" si="259"/>
        <v/>
      </c>
      <c r="AR263" s="23" t="str">
        <f t="shared" si="259"/>
        <v/>
      </c>
      <c r="AS263" s="23" t="str">
        <f t="shared" si="259"/>
        <v/>
      </c>
      <c r="AT263" s="23" t="str">
        <f t="shared" si="259"/>
        <v/>
      </c>
      <c r="AU263" s="23" t="str">
        <f t="shared" si="259"/>
        <v/>
      </c>
      <c r="AV263" s="23" t="str">
        <f t="shared" si="259"/>
        <v/>
      </c>
      <c r="AW263" s="23" t="str">
        <f t="shared" si="259"/>
        <v/>
      </c>
      <c r="AX263" s="23" t="str">
        <f t="shared" si="259"/>
        <v/>
      </c>
      <c r="AY263" s="23" t="str">
        <f t="shared" si="260"/>
        <v/>
      </c>
      <c r="AZ263" s="23" t="str">
        <f t="shared" si="260"/>
        <v/>
      </c>
      <c r="BA263" s="23" t="str">
        <f t="shared" si="260"/>
        <v/>
      </c>
      <c r="BB263" s="23" t="str">
        <f t="shared" si="260"/>
        <v/>
      </c>
      <c r="BC263" s="23" t="str">
        <f t="shared" si="260"/>
        <v/>
      </c>
      <c r="BD263" s="23" t="str">
        <f t="shared" si="260"/>
        <v/>
      </c>
      <c r="BE263" s="23" t="str">
        <f t="shared" si="260"/>
        <v/>
      </c>
      <c r="BF263" s="23" t="str">
        <f t="shared" si="260"/>
        <v/>
      </c>
      <c r="BG263" s="23" t="str">
        <f t="shared" si="260"/>
        <v/>
      </c>
      <c r="BH263" s="23" t="str">
        <f t="shared" si="260"/>
        <v/>
      </c>
      <c r="BI263" s="23" t="str">
        <f t="shared" si="261"/>
        <v/>
      </c>
      <c r="BJ263" s="23" t="str">
        <f t="shared" si="261"/>
        <v/>
      </c>
      <c r="BK263" s="23" t="str">
        <f t="shared" si="261"/>
        <v/>
      </c>
      <c r="BL263" s="23" t="str">
        <f t="shared" si="261"/>
        <v/>
      </c>
      <c r="BM263" s="23" t="str">
        <f t="shared" si="261"/>
        <v/>
      </c>
      <c r="BN263" s="23" t="str">
        <f t="shared" si="261"/>
        <v/>
      </c>
      <c r="BO263" s="23" t="str">
        <f t="shared" si="261"/>
        <v/>
      </c>
      <c r="BP263" s="23" t="str">
        <f t="shared" si="261"/>
        <v/>
      </c>
      <c r="BQ263" s="23" t="str">
        <f t="shared" si="261"/>
        <v/>
      </c>
      <c r="BR263" s="23" t="str">
        <f t="shared" si="261"/>
        <v/>
      </c>
      <c r="BS263" s="23" t="str">
        <f t="shared" si="261"/>
        <v/>
      </c>
      <c r="BU263" s="29" t="s">
        <v>776</v>
      </c>
    </row>
    <row r="264" spans="1:73" x14ac:dyDescent="0.2">
      <c r="BU264" s="30"/>
    </row>
    <row r="265" spans="1:73" ht="17" x14ac:dyDescent="0.2">
      <c r="A265" s="19" t="s">
        <v>777</v>
      </c>
      <c r="B265" s="20" t="s">
        <v>778</v>
      </c>
      <c r="C265" s="19" t="s">
        <v>55</v>
      </c>
      <c r="D265" s="21" t="s">
        <v>128</v>
      </c>
      <c r="E265" s="19" t="s">
        <v>76</v>
      </c>
      <c r="F265" s="19"/>
      <c r="G265" s="22">
        <v>22</v>
      </c>
      <c r="H265" s="22">
        <v>4</v>
      </c>
      <c r="I265" s="22">
        <f>MIN(61,IF(G265&lt;=29,ROUND((G265-1)*(29+SlipWeeks)/29,0)+1,G265+SlipWeeks))</f>
        <v>22</v>
      </c>
      <c r="J265" s="22">
        <f>MIN(61,IF(G265+H265-1&lt;=29,MAX(ROUND((G265+H265-1)*(29+SlipWeeks)/29,0),I265),G265+H265-1+SlipWeeks))</f>
        <v>25</v>
      </c>
      <c r="K265" s="23" t="str">
        <f t="shared" ref="K265:T267" si="262">IF(AND(K$4&gt;=$I265,K$4&lt;=$J265),1,"")</f>
        <v/>
      </c>
      <c r="L265" s="23" t="str">
        <f t="shared" si="262"/>
        <v/>
      </c>
      <c r="M265" s="23" t="str">
        <f t="shared" si="262"/>
        <v/>
      </c>
      <c r="N265" s="23" t="str">
        <f t="shared" si="262"/>
        <v/>
      </c>
      <c r="O265" s="23" t="str">
        <f t="shared" si="262"/>
        <v/>
      </c>
      <c r="P265" s="23" t="str">
        <f t="shared" si="262"/>
        <v/>
      </c>
      <c r="Q265" s="23" t="str">
        <f t="shared" si="262"/>
        <v/>
      </c>
      <c r="R265" s="23" t="str">
        <f t="shared" si="262"/>
        <v/>
      </c>
      <c r="S265" s="23" t="str">
        <f t="shared" si="262"/>
        <v/>
      </c>
      <c r="T265" s="23" t="str">
        <f t="shared" si="262"/>
        <v/>
      </c>
      <c r="U265" s="23" t="str">
        <f t="shared" ref="U265:AD267" si="263">IF(AND(U$4&gt;=$I265,U$4&lt;=$J265),1,"")</f>
        <v/>
      </c>
      <c r="V265" s="23" t="str">
        <f t="shared" si="263"/>
        <v/>
      </c>
      <c r="W265" s="23" t="str">
        <f t="shared" si="263"/>
        <v/>
      </c>
      <c r="X265" s="23" t="str">
        <f t="shared" si="263"/>
        <v/>
      </c>
      <c r="Y265" s="23" t="str">
        <f t="shared" si="263"/>
        <v/>
      </c>
      <c r="Z265" s="23" t="str">
        <f t="shared" si="263"/>
        <v/>
      </c>
      <c r="AA265" s="23" t="str">
        <f t="shared" si="263"/>
        <v/>
      </c>
      <c r="AB265" s="23" t="str">
        <f t="shared" si="263"/>
        <v/>
      </c>
      <c r="AC265" s="23" t="str">
        <f t="shared" si="263"/>
        <v/>
      </c>
      <c r="AD265" s="23" t="str">
        <f t="shared" si="263"/>
        <v/>
      </c>
      <c r="AE265" s="23" t="str">
        <f t="shared" ref="AE265:AN267" si="264">IF(AND(AE$4&gt;=$I265,AE$4&lt;=$J265),1,"")</f>
        <v/>
      </c>
      <c r="AF265" s="23">
        <f t="shared" si="264"/>
        <v>1</v>
      </c>
      <c r="AG265" s="23">
        <f t="shared" si="264"/>
        <v>1</v>
      </c>
      <c r="AH265" s="23">
        <f t="shared" si="264"/>
        <v>1</v>
      </c>
      <c r="AI265" s="23">
        <f t="shared" si="264"/>
        <v>1</v>
      </c>
      <c r="AJ265" s="23" t="str">
        <f t="shared" si="264"/>
        <v/>
      </c>
      <c r="AK265" s="23" t="str">
        <f t="shared" si="264"/>
        <v/>
      </c>
      <c r="AL265" s="23" t="str">
        <f t="shared" si="264"/>
        <v/>
      </c>
      <c r="AM265" s="23" t="str">
        <f t="shared" si="264"/>
        <v/>
      </c>
      <c r="AN265" s="23" t="str">
        <f t="shared" si="264"/>
        <v/>
      </c>
      <c r="AO265" s="23" t="str">
        <f t="shared" ref="AO265:AX267" si="265">IF(AND(AO$4&gt;=$I265,AO$4&lt;=$J265),1,"")</f>
        <v/>
      </c>
      <c r="AP265" s="23" t="str">
        <f t="shared" si="265"/>
        <v/>
      </c>
      <c r="AQ265" s="23" t="str">
        <f t="shared" si="265"/>
        <v/>
      </c>
      <c r="AR265" s="23" t="str">
        <f t="shared" si="265"/>
        <v/>
      </c>
      <c r="AS265" s="23" t="str">
        <f t="shared" si="265"/>
        <v/>
      </c>
      <c r="AT265" s="23" t="str">
        <f t="shared" si="265"/>
        <v/>
      </c>
      <c r="AU265" s="23" t="str">
        <f t="shared" si="265"/>
        <v/>
      </c>
      <c r="AV265" s="23" t="str">
        <f t="shared" si="265"/>
        <v/>
      </c>
      <c r="AW265" s="23" t="str">
        <f t="shared" si="265"/>
        <v/>
      </c>
      <c r="AX265" s="23" t="str">
        <f t="shared" si="265"/>
        <v/>
      </c>
      <c r="AY265" s="23" t="str">
        <f t="shared" ref="AY265:BH267" si="266">IF(AND(AY$4&gt;=$I265,AY$4&lt;=$J265),1,"")</f>
        <v/>
      </c>
      <c r="AZ265" s="23" t="str">
        <f t="shared" si="266"/>
        <v/>
      </c>
      <c r="BA265" s="23" t="str">
        <f t="shared" si="266"/>
        <v/>
      </c>
      <c r="BB265" s="23" t="str">
        <f t="shared" si="266"/>
        <v/>
      </c>
      <c r="BC265" s="23" t="str">
        <f t="shared" si="266"/>
        <v/>
      </c>
      <c r="BD265" s="23" t="str">
        <f t="shared" si="266"/>
        <v/>
      </c>
      <c r="BE265" s="23" t="str">
        <f t="shared" si="266"/>
        <v/>
      </c>
      <c r="BF265" s="23" t="str">
        <f t="shared" si="266"/>
        <v/>
      </c>
      <c r="BG265" s="23" t="str">
        <f t="shared" si="266"/>
        <v/>
      </c>
      <c r="BH265" s="23" t="str">
        <f t="shared" si="266"/>
        <v/>
      </c>
      <c r="BI265" s="23" t="str">
        <f t="shared" ref="BI265:BS267" si="267">IF(AND(BI$4&gt;=$I265,BI$4&lt;=$J265),1,"")</f>
        <v/>
      </c>
      <c r="BJ265" s="23" t="str">
        <f t="shared" si="267"/>
        <v/>
      </c>
      <c r="BK265" s="23" t="str">
        <f t="shared" si="267"/>
        <v/>
      </c>
      <c r="BL265" s="23" t="str">
        <f t="shared" si="267"/>
        <v/>
      </c>
      <c r="BM265" s="23" t="str">
        <f t="shared" si="267"/>
        <v/>
      </c>
      <c r="BN265" s="23" t="str">
        <f t="shared" si="267"/>
        <v/>
      </c>
      <c r="BO265" s="23" t="str">
        <f t="shared" si="267"/>
        <v/>
      </c>
      <c r="BP265" s="23" t="str">
        <f t="shared" si="267"/>
        <v/>
      </c>
      <c r="BQ265" s="23" t="str">
        <f t="shared" si="267"/>
        <v/>
      </c>
      <c r="BR265" s="23" t="str">
        <f t="shared" si="267"/>
        <v/>
      </c>
      <c r="BS265" s="23" t="str">
        <f t="shared" si="267"/>
        <v/>
      </c>
      <c r="BT265" s="24" t="str">
        <f>IF(IF(G265+H265-1&lt;=29,MAX(ROUND((G265+H265-1)*(29+SlipWeeks)/29,0),$I265),G265+H265-1+SlipWeeks)&gt;61,"▶ clipped","")</f>
        <v/>
      </c>
      <c r="BU265" s="29" t="s">
        <v>779</v>
      </c>
    </row>
    <row r="266" spans="1:73" ht="34" outlineLevel="1" x14ac:dyDescent="0.2">
      <c r="A266" s="6" t="s">
        <v>780</v>
      </c>
      <c r="B266" s="25" t="s">
        <v>781</v>
      </c>
      <c r="C266" s="6" t="s">
        <v>55</v>
      </c>
      <c r="D266" s="24" t="s">
        <v>128</v>
      </c>
      <c r="F266" s="6"/>
      <c r="G266" s="22">
        <v>22</v>
      </c>
      <c r="H266" s="22">
        <v>2</v>
      </c>
      <c r="I266" s="22">
        <f>MEDIAN($I$265,$J$265,$I$265+ROUND((G266-$G$265)/$H$265*($J$265-$I$265+1),0))</f>
        <v>22</v>
      </c>
      <c r="J266" s="22">
        <f>MEDIAN(I266,$J$265,$I$265+ROUND((G266+H266-$G$265)/$H$265*($J$265-$I$265+1),0)-1)</f>
        <v>23</v>
      </c>
      <c r="K266" s="23" t="str">
        <f t="shared" si="262"/>
        <v/>
      </c>
      <c r="L266" s="23" t="str">
        <f t="shared" si="262"/>
        <v/>
      </c>
      <c r="M266" s="23" t="str">
        <f t="shared" si="262"/>
        <v/>
      </c>
      <c r="N266" s="23" t="str">
        <f t="shared" si="262"/>
        <v/>
      </c>
      <c r="O266" s="23" t="str">
        <f t="shared" si="262"/>
        <v/>
      </c>
      <c r="P266" s="23" t="str">
        <f t="shared" si="262"/>
        <v/>
      </c>
      <c r="Q266" s="23" t="str">
        <f t="shared" si="262"/>
        <v/>
      </c>
      <c r="R266" s="23" t="str">
        <f t="shared" si="262"/>
        <v/>
      </c>
      <c r="S266" s="23" t="str">
        <f t="shared" si="262"/>
        <v/>
      </c>
      <c r="T266" s="23" t="str">
        <f t="shared" si="262"/>
        <v/>
      </c>
      <c r="U266" s="23" t="str">
        <f t="shared" si="263"/>
        <v/>
      </c>
      <c r="V266" s="23" t="str">
        <f t="shared" si="263"/>
        <v/>
      </c>
      <c r="W266" s="23" t="str">
        <f t="shared" si="263"/>
        <v/>
      </c>
      <c r="X266" s="23" t="str">
        <f t="shared" si="263"/>
        <v/>
      </c>
      <c r="Y266" s="23" t="str">
        <f t="shared" si="263"/>
        <v/>
      </c>
      <c r="Z266" s="23" t="str">
        <f t="shared" si="263"/>
        <v/>
      </c>
      <c r="AA266" s="23" t="str">
        <f t="shared" si="263"/>
        <v/>
      </c>
      <c r="AB266" s="23" t="str">
        <f t="shared" si="263"/>
        <v/>
      </c>
      <c r="AC266" s="23" t="str">
        <f t="shared" si="263"/>
        <v/>
      </c>
      <c r="AD266" s="23" t="str">
        <f t="shared" si="263"/>
        <v/>
      </c>
      <c r="AE266" s="23" t="str">
        <f t="shared" si="264"/>
        <v/>
      </c>
      <c r="AF266" s="23">
        <f t="shared" si="264"/>
        <v>1</v>
      </c>
      <c r="AG266" s="23">
        <f t="shared" si="264"/>
        <v>1</v>
      </c>
      <c r="AH266" s="23" t="str">
        <f t="shared" si="264"/>
        <v/>
      </c>
      <c r="AI266" s="23" t="str">
        <f t="shared" si="264"/>
        <v/>
      </c>
      <c r="AJ266" s="23" t="str">
        <f t="shared" si="264"/>
        <v/>
      </c>
      <c r="AK266" s="23" t="str">
        <f t="shared" si="264"/>
        <v/>
      </c>
      <c r="AL266" s="23" t="str">
        <f t="shared" si="264"/>
        <v/>
      </c>
      <c r="AM266" s="23" t="str">
        <f t="shared" si="264"/>
        <v/>
      </c>
      <c r="AN266" s="23" t="str">
        <f t="shared" si="264"/>
        <v/>
      </c>
      <c r="AO266" s="23" t="str">
        <f t="shared" si="265"/>
        <v/>
      </c>
      <c r="AP266" s="23" t="str">
        <f t="shared" si="265"/>
        <v/>
      </c>
      <c r="AQ266" s="23" t="str">
        <f t="shared" si="265"/>
        <v/>
      </c>
      <c r="AR266" s="23" t="str">
        <f t="shared" si="265"/>
        <v/>
      </c>
      <c r="AS266" s="23" t="str">
        <f t="shared" si="265"/>
        <v/>
      </c>
      <c r="AT266" s="23" t="str">
        <f t="shared" si="265"/>
        <v/>
      </c>
      <c r="AU266" s="23" t="str">
        <f t="shared" si="265"/>
        <v/>
      </c>
      <c r="AV266" s="23" t="str">
        <f t="shared" si="265"/>
        <v/>
      </c>
      <c r="AW266" s="23" t="str">
        <f t="shared" si="265"/>
        <v/>
      </c>
      <c r="AX266" s="23" t="str">
        <f t="shared" si="265"/>
        <v/>
      </c>
      <c r="AY266" s="23" t="str">
        <f t="shared" si="266"/>
        <v/>
      </c>
      <c r="AZ266" s="23" t="str">
        <f t="shared" si="266"/>
        <v/>
      </c>
      <c r="BA266" s="23" t="str">
        <f t="shared" si="266"/>
        <v/>
      </c>
      <c r="BB266" s="23" t="str">
        <f t="shared" si="266"/>
        <v/>
      </c>
      <c r="BC266" s="23" t="str">
        <f t="shared" si="266"/>
        <v/>
      </c>
      <c r="BD266" s="23" t="str">
        <f t="shared" si="266"/>
        <v/>
      </c>
      <c r="BE266" s="23" t="str">
        <f t="shared" si="266"/>
        <v/>
      </c>
      <c r="BF266" s="23" t="str">
        <f t="shared" si="266"/>
        <v/>
      </c>
      <c r="BG266" s="23" t="str">
        <f t="shared" si="266"/>
        <v/>
      </c>
      <c r="BH266" s="23" t="str">
        <f t="shared" si="266"/>
        <v/>
      </c>
      <c r="BI266" s="23" t="str">
        <f t="shared" si="267"/>
        <v/>
      </c>
      <c r="BJ266" s="23" t="str">
        <f t="shared" si="267"/>
        <v/>
      </c>
      <c r="BK266" s="23" t="str">
        <f t="shared" si="267"/>
        <v/>
      </c>
      <c r="BL266" s="23" t="str">
        <f t="shared" si="267"/>
        <v/>
      </c>
      <c r="BM266" s="23" t="str">
        <f t="shared" si="267"/>
        <v/>
      </c>
      <c r="BN266" s="23" t="str">
        <f t="shared" si="267"/>
        <v/>
      </c>
      <c r="BO266" s="23" t="str">
        <f t="shared" si="267"/>
        <v/>
      </c>
      <c r="BP266" s="23" t="str">
        <f t="shared" si="267"/>
        <v/>
      </c>
      <c r="BQ266" s="23" t="str">
        <f t="shared" si="267"/>
        <v/>
      </c>
      <c r="BR266" s="23" t="str">
        <f t="shared" si="267"/>
        <v/>
      </c>
      <c r="BS266" s="23" t="str">
        <f t="shared" si="267"/>
        <v/>
      </c>
      <c r="BU266" s="29" t="s">
        <v>782</v>
      </c>
    </row>
    <row r="267" spans="1:73" ht="17" outlineLevel="1" x14ac:dyDescent="0.2">
      <c r="A267" s="6" t="s">
        <v>783</v>
      </c>
      <c r="B267" s="25" t="s">
        <v>784</v>
      </c>
      <c r="C267" s="6" t="s">
        <v>55</v>
      </c>
      <c r="D267" s="24" t="s">
        <v>128</v>
      </c>
      <c r="F267" s="6"/>
      <c r="G267" s="22">
        <v>24</v>
      </c>
      <c r="H267" s="22">
        <v>2</v>
      </c>
      <c r="I267" s="22">
        <f>MEDIAN($I$265,$J$265,$I$265+ROUND((G267-$G$265)/$H$265*($J$265-$I$265+1),0))</f>
        <v>24</v>
      </c>
      <c r="J267" s="22">
        <f>MEDIAN(I267,$J$265,$I$265+ROUND((G267+H267-$G$265)/$H$265*($J$265-$I$265+1),0)-1)</f>
        <v>25</v>
      </c>
      <c r="K267" s="23" t="str">
        <f t="shared" si="262"/>
        <v/>
      </c>
      <c r="L267" s="23" t="str">
        <f t="shared" si="262"/>
        <v/>
      </c>
      <c r="M267" s="23" t="str">
        <f t="shared" si="262"/>
        <v/>
      </c>
      <c r="N267" s="23" t="str">
        <f t="shared" si="262"/>
        <v/>
      </c>
      <c r="O267" s="23" t="str">
        <f t="shared" si="262"/>
        <v/>
      </c>
      <c r="P267" s="23" t="str">
        <f t="shared" si="262"/>
        <v/>
      </c>
      <c r="Q267" s="23" t="str">
        <f t="shared" si="262"/>
        <v/>
      </c>
      <c r="R267" s="23" t="str">
        <f t="shared" si="262"/>
        <v/>
      </c>
      <c r="S267" s="23" t="str">
        <f t="shared" si="262"/>
        <v/>
      </c>
      <c r="T267" s="23" t="str">
        <f t="shared" si="262"/>
        <v/>
      </c>
      <c r="U267" s="23" t="str">
        <f t="shared" si="263"/>
        <v/>
      </c>
      <c r="V267" s="23" t="str">
        <f t="shared" si="263"/>
        <v/>
      </c>
      <c r="W267" s="23" t="str">
        <f t="shared" si="263"/>
        <v/>
      </c>
      <c r="X267" s="23" t="str">
        <f t="shared" si="263"/>
        <v/>
      </c>
      <c r="Y267" s="23" t="str">
        <f t="shared" si="263"/>
        <v/>
      </c>
      <c r="Z267" s="23" t="str">
        <f t="shared" si="263"/>
        <v/>
      </c>
      <c r="AA267" s="23" t="str">
        <f t="shared" si="263"/>
        <v/>
      </c>
      <c r="AB267" s="23" t="str">
        <f t="shared" si="263"/>
        <v/>
      </c>
      <c r="AC267" s="23" t="str">
        <f t="shared" si="263"/>
        <v/>
      </c>
      <c r="AD267" s="23" t="str">
        <f t="shared" si="263"/>
        <v/>
      </c>
      <c r="AE267" s="23" t="str">
        <f t="shared" si="264"/>
        <v/>
      </c>
      <c r="AF267" s="23" t="str">
        <f t="shared" si="264"/>
        <v/>
      </c>
      <c r="AG267" s="23" t="str">
        <f t="shared" si="264"/>
        <v/>
      </c>
      <c r="AH267" s="23">
        <f t="shared" si="264"/>
        <v>1</v>
      </c>
      <c r="AI267" s="23">
        <f t="shared" si="264"/>
        <v>1</v>
      </c>
      <c r="AJ267" s="23" t="str">
        <f t="shared" si="264"/>
        <v/>
      </c>
      <c r="AK267" s="23" t="str">
        <f t="shared" si="264"/>
        <v/>
      </c>
      <c r="AL267" s="23" t="str">
        <f t="shared" si="264"/>
        <v/>
      </c>
      <c r="AM267" s="23" t="str">
        <f t="shared" si="264"/>
        <v/>
      </c>
      <c r="AN267" s="23" t="str">
        <f t="shared" si="264"/>
        <v/>
      </c>
      <c r="AO267" s="23" t="str">
        <f t="shared" si="265"/>
        <v/>
      </c>
      <c r="AP267" s="23" t="str">
        <f t="shared" si="265"/>
        <v/>
      </c>
      <c r="AQ267" s="23" t="str">
        <f t="shared" si="265"/>
        <v/>
      </c>
      <c r="AR267" s="23" t="str">
        <f t="shared" si="265"/>
        <v/>
      </c>
      <c r="AS267" s="23" t="str">
        <f t="shared" si="265"/>
        <v/>
      </c>
      <c r="AT267" s="23" t="str">
        <f t="shared" si="265"/>
        <v/>
      </c>
      <c r="AU267" s="23" t="str">
        <f t="shared" si="265"/>
        <v/>
      </c>
      <c r="AV267" s="23" t="str">
        <f t="shared" si="265"/>
        <v/>
      </c>
      <c r="AW267" s="23" t="str">
        <f t="shared" si="265"/>
        <v/>
      </c>
      <c r="AX267" s="23" t="str">
        <f t="shared" si="265"/>
        <v/>
      </c>
      <c r="AY267" s="23" t="str">
        <f t="shared" si="266"/>
        <v/>
      </c>
      <c r="AZ267" s="23" t="str">
        <f t="shared" si="266"/>
        <v/>
      </c>
      <c r="BA267" s="23" t="str">
        <f t="shared" si="266"/>
        <v/>
      </c>
      <c r="BB267" s="23" t="str">
        <f t="shared" si="266"/>
        <v/>
      </c>
      <c r="BC267" s="23" t="str">
        <f t="shared" si="266"/>
        <v/>
      </c>
      <c r="BD267" s="23" t="str">
        <f t="shared" si="266"/>
        <v/>
      </c>
      <c r="BE267" s="23" t="str">
        <f t="shared" si="266"/>
        <v/>
      </c>
      <c r="BF267" s="23" t="str">
        <f t="shared" si="266"/>
        <v/>
      </c>
      <c r="BG267" s="23" t="str">
        <f t="shared" si="266"/>
        <v/>
      </c>
      <c r="BH267" s="23" t="str">
        <f t="shared" si="266"/>
        <v/>
      </c>
      <c r="BI267" s="23" t="str">
        <f t="shared" si="267"/>
        <v/>
      </c>
      <c r="BJ267" s="23" t="str">
        <f t="shared" si="267"/>
        <v/>
      </c>
      <c r="BK267" s="23" t="str">
        <f t="shared" si="267"/>
        <v/>
      </c>
      <c r="BL267" s="23" t="str">
        <f t="shared" si="267"/>
        <v/>
      </c>
      <c r="BM267" s="23" t="str">
        <f t="shared" si="267"/>
        <v/>
      </c>
      <c r="BN267" s="23" t="str">
        <f t="shared" si="267"/>
        <v/>
      </c>
      <c r="BO267" s="23" t="str">
        <f t="shared" si="267"/>
        <v/>
      </c>
      <c r="BP267" s="23" t="str">
        <f t="shared" si="267"/>
        <v/>
      </c>
      <c r="BQ267" s="23" t="str">
        <f t="shared" si="267"/>
        <v/>
      </c>
      <c r="BR267" s="23" t="str">
        <f t="shared" si="267"/>
        <v/>
      </c>
      <c r="BS267" s="23" t="str">
        <f t="shared" si="267"/>
        <v/>
      </c>
      <c r="BU267" s="29" t="s">
        <v>785</v>
      </c>
    </row>
    <row r="268" spans="1:73" x14ac:dyDescent="0.2">
      <c r="BU268" s="30"/>
    </row>
    <row r="269" spans="1:73" ht="17" x14ac:dyDescent="0.2">
      <c r="A269" s="19" t="s">
        <v>786</v>
      </c>
      <c r="B269" s="20" t="s">
        <v>787</v>
      </c>
      <c r="C269" s="19" t="s">
        <v>55</v>
      </c>
      <c r="D269" s="21" t="s">
        <v>128</v>
      </c>
      <c r="E269" s="19" t="s">
        <v>73</v>
      </c>
      <c r="F269" s="19"/>
      <c r="G269" s="22">
        <v>22</v>
      </c>
      <c r="H269" s="22">
        <v>8</v>
      </c>
      <c r="I269" s="22">
        <f>MIN(61,IF(G269&lt;=29,ROUND((G269-1)*(29+SlipWeeks)/29,0)+1,G269+SlipWeeks))</f>
        <v>22</v>
      </c>
      <c r="J269" s="22">
        <f>MIN(61,IF(G269+H269-1&lt;=29,MAX(ROUND((G269+H269-1)*(29+SlipWeeks)/29,0),I269),G269+H269-1+SlipWeeks))</f>
        <v>29</v>
      </c>
      <c r="K269" s="23" t="str">
        <f t="shared" ref="K269:T271" si="268">IF(AND(K$4&gt;=$I269,K$4&lt;=$J269),1,"")</f>
        <v/>
      </c>
      <c r="L269" s="23" t="str">
        <f t="shared" si="268"/>
        <v/>
      </c>
      <c r="M269" s="23" t="str">
        <f t="shared" si="268"/>
        <v/>
      </c>
      <c r="N269" s="23" t="str">
        <f t="shared" si="268"/>
        <v/>
      </c>
      <c r="O269" s="23" t="str">
        <f t="shared" si="268"/>
        <v/>
      </c>
      <c r="P269" s="23" t="str">
        <f t="shared" si="268"/>
        <v/>
      </c>
      <c r="Q269" s="23" t="str">
        <f t="shared" si="268"/>
        <v/>
      </c>
      <c r="R269" s="23" t="str">
        <f t="shared" si="268"/>
        <v/>
      </c>
      <c r="S269" s="23" t="str">
        <f t="shared" si="268"/>
        <v/>
      </c>
      <c r="T269" s="23" t="str">
        <f t="shared" si="268"/>
        <v/>
      </c>
      <c r="U269" s="23" t="str">
        <f t="shared" ref="U269:AD271" si="269">IF(AND(U$4&gt;=$I269,U$4&lt;=$J269),1,"")</f>
        <v/>
      </c>
      <c r="V269" s="23" t="str">
        <f t="shared" si="269"/>
        <v/>
      </c>
      <c r="W269" s="23" t="str">
        <f t="shared" si="269"/>
        <v/>
      </c>
      <c r="X269" s="23" t="str">
        <f t="shared" si="269"/>
        <v/>
      </c>
      <c r="Y269" s="23" t="str">
        <f t="shared" si="269"/>
        <v/>
      </c>
      <c r="Z269" s="23" t="str">
        <f t="shared" si="269"/>
        <v/>
      </c>
      <c r="AA269" s="23" t="str">
        <f t="shared" si="269"/>
        <v/>
      </c>
      <c r="AB269" s="23" t="str">
        <f t="shared" si="269"/>
        <v/>
      </c>
      <c r="AC269" s="23" t="str">
        <f t="shared" si="269"/>
        <v/>
      </c>
      <c r="AD269" s="23" t="str">
        <f t="shared" si="269"/>
        <v/>
      </c>
      <c r="AE269" s="23" t="str">
        <f t="shared" ref="AE269:AN271" si="270">IF(AND(AE$4&gt;=$I269,AE$4&lt;=$J269),1,"")</f>
        <v/>
      </c>
      <c r="AF269" s="23">
        <f t="shared" si="270"/>
        <v>1</v>
      </c>
      <c r="AG269" s="23">
        <f t="shared" si="270"/>
        <v>1</v>
      </c>
      <c r="AH269" s="23">
        <f t="shared" si="270"/>
        <v>1</v>
      </c>
      <c r="AI269" s="23">
        <f t="shared" si="270"/>
        <v>1</v>
      </c>
      <c r="AJ269" s="23">
        <f t="shared" si="270"/>
        <v>1</v>
      </c>
      <c r="AK269" s="23">
        <f t="shared" si="270"/>
        <v>1</v>
      </c>
      <c r="AL269" s="23">
        <f t="shared" si="270"/>
        <v>1</v>
      </c>
      <c r="AM269" s="23">
        <f t="shared" si="270"/>
        <v>1</v>
      </c>
      <c r="AN269" s="23" t="str">
        <f t="shared" si="270"/>
        <v/>
      </c>
      <c r="AO269" s="23" t="str">
        <f t="shared" ref="AO269:AX271" si="271">IF(AND(AO$4&gt;=$I269,AO$4&lt;=$J269),1,"")</f>
        <v/>
      </c>
      <c r="AP269" s="23" t="str">
        <f t="shared" si="271"/>
        <v/>
      </c>
      <c r="AQ269" s="23" t="str">
        <f t="shared" si="271"/>
        <v/>
      </c>
      <c r="AR269" s="23" t="str">
        <f t="shared" si="271"/>
        <v/>
      </c>
      <c r="AS269" s="23" t="str">
        <f t="shared" si="271"/>
        <v/>
      </c>
      <c r="AT269" s="23" t="str">
        <f t="shared" si="271"/>
        <v/>
      </c>
      <c r="AU269" s="23" t="str">
        <f t="shared" si="271"/>
        <v/>
      </c>
      <c r="AV269" s="23" t="str">
        <f t="shared" si="271"/>
        <v/>
      </c>
      <c r="AW269" s="23" t="str">
        <f t="shared" si="271"/>
        <v/>
      </c>
      <c r="AX269" s="23" t="str">
        <f t="shared" si="271"/>
        <v/>
      </c>
      <c r="AY269" s="23" t="str">
        <f t="shared" ref="AY269:BH271" si="272">IF(AND(AY$4&gt;=$I269,AY$4&lt;=$J269),1,"")</f>
        <v/>
      </c>
      <c r="AZ269" s="23" t="str">
        <f t="shared" si="272"/>
        <v/>
      </c>
      <c r="BA269" s="23" t="str">
        <f t="shared" si="272"/>
        <v/>
      </c>
      <c r="BB269" s="23" t="str">
        <f t="shared" si="272"/>
        <v/>
      </c>
      <c r="BC269" s="23" t="str">
        <f t="shared" si="272"/>
        <v/>
      </c>
      <c r="BD269" s="23" t="str">
        <f t="shared" si="272"/>
        <v/>
      </c>
      <c r="BE269" s="23" t="str">
        <f t="shared" si="272"/>
        <v/>
      </c>
      <c r="BF269" s="23" t="str">
        <f t="shared" si="272"/>
        <v/>
      </c>
      <c r="BG269" s="23" t="str">
        <f t="shared" si="272"/>
        <v/>
      </c>
      <c r="BH269" s="23" t="str">
        <f t="shared" si="272"/>
        <v/>
      </c>
      <c r="BI269" s="23" t="str">
        <f t="shared" ref="BI269:BS271" si="273">IF(AND(BI$4&gt;=$I269,BI$4&lt;=$J269),1,"")</f>
        <v/>
      </c>
      <c r="BJ269" s="23" t="str">
        <f t="shared" si="273"/>
        <v/>
      </c>
      <c r="BK269" s="23" t="str">
        <f t="shared" si="273"/>
        <v/>
      </c>
      <c r="BL269" s="23" t="str">
        <f t="shared" si="273"/>
        <v/>
      </c>
      <c r="BM269" s="23" t="str">
        <f t="shared" si="273"/>
        <v/>
      </c>
      <c r="BN269" s="23" t="str">
        <f t="shared" si="273"/>
        <v/>
      </c>
      <c r="BO269" s="23" t="str">
        <f t="shared" si="273"/>
        <v/>
      </c>
      <c r="BP269" s="23" t="str">
        <f t="shared" si="273"/>
        <v/>
      </c>
      <c r="BQ269" s="23" t="str">
        <f t="shared" si="273"/>
        <v/>
      </c>
      <c r="BR269" s="23" t="str">
        <f t="shared" si="273"/>
        <v/>
      </c>
      <c r="BS269" s="23" t="str">
        <f t="shared" si="273"/>
        <v/>
      </c>
      <c r="BT269" s="24" t="str">
        <f>IF(IF(G269+H269-1&lt;=29,MAX(ROUND((G269+H269-1)*(29+SlipWeeks)/29,0),$I269),G269+H269-1+SlipWeeks)&gt;61,"▶ clipped","")</f>
        <v/>
      </c>
      <c r="BU269" s="29" t="s">
        <v>788</v>
      </c>
    </row>
    <row r="270" spans="1:73" ht="34" outlineLevel="1" x14ac:dyDescent="0.2">
      <c r="A270" s="6" t="s">
        <v>789</v>
      </c>
      <c r="B270" s="25" t="s">
        <v>790</v>
      </c>
      <c r="C270" s="6" t="s">
        <v>55</v>
      </c>
      <c r="D270" s="24" t="s">
        <v>128</v>
      </c>
      <c r="F270" s="6"/>
      <c r="G270" s="22">
        <v>22</v>
      </c>
      <c r="H270" s="22">
        <v>4</v>
      </c>
      <c r="I270" s="22">
        <f>MEDIAN($I$269,$J$269,$I$269+ROUND((G270-$G$269)/$H$269*($J$269-$I$269+1),0))</f>
        <v>22</v>
      </c>
      <c r="J270" s="22">
        <f>MEDIAN(I270,$J$269,$I$269+ROUND((G270+H270-$G$269)/$H$269*($J$269-$I$269+1),0)-1)</f>
        <v>25</v>
      </c>
      <c r="K270" s="23" t="str">
        <f t="shared" si="268"/>
        <v/>
      </c>
      <c r="L270" s="23" t="str">
        <f t="shared" si="268"/>
        <v/>
      </c>
      <c r="M270" s="23" t="str">
        <f t="shared" si="268"/>
        <v/>
      </c>
      <c r="N270" s="23" t="str">
        <f t="shared" si="268"/>
        <v/>
      </c>
      <c r="O270" s="23" t="str">
        <f t="shared" si="268"/>
        <v/>
      </c>
      <c r="P270" s="23" t="str">
        <f t="shared" si="268"/>
        <v/>
      </c>
      <c r="Q270" s="23" t="str">
        <f t="shared" si="268"/>
        <v/>
      </c>
      <c r="R270" s="23" t="str">
        <f t="shared" si="268"/>
        <v/>
      </c>
      <c r="S270" s="23" t="str">
        <f t="shared" si="268"/>
        <v/>
      </c>
      <c r="T270" s="23" t="str">
        <f t="shared" si="268"/>
        <v/>
      </c>
      <c r="U270" s="23" t="str">
        <f t="shared" si="269"/>
        <v/>
      </c>
      <c r="V270" s="23" t="str">
        <f t="shared" si="269"/>
        <v/>
      </c>
      <c r="W270" s="23" t="str">
        <f t="shared" si="269"/>
        <v/>
      </c>
      <c r="X270" s="23" t="str">
        <f t="shared" si="269"/>
        <v/>
      </c>
      <c r="Y270" s="23" t="str">
        <f t="shared" si="269"/>
        <v/>
      </c>
      <c r="Z270" s="23" t="str">
        <f t="shared" si="269"/>
        <v/>
      </c>
      <c r="AA270" s="23" t="str">
        <f t="shared" si="269"/>
        <v/>
      </c>
      <c r="AB270" s="23" t="str">
        <f t="shared" si="269"/>
        <v/>
      </c>
      <c r="AC270" s="23" t="str">
        <f t="shared" si="269"/>
        <v/>
      </c>
      <c r="AD270" s="23" t="str">
        <f t="shared" si="269"/>
        <v/>
      </c>
      <c r="AE270" s="23" t="str">
        <f t="shared" si="270"/>
        <v/>
      </c>
      <c r="AF270" s="23">
        <f t="shared" si="270"/>
        <v>1</v>
      </c>
      <c r="AG270" s="23">
        <f t="shared" si="270"/>
        <v>1</v>
      </c>
      <c r="AH270" s="23">
        <f t="shared" si="270"/>
        <v>1</v>
      </c>
      <c r="AI270" s="23">
        <f t="shared" si="270"/>
        <v>1</v>
      </c>
      <c r="AJ270" s="23" t="str">
        <f t="shared" si="270"/>
        <v/>
      </c>
      <c r="AK270" s="23" t="str">
        <f t="shared" si="270"/>
        <v/>
      </c>
      <c r="AL270" s="23" t="str">
        <f t="shared" si="270"/>
        <v/>
      </c>
      <c r="AM270" s="23" t="str">
        <f t="shared" si="270"/>
        <v/>
      </c>
      <c r="AN270" s="23" t="str">
        <f t="shared" si="270"/>
        <v/>
      </c>
      <c r="AO270" s="23" t="str">
        <f t="shared" si="271"/>
        <v/>
      </c>
      <c r="AP270" s="23" t="str">
        <f t="shared" si="271"/>
        <v/>
      </c>
      <c r="AQ270" s="23" t="str">
        <f t="shared" si="271"/>
        <v/>
      </c>
      <c r="AR270" s="23" t="str">
        <f t="shared" si="271"/>
        <v/>
      </c>
      <c r="AS270" s="23" t="str">
        <f t="shared" si="271"/>
        <v/>
      </c>
      <c r="AT270" s="23" t="str">
        <f t="shared" si="271"/>
        <v/>
      </c>
      <c r="AU270" s="23" t="str">
        <f t="shared" si="271"/>
        <v/>
      </c>
      <c r="AV270" s="23" t="str">
        <f t="shared" si="271"/>
        <v/>
      </c>
      <c r="AW270" s="23" t="str">
        <f t="shared" si="271"/>
        <v/>
      </c>
      <c r="AX270" s="23" t="str">
        <f t="shared" si="271"/>
        <v/>
      </c>
      <c r="AY270" s="23" t="str">
        <f t="shared" si="272"/>
        <v/>
      </c>
      <c r="AZ270" s="23" t="str">
        <f t="shared" si="272"/>
        <v/>
      </c>
      <c r="BA270" s="23" t="str">
        <f t="shared" si="272"/>
        <v/>
      </c>
      <c r="BB270" s="23" t="str">
        <f t="shared" si="272"/>
        <v/>
      </c>
      <c r="BC270" s="23" t="str">
        <f t="shared" si="272"/>
        <v/>
      </c>
      <c r="BD270" s="23" t="str">
        <f t="shared" si="272"/>
        <v/>
      </c>
      <c r="BE270" s="23" t="str">
        <f t="shared" si="272"/>
        <v/>
      </c>
      <c r="BF270" s="23" t="str">
        <f t="shared" si="272"/>
        <v/>
      </c>
      <c r="BG270" s="23" t="str">
        <f t="shared" si="272"/>
        <v/>
      </c>
      <c r="BH270" s="23" t="str">
        <f t="shared" si="272"/>
        <v/>
      </c>
      <c r="BI270" s="23" t="str">
        <f t="shared" si="273"/>
        <v/>
      </c>
      <c r="BJ270" s="23" t="str">
        <f t="shared" si="273"/>
        <v/>
      </c>
      <c r="BK270" s="23" t="str">
        <f t="shared" si="273"/>
        <v/>
      </c>
      <c r="BL270" s="23" t="str">
        <f t="shared" si="273"/>
        <v/>
      </c>
      <c r="BM270" s="23" t="str">
        <f t="shared" si="273"/>
        <v/>
      </c>
      <c r="BN270" s="23" t="str">
        <f t="shared" si="273"/>
        <v/>
      </c>
      <c r="BO270" s="23" t="str">
        <f t="shared" si="273"/>
        <v/>
      </c>
      <c r="BP270" s="23" t="str">
        <f t="shared" si="273"/>
        <v/>
      </c>
      <c r="BQ270" s="23" t="str">
        <f t="shared" si="273"/>
        <v/>
      </c>
      <c r="BR270" s="23" t="str">
        <f t="shared" si="273"/>
        <v/>
      </c>
      <c r="BS270" s="23" t="str">
        <f t="shared" si="273"/>
        <v/>
      </c>
      <c r="BU270" s="29" t="s">
        <v>791</v>
      </c>
    </row>
    <row r="271" spans="1:73" ht="17" outlineLevel="1" x14ac:dyDescent="0.2">
      <c r="A271" s="6" t="s">
        <v>792</v>
      </c>
      <c r="B271" s="25" t="s">
        <v>793</v>
      </c>
      <c r="C271" s="6" t="s">
        <v>55</v>
      </c>
      <c r="D271" s="24" t="s">
        <v>128</v>
      </c>
      <c r="F271" s="6"/>
      <c r="G271" s="22">
        <v>26</v>
      </c>
      <c r="H271" s="22">
        <v>4</v>
      </c>
      <c r="I271" s="22">
        <f>MEDIAN($I$269,$J$269,$I$269+ROUND((G271-$G$269)/$H$269*($J$269-$I$269+1),0))</f>
        <v>26</v>
      </c>
      <c r="J271" s="22">
        <f>MEDIAN(I271,$J$269,$I$269+ROUND((G271+H271-$G$269)/$H$269*($J$269-$I$269+1),0)-1)</f>
        <v>29</v>
      </c>
      <c r="K271" s="23" t="str">
        <f t="shared" si="268"/>
        <v/>
      </c>
      <c r="L271" s="23" t="str">
        <f t="shared" si="268"/>
        <v/>
      </c>
      <c r="M271" s="23" t="str">
        <f t="shared" si="268"/>
        <v/>
      </c>
      <c r="N271" s="23" t="str">
        <f t="shared" si="268"/>
        <v/>
      </c>
      <c r="O271" s="23" t="str">
        <f t="shared" si="268"/>
        <v/>
      </c>
      <c r="P271" s="23" t="str">
        <f t="shared" si="268"/>
        <v/>
      </c>
      <c r="Q271" s="23" t="str">
        <f t="shared" si="268"/>
        <v/>
      </c>
      <c r="R271" s="23" t="str">
        <f t="shared" si="268"/>
        <v/>
      </c>
      <c r="S271" s="23" t="str">
        <f t="shared" si="268"/>
        <v/>
      </c>
      <c r="T271" s="23" t="str">
        <f t="shared" si="268"/>
        <v/>
      </c>
      <c r="U271" s="23" t="str">
        <f t="shared" si="269"/>
        <v/>
      </c>
      <c r="V271" s="23" t="str">
        <f t="shared" si="269"/>
        <v/>
      </c>
      <c r="W271" s="23" t="str">
        <f t="shared" si="269"/>
        <v/>
      </c>
      <c r="X271" s="23" t="str">
        <f t="shared" si="269"/>
        <v/>
      </c>
      <c r="Y271" s="23" t="str">
        <f t="shared" si="269"/>
        <v/>
      </c>
      <c r="Z271" s="23" t="str">
        <f t="shared" si="269"/>
        <v/>
      </c>
      <c r="AA271" s="23" t="str">
        <f t="shared" si="269"/>
        <v/>
      </c>
      <c r="AB271" s="23" t="str">
        <f t="shared" si="269"/>
        <v/>
      </c>
      <c r="AC271" s="23" t="str">
        <f t="shared" si="269"/>
        <v/>
      </c>
      <c r="AD271" s="23" t="str">
        <f t="shared" si="269"/>
        <v/>
      </c>
      <c r="AE271" s="23" t="str">
        <f t="shared" si="270"/>
        <v/>
      </c>
      <c r="AF271" s="23" t="str">
        <f t="shared" si="270"/>
        <v/>
      </c>
      <c r="AG271" s="23" t="str">
        <f t="shared" si="270"/>
        <v/>
      </c>
      <c r="AH271" s="23" t="str">
        <f t="shared" si="270"/>
        <v/>
      </c>
      <c r="AI271" s="23" t="str">
        <f t="shared" si="270"/>
        <v/>
      </c>
      <c r="AJ271" s="23">
        <f t="shared" si="270"/>
        <v>1</v>
      </c>
      <c r="AK271" s="23">
        <f t="shared" si="270"/>
        <v>1</v>
      </c>
      <c r="AL271" s="23">
        <f t="shared" si="270"/>
        <v>1</v>
      </c>
      <c r="AM271" s="23">
        <f t="shared" si="270"/>
        <v>1</v>
      </c>
      <c r="AN271" s="23" t="str">
        <f t="shared" si="270"/>
        <v/>
      </c>
      <c r="AO271" s="23" t="str">
        <f t="shared" si="271"/>
        <v/>
      </c>
      <c r="AP271" s="23" t="str">
        <f t="shared" si="271"/>
        <v/>
      </c>
      <c r="AQ271" s="23" t="str">
        <f t="shared" si="271"/>
        <v/>
      </c>
      <c r="AR271" s="23" t="str">
        <f t="shared" si="271"/>
        <v/>
      </c>
      <c r="AS271" s="23" t="str">
        <f t="shared" si="271"/>
        <v/>
      </c>
      <c r="AT271" s="23" t="str">
        <f t="shared" si="271"/>
        <v/>
      </c>
      <c r="AU271" s="23" t="str">
        <f t="shared" si="271"/>
        <v/>
      </c>
      <c r="AV271" s="23" t="str">
        <f t="shared" si="271"/>
        <v/>
      </c>
      <c r="AW271" s="23" t="str">
        <f t="shared" si="271"/>
        <v/>
      </c>
      <c r="AX271" s="23" t="str">
        <f t="shared" si="271"/>
        <v/>
      </c>
      <c r="AY271" s="23" t="str">
        <f t="shared" si="272"/>
        <v/>
      </c>
      <c r="AZ271" s="23" t="str">
        <f t="shared" si="272"/>
        <v/>
      </c>
      <c r="BA271" s="23" t="str">
        <f t="shared" si="272"/>
        <v/>
      </c>
      <c r="BB271" s="23" t="str">
        <f t="shared" si="272"/>
        <v/>
      </c>
      <c r="BC271" s="23" t="str">
        <f t="shared" si="272"/>
        <v/>
      </c>
      <c r="BD271" s="23" t="str">
        <f t="shared" si="272"/>
        <v/>
      </c>
      <c r="BE271" s="23" t="str">
        <f t="shared" si="272"/>
        <v/>
      </c>
      <c r="BF271" s="23" t="str">
        <f t="shared" si="272"/>
        <v/>
      </c>
      <c r="BG271" s="23" t="str">
        <f t="shared" si="272"/>
        <v/>
      </c>
      <c r="BH271" s="23" t="str">
        <f t="shared" si="272"/>
        <v/>
      </c>
      <c r="BI271" s="23" t="str">
        <f t="shared" si="273"/>
        <v/>
      </c>
      <c r="BJ271" s="23" t="str">
        <f t="shared" si="273"/>
        <v/>
      </c>
      <c r="BK271" s="23" t="str">
        <f t="shared" si="273"/>
        <v/>
      </c>
      <c r="BL271" s="23" t="str">
        <f t="shared" si="273"/>
        <v/>
      </c>
      <c r="BM271" s="23" t="str">
        <f t="shared" si="273"/>
        <v/>
      </c>
      <c r="BN271" s="23" t="str">
        <f t="shared" si="273"/>
        <v/>
      </c>
      <c r="BO271" s="23" t="str">
        <f t="shared" si="273"/>
        <v/>
      </c>
      <c r="BP271" s="23" t="str">
        <f t="shared" si="273"/>
        <v/>
      </c>
      <c r="BQ271" s="23" t="str">
        <f t="shared" si="273"/>
        <v/>
      </c>
      <c r="BR271" s="23" t="str">
        <f t="shared" si="273"/>
        <v/>
      </c>
      <c r="BS271" s="23" t="str">
        <f t="shared" si="273"/>
        <v/>
      </c>
      <c r="BU271" s="29" t="s">
        <v>794</v>
      </c>
    </row>
    <row r="272" spans="1:73" x14ac:dyDescent="0.2">
      <c r="BU272" s="30"/>
    </row>
    <row r="273" spans="1:73" ht="34" x14ac:dyDescent="0.2">
      <c r="A273" s="19" t="s">
        <v>795</v>
      </c>
      <c r="B273" s="20" t="s">
        <v>796</v>
      </c>
      <c r="C273" s="19" t="s">
        <v>57</v>
      </c>
      <c r="D273" s="21" t="s">
        <v>128</v>
      </c>
      <c r="E273" s="19"/>
      <c r="F273" s="19"/>
      <c r="G273" s="22">
        <v>6</v>
      </c>
      <c r="H273" s="22">
        <v>4</v>
      </c>
      <c r="I273" s="22">
        <f>MIN(61,IF(G273&lt;=29,ROUND((G273-1)*(29+SlipWeeks)/29,0)+1,G273+SlipWeeks))</f>
        <v>6</v>
      </c>
      <c r="J273" s="22">
        <f>MIN(61,I273+H273-1)</f>
        <v>9</v>
      </c>
      <c r="K273" s="23" t="str">
        <f t="shared" ref="K273:T275" si="274">IF(AND(K$4&gt;=$I273,K$4&lt;=$J273),1,"")</f>
        <v/>
      </c>
      <c r="L273" s="23" t="str">
        <f t="shared" si="274"/>
        <v/>
      </c>
      <c r="M273" s="23" t="str">
        <f t="shared" si="274"/>
        <v/>
      </c>
      <c r="N273" s="23" t="str">
        <f t="shared" si="274"/>
        <v/>
      </c>
      <c r="O273" s="23" t="str">
        <f t="shared" si="274"/>
        <v/>
      </c>
      <c r="P273" s="23">
        <f t="shared" si="274"/>
        <v>1</v>
      </c>
      <c r="Q273" s="23">
        <f t="shared" si="274"/>
        <v>1</v>
      </c>
      <c r="R273" s="23">
        <f t="shared" si="274"/>
        <v>1</v>
      </c>
      <c r="S273" s="23">
        <f t="shared" si="274"/>
        <v>1</v>
      </c>
      <c r="T273" s="23" t="str">
        <f t="shared" si="274"/>
        <v/>
      </c>
      <c r="U273" s="23" t="str">
        <f t="shared" ref="U273:AD275" si="275">IF(AND(U$4&gt;=$I273,U$4&lt;=$J273),1,"")</f>
        <v/>
      </c>
      <c r="V273" s="23" t="str">
        <f t="shared" si="275"/>
        <v/>
      </c>
      <c r="W273" s="23" t="str">
        <f t="shared" si="275"/>
        <v/>
      </c>
      <c r="X273" s="23" t="str">
        <f t="shared" si="275"/>
        <v/>
      </c>
      <c r="Y273" s="23" t="str">
        <f t="shared" si="275"/>
        <v/>
      </c>
      <c r="Z273" s="23" t="str">
        <f t="shared" si="275"/>
        <v/>
      </c>
      <c r="AA273" s="23" t="str">
        <f t="shared" si="275"/>
        <v/>
      </c>
      <c r="AB273" s="23" t="str">
        <f t="shared" si="275"/>
        <v/>
      </c>
      <c r="AC273" s="23" t="str">
        <f t="shared" si="275"/>
        <v/>
      </c>
      <c r="AD273" s="23" t="str">
        <f t="shared" si="275"/>
        <v/>
      </c>
      <c r="AE273" s="23" t="str">
        <f t="shared" ref="AE273:AN275" si="276">IF(AND(AE$4&gt;=$I273,AE$4&lt;=$J273),1,"")</f>
        <v/>
      </c>
      <c r="AF273" s="23" t="str">
        <f t="shared" si="276"/>
        <v/>
      </c>
      <c r="AG273" s="23" t="str">
        <f t="shared" si="276"/>
        <v/>
      </c>
      <c r="AH273" s="23" t="str">
        <f t="shared" si="276"/>
        <v/>
      </c>
      <c r="AI273" s="23" t="str">
        <f t="shared" si="276"/>
        <v/>
      </c>
      <c r="AJ273" s="23" t="str">
        <f t="shared" si="276"/>
        <v/>
      </c>
      <c r="AK273" s="23" t="str">
        <f t="shared" si="276"/>
        <v/>
      </c>
      <c r="AL273" s="23" t="str">
        <f t="shared" si="276"/>
        <v/>
      </c>
      <c r="AM273" s="23" t="str">
        <f t="shared" si="276"/>
        <v/>
      </c>
      <c r="AN273" s="23" t="str">
        <f t="shared" si="276"/>
        <v/>
      </c>
      <c r="AO273" s="23" t="str">
        <f t="shared" ref="AO273:AX275" si="277">IF(AND(AO$4&gt;=$I273,AO$4&lt;=$J273),1,"")</f>
        <v/>
      </c>
      <c r="AP273" s="23" t="str">
        <f t="shared" si="277"/>
        <v/>
      </c>
      <c r="AQ273" s="23" t="str">
        <f t="shared" si="277"/>
        <v/>
      </c>
      <c r="AR273" s="23" t="str">
        <f t="shared" si="277"/>
        <v/>
      </c>
      <c r="AS273" s="23" t="str">
        <f t="shared" si="277"/>
        <v/>
      </c>
      <c r="AT273" s="23" t="str">
        <f t="shared" si="277"/>
        <v/>
      </c>
      <c r="AU273" s="23" t="str">
        <f t="shared" si="277"/>
        <v/>
      </c>
      <c r="AV273" s="23" t="str">
        <f t="shared" si="277"/>
        <v/>
      </c>
      <c r="AW273" s="23" t="str">
        <f t="shared" si="277"/>
        <v/>
      </c>
      <c r="AX273" s="23" t="str">
        <f t="shared" si="277"/>
        <v/>
      </c>
      <c r="AY273" s="23" t="str">
        <f t="shared" ref="AY273:BH275" si="278">IF(AND(AY$4&gt;=$I273,AY$4&lt;=$J273),1,"")</f>
        <v/>
      </c>
      <c r="AZ273" s="23" t="str">
        <f t="shared" si="278"/>
        <v/>
      </c>
      <c r="BA273" s="23" t="str">
        <f t="shared" si="278"/>
        <v/>
      </c>
      <c r="BB273" s="23" t="str">
        <f t="shared" si="278"/>
        <v/>
      </c>
      <c r="BC273" s="23" t="str">
        <f t="shared" si="278"/>
        <v/>
      </c>
      <c r="BD273" s="23" t="str">
        <f t="shared" si="278"/>
        <v/>
      </c>
      <c r="BE273" s="23" t="str">
        <f t="shared" si="278"/>
        <v/>
      </c>
      <c r="BF273" s="23" t="str">
        <f t="shared" si="278"/>
        <v/>
      </c>
      <c r="BG273" s="23" t="str">
        <f t="shared" si="278"/>
        <v/>
      </c>
      <c r="BH273" s="23" t="str">
        <f t="shared" si="278"/>
        <v/>
      </c>
      <c r="BI273" s="23" t="str">
        <f t="shared" ref="BI273:BS275" si="279">IF(AND(BI$4&gt;=$I273,BI$4&lt;=$J273),1,"")</f>
        <v/>
      </c>
      <c r="BJ273" s="23" t="str">
        <f t="shared" si="279"/>
        <v/>
      </c>
      <c r="BK273" s="23" t="str">
        <f t="shared" si="279"/>
        <v/>
      </c>
      <c r="BL273" s="23" t="str">
        <f t="shared" si="279"/>
        <v/>
      </c>
      <c r="BM273" s="23" t="str">
        <f t="shared" si="279"/>
        <v/>
      </c>
      <c r="BN273" s="23" t="str">
        <f t="shared" si="279"/>
        <v/>
      </c>
      <c r="BO273" s="23" t="str">
        <f t="shared" si="279"/>
        <v/>
      </c>
      <c r="BP273" s="23" t="str">
        <f t="shared" si="279"/>
        <v/>
      </c>
      <c r="BQ273" s="23" t="str">
        <f t="shared" si="279"/>
        <v/>
      </c>
      <c r="BR273" s="23" t="str">
        <f t="shared" si="279"/>
        <v/>
      </c>
      <c r="BS273" s="23" t="str">
        <f t="shared" si="279"/>
        <v/>
      </c>
      <c r="BT273" s="24" t="str">
        <f>IF($I273+H273-1&gt;61,"▶ clipped","")</f>
        <v/>
      </c>
      <c r="BU273" s="29" t="s">
        <v>797</v>
      </c>
    </row>
    <row r="274" spans="1:73" ht="17" outlineLevel="1" x14ac:dyDescent="0.2">
      <c r="A274" s="6" t="s">
        <v>798</v>
      </c>
      <c r="B274" s="25" t="s">
        <v>799</v>
      </c>
      <c r="C274" s="6" t="s">
        <v>57</v>
      </c>
      <c r="D274" s="24" t="s">
        <v>128</v>
      </c>
      <c r="F274" s="6"/>
      <c r="G274" s="22">
        <v>6</v>
      </c>
      <c r="H274" s="22">
        <v>2</v>
      </c>
      <c r="I274" s="22">
        <f>MEDIAN($I$273,$J$273,$I$273+ROUND((G274-$G$273)/$H$273*($J$273-$I$273+1),0))</f>
        <v>6</v>
      </c>
      <c r="J274" s="22">
        <f>MEDIAN(I274,$J$273,$I$273+ROUND((G274+H274-$G$273)/$H$273*($J$273-$I$273+1),0)-1)</f>
        <v>7</v>
      </c>
      <c r="K274" s="23" t="str">
        <f t="shared" si="274"/>
        <v/>
      </c>
      <c r="L274" s="23" t="str">
        <f t="shared" si="274"/>
        <v/>
      </c>
      <c r="M274" s="23" t="str">
        <f t="shared" si="274"/>
        <v/>
      </c>
      <c r="N274" s="23" t="str">
        <f t="shared" si="274"/>
        <v/>
      </c>
      <c r="O274" s="23" t="str">
        <f t="shared" si="274"/>
        <v/>
      </c>
      <c r="P274" s="23">
        <f t="shared" si="274"/>
        <v>1</v>
      </c>
      <c r="Q274" s="23">
        <f t="shared" si="274"/>
        <v>1</v>
      </c>
      <c r="R274" s="23" t="str">
        <f t="shared" si="274"/>
        <v/>
      </c>
      <c r="S274" s="23" t="str">
        <f t="shared" si="274"/>
        <v/>
      </c>
      <c r="T274" s="23" t="str">
        <f t="shared" si="274"/>
        <v/>
      </c>
      <c r="U274" s="23" t="str">
        <f t="shared" si="275"/>
        <v/>
      </c>
      <c r="V274" s="23" t="str">
        <f t="shared" si="275"/>
        <v/>
      </c>
      <c r="W274" s="23" t="str">
        <f t="shared" si="275"/>
        <v/>
      </c>
      <c r="X274" s="23" t="str">
        <f t="shared" si="275"/>
        <v/>
      </c>
      <c r="Y274" s="23" t="str">
        <f t="shared" si="275"/>
        <v/>
      </c>
      <c r="Z274" s="23" t="str">
        <f t="shared" si="275"/>
        <v/>
      </c>
      <c r="AA274" s="23" t="str">
        <f t="shared" si="275"/>
        <v/>
      </c>
      <c r="AB274" s="23" t="str">
        <f t="shared" si="275"/>
        <v/>
      </c>
      <c r="AC274" s="23" t="str">
        <f t="shared" si="275"/>
        <v/>
      </c>
      <c r="AD274" s="23" t="str">
        <f t="shared" si="275"/>
        <v/>
      </c>
      <c r="AE274" s="23" t="str">
        <f t="shared" si="276"/>
        <v/>
      </c>
      <c r="AF274" s="23" t="str">
        <f t="shared" si="276"/>
        <v/>
      </c>
      <c r="AG274" s="23" t="str">
        <f t="shared" si="276"/>
        <v/>
      </c>
      <c r="AH274" s="23" t="str">
        <f t="shared" si="276"/>
        <v/>
      </c>
      <c r="AI274" s="23" t="str">
        <f t="shared" si="276"/>
        <v/>
      </c>
      <c r="AJ274" s="23" t="str">
        <f t="shared" si="276"/>
        <v/>
      </c>
      <c r="AK274" s="23" t="str">
        <f t="shared" si="276"/>
        <v/>
      </c>
      <c r="AL274" s="23" t="str">
        <f t="shared" si="276"/>
        <v/>
      </c>
      <c r="AM274" s="23" t="str">
        <f t="shared" si="276"/>
        <v/>
      </c>
      <c r="AN274" s="23" t="str">
        <f t="shared" si="276"/>
        <v/>
      </c>
      <c r="AO274" s="23" t="str">
        <f t="shared" si="277"/>
        <v/>
      </c>
      <c r="AP274" s="23" t="str">
        <f t="shared" si="277"/>
        <v/>
      </c>
      <c r="AQ274" s="23" t="str">
        <f t="shared" si="277"/>
        <v/>
      </c>
      <c r="AR274" s="23" t="str">
        <f t="shared" si="277"/>
        <v/>
      </c>
      <c r="AS274" s="23" t="str">
        <f t="shared" si="277"/>
        <v/>
      </c>
      <c r="AT274" s="23" t="str">
        <f t="shared" si="277"/>
        <v/>
      </c>
      <c r="AU274" s="23" t="str">
        <f t="shared" si="277"/>
        <v/>
      </c>
      <c r="AV274" s="23" t="str">
        <f t="shared" si="277"/>
        <v/>
      </c>
      <c r="AW274" s="23" t="str">
        <f t="shared" si="277"/>
        <v/>
      </c>
      <c r="AX274" s="23" t="str">
        <f t="shared" si="277"/>
        <v/>
      </c>
      <c r="AY274" s="23" t="str">
        <f t="shared" si="278"/>
        <v/>
      </c>
      <c r="AZ274" s="23" t="str">
        <f t="shared" si="278"/>
        <v/>
      </c>
      <c r="BA274" s="23" t="str">
        <f t="shared" si="278"/>
        <v/>
      </c>
      <c r="BB274" s="23" t="str">
        <f t="shared" si="278"/>
        <v/>
      </c>
      <c r="BC274" s="23" t="str">
        <f t="shared" si="278"/>
        <v/>
      </c>
      <c r="BD274" s="23" t="str">
        <f t="shared" si="278"/>
        <v/>
      </c>
      <c r="BE274" s="23" t="str">
        <f t="shared" si="278"/>
        <v/>
      </c>
      <c r="BF274" s="23" t="str">
        <f t="shared" si="278"/>
        <v/>
      </c>
      <c r="BG274" s="23" t="str">
        <f t="shared" si="278"/>
        <v/>
      </c>
      <c r="BH274" s="23" t="str">
        <f t="shared" si="278"/>
        <v/>
      </c>
      <c r="BI274" s="23" t="str">
        <f t="shared" si="279"/>
        <v/>
      </c>
      <c r="BJ274" s="23" t="str">
        <f t="shared" si="279"/>
        <v/>
      </c>
      <c r="BK274" s="23" t="str">
        <f t="shared" si="279"/>
        <v/>
      </c>
      <c r="BL274" s="23" t="str">
        <f t="shared" si="279"/>
        <v/>
      </c>
      <c r="BM274" s="23" t="str">
        <f t="shared" si="279"/>
        <v/>
      </c>
      <c r="BN274" s="23" t="str">
        <f t="shared" si="279"/>
        <v/>
      </c>
      <c r="BO274" s="23" t="str">
        <f t="shared" si="279"/>
        <v/>
      </c>
      <c r="BP274" s="23" t="str">
        <f t="shared" si="279"/>
        <v/>
      </c>
      <c r="BQ274" s="23" t="str">
        <f t="shared" si="279"/>
        <v/>
      </c>
      <c r="BR274" s="23" t="str">
        <f t="shared" si="279"/>
        <v/>
      </c>
      <c r="BS274" s="23" t="str">
        <f t="shared" si="279"/>
        <v/>
      </c>
      <c r="BU274" s="29" t="s">
        <v>800</v>
      </c>
    </row>
    <row r="275" spans="1:73" ht="34" outlineLevel="1" x14ac:dyDescent="0.2">
      <c r="A275" s="6" t="s">
        <v>801</v>
      </c>
      <c r="B275" s="25" t="s">
        <v>802</v>
      </c>
      <c r="C275" s="6" t="s">
        <v>57</v>
      </c>
      <c r="D275" s="24" t="s">
        <v>128</v>
      </c>
      <c r="F275" s="6"/>
      <c r="G275" s="22">
        <v>8</v>
      </c>
      <c r="H275" s="22">
        <v>2</v>
      </c>
      <c r="I275" s="22">
        <f>MEDIAN($I$273,$J$273,$I$273+ROUND((G275-$G$273)/$H$273*($J$273-$I$273+1),0))</f>
        <v>8</v>
      </c>
      <c r="J275" s="22">
        <f>MEDIAN(I275,$J$273,$I$273+ROUND((G275+H275-$G$273)/$H$273*($J$273-$I$273+1),0)-1)</f>
        <v>9</v>
      </c>
      <c r="K275" s="23" t="str">
        <f t="shared" si="274"/>
        <v/>
      </c>
      <c r="L275" s="23" t="str">
        <f t="shared" si="274"/>
        <v/>
      </c>
      <c r="M275" s="23" t="str">
        <f t="shared" si="274"/>
        <v/>
      </c>
      <c r="N275" s="23" t="str">
        <f t="shared" si="274"/>
        <v/>
      </c>
      <c r="O275" s="23" t="str">
        <f t="shared" si="274"/>
        <v/>
      </c>
      <c r="P275" s="23" t="str">
        <f t="shared" si="274"/>
        <v/>
      </c>
      <c r="Q275" s="23" t="str">
        <f t="shared" si="274"/>
        <v/>
      </c>
      <c r="R275" s="23">
        <f t="shared" si="274"/>
        <v>1</v>
      </c>
      <c r="S275" s="23">
        <f t="shared" si="274"/>
        <v>1</v>
      </c>
      <c r="T275" s="23" t="str">
        <f t="shared" si="274"/>
        <v/>
      </c>
      <c r="U275" s="23" t="str">
        <f t="shared" si="275"/>
        <v/>
      </c>
      <c r="V275" s="23" t="str">
        <f t="shared" si="275"/>
        <v/>
      </c>
      <c r="W275" s="23" t="str">
        <f t="shared" si="275"/>
        <v/>
      </c>
      <c r="X275" s="23" t="str">
        <f t="shared" si="275"/>
        <v/>
      </c>
      <c r="Y275" s="23" t="str">
        <f t="shared" si="275"/>
        <v/>
      </c>
      <c r="Z275" s="23" t="str">
        <f t="shared" si="275"/>
        <v/>
      </c>
      <c r="AA275" s="23" t="str">
        <f t="shared" si="275"/>
        <v/>
      </c>
      <c r="AB275" s="23" t="str">
        <f t="shared" si="275"/>
        <v/>
      </c>
      <c r="AC275" s="23" t="str">
        <f t="shared" si="275"/>
        <v/>
      </c>
      <c r="AD275" s="23" t="str">
        <f t="shared" si="275"/>
        <v/>
      </c>
      <c r="AE275" s="23" t="str">
        <f t="shared" si="276"/>
        <v/>
      </c>
      <c r="AF275" s="23" t="str">
        <f t="shared" si="276"/>
        <v/>
      </c>
      <c r="AG275" s="23" t="str">
        <f t="shared" si="276"/>
        <v/>
      </c>
      <c r="AH275" s="23" t="str">
        <f t="shared" si="276"/>
        <v/>
      </c>
      <c r="AI275" s="23" t="str">
        <f t="shared" si="276"/>
        <v/>
      </c>
      <c r="AJ275" s="23" t="str">
        <f t="shared" si="276"/>
        <v/>
      </c>
      <c r="AK275" s="23" t="str">
        <f t="shared" si="276"/>
        <v/>
      </c>
      <c r="AL275" s="23" t="str">
        <f t="shared" si="276"/>
        <v/>
      </c>
      <c r="AM275" s="23" t="str">
        <f t="shared" si="276"/>
        <v/>
      </c>
      <c r="AN275" s="23" t="str">
        <f t="shared" si="276"/>
        <v/>
      </c>
      <c r="AO275" s="23" t="str">
        <f t="shared" si="277"/>
        <v/>
      </c>
      <c r="AP275" s="23" t="str">
        <f t="shared" si="277"/>
        <v/>
      </c>
      <c r="AQ275" s="23" t="str">
        <f t="shared" si="277"/>
        <v/>
      </c>
      <c r="AR275" s="23" t="str">
        <f t="shared" si="277"/>
        <v/>
      </c>
      <c r="AS275" s="23" t="str">
        <f t="shared" si="277"/>
        <v/>
      </c>
      <c r="AT275" s="23" t="str">
        <f t="shared" si="277"/>
        <v/>
      </c>
      <c r="AU275" s="23" t="str">
        <f t="shared" si="277"/>
        <v/>
      </c>
      <c r="AV275" s="23" t="str">
        <f t="shared" si="277"/>
        <v/>
      </c>
      <c r="AW275" s="23" t="str">
        <f t="shared" si="277"/>
        <v/>
      </c>
      <c r="AX275" s="23" t="str">
        <f t="shared" si="277"/>
        <v/>
      </c>
      <c r="AY275" s="23" t="str">
        <f t="shared" si="278"/>
        <v/>
      </c>
      <c r="AZ275" s="23" t="str">
        <f t="shared" si="278"/>
        <v/>
      </c>
      <c r="BA275" s="23" t="str">
        <f t="shared" si="278"/>
        <v/>
      </c>
      <c r="BB275" s="23" t="str">
        <f t="shared" si="278"/>
        <v/>
      </c>
      <c r="BC275" s="23" t="str">
        <f t="shared" si="278"/>
        <v/>
      </c>
      <c r="BD275" s="23" t="str">
        <f t="shared" si="278"/>
        <v/>
      </c>
      <c r="BE275" s="23" t="str">
        <f t="shared" si="278"/>
        <v/>
      </c>
      <c r="BF275" s="23" t="str">
        <f t="shared" si="278"/>
        <v/>
      </c>
      <c r="BG275" s="23" t="str">
        <f t="shared" si="278"/>
        <v/>
      </c>
      <c r="BH275" s="23" t="str">
        <f t="shared" si="278"/>
        <v/>
      </c>
      <c r="BI275" s="23" t="str">
        <f t="shared" si="279"/>
        <v/>
      </c>
      <c r="BJ275" s="23" t="str">
        <f t="shared" si="279"/>
        <v/>
      </c>
      <c r="BK275" s="23" t="str">
        <f t="shared" si="279"/>
        <v/>
      </c>
      <c r="BL275" s="23" t="str">
        <f t="shared" si="279"/>
        <v/>
      </c>
      <c r="BM275" s="23" t="str">
        <f t="shared" si="279"/>
        <v/>
      </c>
      <c r="BN275" s="23" t="str">
        <f t="shared" si="279"/>
        <v/>
      </c>
      <c r="BO275" s="23" t="str">
        <f t="shared" si="279"/>
        <v/>
      </c>
      <c r="BP275" s="23" t="str">
        <f t="shared" si="279"/>
        <v/>
      </c>
      <c r="BQ275" s="23" t="str">
        <f t="shared" si="279"/>
        <v/>
      </c>
      <c r="BR275" s="23" t="str">
        <f t="shared" si="279"/>
        <v/>
      </c>
      <c r="BS275" s="23" t="str">
        <f t="shared" si="279"/>
        <v/>
      </c>
      <c r="BU275" s="29" t="s">
        <v>803</v>
      </c>
    </row>
    <row r="276" spans="1:73" x14ac:dyDescent="0.2">
      <c r="BU276" s="30"/>
    </row>
    <row r="277" spans="1:73" ht="34" x14ac:dyDescent="0.2">
      <c r="A277" s="19" t="s">
        <v>804</v>
      </c>
      <c r="B277" s="20" t="s">
        <v>805</v>
      </c>
      <c r="C277" s="19" t="s">
        <v>57</v>
      </c>
      <c r="D277" s="21" t="s">
        <v>128</v>
      </c>
      <c r="E277" s="19"/>
      <c r="F277" s="19" t="s">
        <v>795</v>
      </c>
      <c r="G277" s="22">
        <v>10</v>
      </c>
      <c r="H277" s="22">
        <v>6</v>
      </c>
      <c r="I277" s="22">
        <f>MIN(61,IF(G277&lt;=29,ROUND((G277-1)*(29+SlipWeeks)/29,0)+1,G277+SlipWeeks))</f>
        <v>10</v>
      </c>
      <c r="J277" s="22">
        <f>MIN(61,IF(G277+H277-1&lt;=29,MAX(ROUND((G277+H277-1)*(29+SlipWeeks)/29,0),I277),G277+H277-1+SlipWeeks))</f>
        <v>15</v>
      </c>
      <c r="K277" s="23" t="str">
        <f t="shared" ref="K277:T279" si="280">IF(AND(K$4&gt;=$I277,K$4&lt;=$J277),1,"")</f>
        <v/>
      </c>
      <c r="L277" s="23" t="str">
        <f t="shared" si="280"/>
        <v/>
      </c>
      <c r="M277" s="23" t="str">
        <f t="shared" si="280"/>
        <v/>
      </c>
      <c r="N277" s="23" t="str">
        <f t="shared" si="280"/>
        <v/>
      </c>
      <c r="O277" s="23" t="str">
        <f t="shared" si="280"/>
        <v/>
      </c>
      <c r="P277" s="23" t="str">
        <f t="shared" si="280"/>
        <v/>
      </c>
      <c r="Q277" s="23" t="str">
        <f t="shared" si="280"/>
        <v/>
      </c>
      <c r="R277" s="23" t="str">
        <f t="shared" si="280"/>
        <v/>
      </c>
      <c r="S277" s="23" t="str">
        <f t="shared" si="280"/>
        <v/>
      </c>
      <c r="T277" s="23">
        <f t="shared" si="280"/>
        <v>1</v>
      </c>
      <c r="U277" s="23">
        <f t="shared" ref="U277:AD279" si="281">IF(AND(U$4&gt;=$I277,U$4&lt;=$J277),1,"")</f>
        <v>1</v>
      </c>
      <c r="V277" s="23">
        <f t="shared" si="281"/>
        <v>1</v>
      </c>
      <c r="W277" s="23">
        <f t="shared" si="281"/>
        <v>1</v>
      </c>
      <c r="X277" s="23">
        <f t="shared" si="281"/>
        <v>1</v>
      </c>
      <c r="Y277" s="23">
        <f t="shared" si="281"/>
        <v>1</v>
      </c>
      <c r="Z277" s="23" t="str">
        <f t="shared" si="281"/>
        <v/>
      </c>
      <c r="AA277" s="23" t="str">
        <f t="shared" si="281"/>
        <v/>
      </c>
      <c r="AB277" s="23" t="str">
        <f t="shared" si="281"/>
        <v/>
      </c>
      <c r="AC277" s="23" t="str">
        <f t="shared" si="281"/>
        <v/>
      </c>
      <c r="AD277" s="23" t="str">
        <f t="shared" si="281"/>
        <v/>
      </c>
      <c r="AE277" s="23" t="str">
        <f t="shared" ref="AE277:AN279" si="282">IF(AND(AE$4&gt;=$I277,AE$4&lt;=$J277),1,"")</f>
        <v/>
      </c>
      <c r="AF277" s="23" t="str">
        <f t="shared" si="282"/>
        <v/>
      </c>
      <c r="AG277" s="23" t="str">
        <f t="shared" si="282"/>
        <v/>
      </c>
      <c r="AH277" s="23" t="str">
        <f t="shared" si="282"/>
        <v/>
      </c>
      <c r="AI277" s="23" t="str">
        <f t="shared" si="282"/>
        <v/>
      </c>
      <c r="AJ277" s="23" t="str">
        <f t="shared" si="282"/>
        <v/>
      </c>
      <c r="AK277" s="23" t="str">
        <f t="shared" si="282"/>
        <v/>
      </c>
      <c r="AL277" s="23" t="str">
        <f t="shared" si="282"/>
        <v/>
      </c>
      <c r="AM277" s="23" t="str">
        <f t="shared" si="282"/>
        <v/>
      </c>
      <c r="AN277" s="23" t="str">
        <f t="shared" si="282"/>
        <v/>
      </c>
      <c r="AO277" s="23" t="str">
        <f t="shared" ref="AO277:AX279" si="283">IF(AND(AO$4&gt;=$I277,AO$4&lt;=$J277),1,"")</f>
        <v/>
      </c>
      <c r="AP277" s="23" t="str">
        <f t="shared" si="283"/>
        <v/>
      </c>
      <c r="AQ277" s="23" t="str">
        <f t="shared" si="283"/>
        <v/>
      </c>
      <c r="AR277" s="23" t="str">
        <f t="shared" si="283"/>
        <v/>
      </c>
      <c r="AS277" s="23" t="str">
        <f t="shared" si="283"/>
        <v/>
      </c>
      <c r="AT277" s="23" t="str">
        <f t="shared" si="283"/>
        <v/>
      </c>
      <c r="AU277" s="23" t="str">
        <f t="shared" si="283"/>
        <v/>
      </c>
      <c r="AV277" s="23" t="str">
        <f t="shared" si="283"/>
        <v/>
      </c>
      <c r="AW277" s="23" t="str">
        <f t="shared" si="283"/>
        <v/>
      </c>
      <c r="AX277" s="23" t="str">
        <f t="shared" si="283"/>
        <v/>
      </c>
      <c r="AY277" s="23" t="str">
        <f t="shared" ref="AY277:BH279" si="284">IF(AND(AY$4&gt;=$I277,AY$4&lt;=$J277),1,"")</f>
        <v/>
      </c>
      <c r="AZ277" s="23" t="str">
        <f t="shared" si="284"/>
        <v/>
      </c>
      <c r="BA277" s="23" t="str">
        <f t="shared" si="284"/>
        <v/>
      </c>
      <c r="BB277" s="23" t="str">
        <f t="shared" si="284"/>
        <v/>
      </c>
      <c r="BC277" s="23" t="str">
        <f t="shared" si="284"/>
        <v/>
      </c>
      <c r="BD277" s="23" t="str">
        <f t="shared" si="284"/>
        <v/>
      </c>
      <c r="BE277" s="23" t="str">
        <f t="shared" si="284"/>
        <v/>
      </c>
      <c r="BF277" s="23" t="str">
        <f t="shared" si="284"/>
        <v/>
      </c>
      <c r="BG277" s="23" t="str">
        <f t="shared" si="284"/>
        <v/>
      </c>
      <c r="BH277" s="23" t="str">
        <f t="shared" si="284"/>
        <v/>
      </c>
      <c r="BI277" s="23" t="str">
        <f t="shared" ref="BI277:BS279" si="285">IF(AND(BI$4&gt;=$I277,BI$4&lt;=$J277),1,"")</f>
        <v/>
      </c>
      <c r="BJ277" s="23" t="str">
        <f t="shared" si="285"/>
        <v/>
      </c>
      <c r="BK277" s="23" t="str">
        <f t="shared" si="285"/>
        <v/>
      </c>
      <c r="BL277" s="23" t="str">
        <f t="shared" si="285"/>
        <v/>
      </c>
      <c r="BM277" s="23" t="str">
        <f t="shared" si="285"/>
        <v/>
      </c>
      <c r="BN277" s="23" t="str">
        <f t="shared" si="285"/>
        <v/>
      </c>
      <c r="BO277" s="23" t="str">
        <f t="shared" si="285"/>
        <v/>
      </c>
      <c r="BP277" s="23" t="str">
        <f t="shared" si="285"/>
        <v/>
      </c>
      <c r="BQ277" s="23" t="str">
        <f t="shared" si="285"/>
        <v/>
      </c>
      <c r="BR277" s="23" t="str">
        <f t="shared" si="285"/>
        <v/>
      </c>
      <c r="BS277" s="23" t="str">
        <f t="shared" si="285"/>
        <v/>
      </c>
      <c r="BT277" s="24" t="str">
        <f>IF(IF(G277+H277-1&lt;=29,MAX(ROUND((G277+H277-1)*(29+SlipWeeks)/29,0),$I277),G277+H277-1+SlipWeeks)&gt;61,"▶ clipped","")</f>
        <v/>
      </c>
      <c r="BU277" s="29" t="s">
        <v>806</v>
      </c>
    </row>
    <row r="278" spans="1:73" ht="34" outlineLevel="1" x14ac:dyDescent="0.2">
      <c r="A278" s="6" t="s">
        <v>807</v>
      </c>
      <c r="B278" s="25" t="s">
        <v>808</v>
      </c>
      <c r="C278" s="6" t="s">
        <v>57</v>
      </c>
      <c r="D278" s="24" t="s">
        <v>128</v>
      </c>
      <c r="F278" s="6"/>
      <c r="G278" s="22">
        <v>10</v>
      </c>
      <c r="H278" s="22">
        <v>3</v>
      </c>
      <c r="I278" s="22">
        <f>MEDIAN($I$277,$J$277,$I$277+ROUND((G278-$G$277)/$H$277*($J$277-$I$277+1),0))</f>
        <v>10</v>
      </c>
      <c r="J278" s="22">
        <f>MEDIAN(I278,$J$277,$I$277+ROUND((G278+H278-$G$277)/$H$277*($J$277-$I$277+1),0)-1)</f>
        <v>12</v>
      </c>
      <c r="K278" s="23" t="str">
        <f t="shared" si="280"/>
        <v/>
      </c>
      <c r="L278" s="23" t="str">
        <f t="shared" si="280"/>
        <v/>
      </c>
      <c r="M278" s="23" t="str">
        <f t="shared" si="280"/>
        <v/>
      </c>
      <c r="N278" s="23" t="str">
        <f t="shared" si="280"/>
        <v/>
      </c>
      <c r="O278" s="23" t="str">
        <f t="shared" si="280"/>
        <v/>
      </c>
      <c r="P278" s="23" t="str">
        <f t="shared" si="280"/>
        <v/>
      </c>
      <c r="Q278" s="23" t="str">
        <f t="shared" si="280"/>
        <v/>
      </c>
      <c r="R278" s="23" t="str">
        <f t="shared" si="280"/>
        <v/>
      </c>
      <c r="S278" s="23" t="str">
        <f t="shared" si="280"/>
        <v/>
      </c>
      <c r="T278" s="23">
        <f t="shared" si="280"/>
        <v>1</v>
      </c>
      <c r="U278" s="23">
        <f t="shared" si="281"/>
        <v>1</v>
      </c>
      <c r="V278" s="23">
        <f t="shared" si="281"/>
        <v>1</v>
      </c>
      <c r="W278" s="23" t="str">
        <f t="shared" si="281"/>
        <v/>
      </c>
      <c r="X278" s="23" t="str">
        <f t="shared" si="281"/>
        <v/>
      </c>
      <c r="Y278" s="23" t="str">
        <f t="shared" si="281"/>
        <v/>
      </c>
      <c r="Z278" s="23" t="str">
        <f t="shared" si="281"/>
        <v/>
      </c>
      <c r="AA278" s="23" t="str">
        <f t="shared" si="281"/>
        <v/>
      </c>
      <c r="AB278" s="23" t="str">
        <f t="shared" si="281"/>
        <v/>
      </c>
      <c r="AC278" s="23" t="str">
        <f t="shared" si="281"/>
        <v/>
      </c>
      <c r="AD278" s="23" t="str">
        <f t="shared" si="281"/>
        <v/>
      </c>
      <c r="AE278" s="23" t="str">
        <f t="shared" si="282"/>
        <v/>
      </c>
      <c r="AF278" s="23" t="str">
        <f t="shared" si="282"/>
        <v/>
      </c>
      <c r="AG278" s="23" t="str">
        <f t="shared" si="282"/>
        <v/>
      </c>
      <c r="AH278" s="23" t="str">
        <f t="shared" si="282"/>
        <v/>
      </c>
      <c r="AI278" s="23" t="str">
        <f t="shared" si="282"/>
        <v/>
      </c>
      <c r="AJ278" s="23" t="str">
        <f t="shared" si="282"/>
        <v/>
      </c>
      <c r="AK278" s="23" t="str">
        <f t="shared" si="282"/>
        <v/>
      </c>
      <c r="AL278" s="23" t="str">
        <f t="shared" si="282"/>
        <v/>
      </c>
      <c r="AM278" s="23" t="str">
        <f t="shared" si="282"/>
        <v/>
      </c>
      <c r="AN278" s="23" t="str">
        <f t="shared" si="282"/>
        <v/>
      </c>
      <c r="AO278" s="23" t="str">
        <f t="shared" si="283"/>
        <v/>
      </c>
      <c r="AP278" s="23" t="str">
        <f t="shared" si="283"/>
        <v/>
      </c>
      <c r="AQ278" s="23" t="str">
        <f t="shared" si="283"/>
        <v/>
      </c>
      <c r="AR278" s="23" t="str">
        <f t="shared" si="283"/>
        <v/>
      </c>
      <c r="AS278" s="23" t="str">
        <f t="shared" si="283"/>
        <v/>
      </c>
      <c r="AT278" s="23" t="str">
        <f t="shared" si="283"/>
        <v/>
      </c>
      <c r="AU278" s="23" t="str">
        <f t="shared" si="283"/>
        <v/>
      </c>
      <c r="AV278" s="23" t="str">
        <f t="shared" si="283"/>
        <v/>
      </c>
      <c r="AW278" s="23" t="str">
        <f t="shared" si="283"/>
        <v/>
      </c>
      <c r="AX278" s="23" t="str">
        <f t="shared" si="283"/>
        <v/>
      </c>
      <c r="AY278" s="23" t="str">
        <f t="shared" si="284"/>
        <v/>
      </c>
      <c r="AZ278" s="23" t="str">
        <f t="shared" si="284"/>
        <v/>
      </c>
      <c r="BA278" s="23" t="str">
        <f t="shared" si="284"/>
        <v/>
      </c>
      <c r="BB278" s="23" t="str">
        <f t="shared" si="284"/>
        <v/>
      </c>
      <c r="BC278" s="23" t="str">
        <f t="shared" si="284"/>
        <v/>
      </c>
      <c r="BD278" s="23" t="str">
        <f t="shared" si="284"/>
        <v/>
      </c>
      <c r="BE278" s="23" t="str">
        <f t="shared" si="284"/>
        <v/>
      </c>
      <c r="BF278" s="23" t="str">
        <f t="shared" si="284"/>
        <v/>
      </c>
      <c r="BG278" s="23" t="str">
        <f t="shared" si="284"/>
        <v/>
      </c>
      <c r="BH278" s="23" t="str">
        <f t="shared" si="284"/>
        <v/>
      </c>
      <c r="BI278" s="23" t="str">
        <f t="shared" si="285"/>
        <v/>
      </c>
      <c r="BJ278" s="23" t="str">
        <f t="shared" si="285"/>
        <v/>
      </c>
      <c r="BK278" s="23" t="str">
        <f t="shared" si="285"/>
        <v/>
      </c>
      <c r="BL278" s="23" t="str">
        <f t="shared" si="285"/>
        <v/>
      </c>
      <c r="BM278" s="23" t="str">
        <f t="shared" si="285"/>
        <v/>
      </c>
      <c r="BN278" s="23" t="str">
        <f t="shared" si="285"/>
        <v/>
      </c>
      <c r="BO278" s="23" t="str">
        <f t="shared" si="285"/>
        <v/>
      </c>
      <c r="BP278" s="23" t="str">
        <f t="shared" si="285"/>
        <v/>
      </c>
      <c r="BQ278" s="23" t="str">
        <f t="shared" si="285"/>
        <v/>
      </c>
      <c r="BR278" s="23" t="str">
        <f t="shared" si="285"/>
        <v/>
      </c>
      <c r="BS278" s="23" t="str">
        <f t="shared" si="285"/>
        <v/>
      </c>
      <c r="BU278" s="29" t="s">
        <v>809</v>
      </c>
    </row>
    <row r="279" spans="1:73" ht="17" outlineLevel="1" x14ac:dyDescent="0.2">
      <c r="A279" s="6" t="s">
        <v>810</v>
      </c>
      <c r="B279" s="25" t="s">
        <v>811</v>
      </c>
      <c r="C279" s="6" t="s">
        <v>57</v>
      </c>
      <c r="D279" s="24" t="s">
        <v>128</v>
      </c>
      <c r="F279" s="6"/>
      <c r="G279" s="22">
        <v>13</v>
      </c>
      <c r="H279" s="22">
        <v>3</v>
      </c>
      <c r="I279" s="22">
        <f>MEDIAN($I$277,$J$277,$I$277+ROUND((G279-$G$277)/$H$277*($J$277-$I$277+1),0))</f>
        <v>13</v>
      </c>
      <c r="J279" s="22">
        <f>MEDIAN(I279,$J$277,$I$277+ROUND((G279+H279-$G$277)/$H$277*($J$277-$I$277+1),0)-1)</f>
        <v>15</v>
      </c>
      <c r="K279" s="23" t="str">
        <f t="shared" si="280"/>
        <v/>
      </c>
      <c r="L279" s="23" t="str">
        <f t="shared" si="280"/>
        <v/>
      </c>
      <c r="M279" s="23" t="str">
        <f t="shared" si="280"/>
        <v/>
      </c>
      <c r="N279" s="23" t="str">
        <f t="shared" si="280"/>
        <v/>
      </c>
      <c r="O279" s="23" t="str">
        <f t="shared" si="280"/>
        <v/>
      </c>
      <c r="P279" s="23" t="str">
        <f t="shared" si="280"/>
        <v/>
      </c>
      <c r="Q279" s="23" t="str">
        <f t="shared" si="280"/>
        <v/>
      </c>
      <c r="R279" s="23" t="str">
        <f t="shared" si="280"/>
        <v/>
      </c>
      <c r="S279" s="23" t="str">
        <f t="shared" si="280"/>
        <v/>
      </c>
      <c r="T279" s="23" t="str">
        <f t="shared" si="280"/>
        <v/>
      </c>
      <c r="U279" s="23" t="str">
        <f t="shared" si="281"/>
        <v/>
      </c>
      <c r="V279" s="23" t="str">
        <f t="shared" si="281"/>
        <v/>
      </c>
      <c r="W279" s="23">
        <f t="shared" si="281"/>
        <v>1</v>
      </c>
      <c r="X279" s="23">
        <f t="shared" si="281"/>
        <v>1</v>
      </c>
      <c r="Y279" s="23">
        <f t="shared" si="281"/>
        <v>1</v>
      </c>
      <c r="Z279" s="23" t="str">
        <f t="shared" si="281"/>
        <v/>
      </c>
      <c r="AA279" s="23" t="str">
        <f t="shared" si="281"/>
        <v/>
      </c>
      <c r="AB279" s="23" t="str">
        <f t="shared" si="281"/>
        <v/>
      </c>
      <c r="AC279" s="23" t="str">
        <f t="shared" si="281"/>
        <v/>
      </c>
      <c r="AD279" s="23" t="str">
        <f t="shared" si="281"/>
        <v/>
      </c>
      <c r="AE279" s="23" t="str">
        <f t="shared" si="282"/>
        <v/>
      </c>
      <c r="AF279" s="23" t="str">
        <f t="shared" si="282"/>
        <v/>
      </c>
      <c r="AG279" s="23" t="str">
        <f t="shared" si="282"/>
        <v/>
      </c>
      <c r="AH279" s="23" t="str">
        <f t="shared" si="282"/>
        <v/>
      </c>
      <c r="AI279" s="23" t="str">
        <f t="shared" si="282"/>
        <v/>
      </c>
      <c r="AJ279" s="23" t="str">
        <f t="shared" si="282"/>
        <v/>
      </c>
      <c r="AK279" s="23" t="str">
        <f t="shared" si="282"/>
        <v/>
      </c>
      <c r="AL279" s="23" t="str">
        <f t="shared" si="282"/>
        <v/>
      </c>
      <c r="AM279" s="23" t="str">
        <f t="shared" si="282"/>
        <v/>
      </c>
      <c r="AN279" s="23" t="str">
        <f t="shared" si="282"/>
        <v/>
      </c>
      <c r="AO279" s="23" t="str">
        <f t="shared" si="283"/>
        <v/>
      </c>
      <c r="AP279" s="23" t="str">
        <f t="shared" si="283"/>
        <v/>
      </c>
      <c r="AQ279" s="23" t="str">
        <f t="shared" si="283"/>
        <v/>
      </c>
      <c r="AR279" s="23" t="str">
        <f t="shared" si="283"/>
        <v/>
      </c>
      <c r="AS279" s="23" t="str">
        <f t="shared" si="283"/>
        <v/>
      </c>
      <c r="AT279" s="23" t="str">
        <f t="shared" si="283"/>
        <v/>
      </c>
      <c r="AU279" s="23" t="str">
        <f t="shared" si="283"/>
        <v/>
      </c>
      <c r="AV279" s="23" t="str">
        <f t="shared" si="283"/>
        <v/>
      </c>
      <c r="AW279" s="23" t="str">
        <f t="shared" si="283"/>
        <v/>
      </c>
      <c r="AX279" s="23" t="str">
        <f t="shared" si="283"/>
        <v/>
      </c>
      <c r="AY279" s="23" t="str">
        <f t="shared" si="284"/>
        <v/>
      </c>
      <c r="AZ279" s="23" t="str">
        <f t="shared" si="284"/>
        <v/>
      </c>
      <c r="BA279" s="23" t="str">
        <f t="shared" si="284"/>
        <v/>
      </c>
      <c r="BB279" s="23" t="str">
        <f t="shared" si="284"/>
        <v/>
      </c>
      <c r="BC279" s="23" t="str">
        <f t="shared" si="284"/>
        <v/>
      </c>
      <c r="BD279" s="23" t="str">
        <f t="shared" si="284"/>
        <v/>
      </c>
      <c r="BE279" s="23" t="str">
        <f t="shared" si="284"/>
        <v/>
      </c>
      <c r="BF279" s="23" t="str">
        <f t="shared" si="284"/>
        <v/>
      </c>
      <c r="BG279" s="23" t="str">
        <f t="shared" si="284"/>
        <v/>
      </c>
      <c r="BH279" s="23" t="str">
        <f t="shared" si="284"/>
        <v/>
      </c>
      <c r="BI279" s="23" t="str">
        <f t="shared" si="285"/>
        <v/>
      </c>
      <c r="BJ279" s="23" t="str">
        <f t="shared" si="285"/>
        <v/>
      </c>
      <c r="BK279" s="23" t="str">
        <f t="shared" si="285"/>
        <v/>
      </c>
      <c r="BL279" s="23" t="str">
        <f t="shared" si="285"/>
        <v/>
      </c>
      <c r="BM279" s="23" t="str">
        <f t="shared" si="285"/>
        <v/>
      </c>
      <c r="BN279" s="23" t="str">
        <f t="shared" si="285"/>
        <v/>
      </c>
      <c r="BO279" s="23" t="str">
        <f t="shared" si="285"/>
        <v/>
      </c>
      <c r="BP279" s="23" t="str">
        <f t="shared" si="285"/>
        <v/>
      </c>
      <c r="BQ279" s="23" t="str">
        <f t="shared" si="285"/>
        <v/>
      </c>
      <c r="BR279" s="23" t="str">
        <f t="shared" si="285"/>
        <v/>
      </c>
      <c r="BS279" s="23" t="str">
        <f t="shared" si="285"/>
        <v/>
      </c>
      <c r="BU279" s="29" t="s">
        <v>812</v>
      </c>
    </row>
    <row r="280" spans="1:73" x14ac:dyDescent="0.2">
      <c r="BU280" s="30"/>
    </row>
    <row r="281" spans="1:73" ht="34" x14ac:dyDescent="0.2">
      <c r="A281" s="19" t="s">
        <v>813</v>
      </c>
      <c r="B281" s="20" t="s">
        <v>814</v>
      </c>
      <c r="C281" s="19" t="s">
        <v>55</v>
      </c>
      <c r="D281" s="21" t="s">
        <v>128</v>
      </c>
      <c r="E281" s="19"/>
      <c r="F281" s="19"/>
      <c r="G281" s="22">
        <v>6</v>
      </c>
      <c r="H281" s="22">
        <v>4</v>
      </c>
      <c r="I281" s="22">
        <f>MIN(61,IF(G281&lt;=29,ROUND((G281-1)*(29+SlipWeeks)/29,0)+1,G281+SlipWeeks))</f>
        <v>6</v>
      </c>
      <c r="J281" s="22">
        <f>MIN(61,IF(G281+H281-1&lt;=29,MAX(ROUND((G281+H281-1)*(29+SlipWeeks)/29,0),I281),G281+H281-1+SlipWeeks))</f>
        <v>9</v>
      </c>
      <c r="K281" s="23" t="str">
        <f t="shared" ref="K281:T284" si="286">IF(AND(K$4&gt;=$I281,K$4&lt;=$J281),1,"")</f>
        <v/>
      </c>
      <c r="L281" s="23" t="str">
        <f t="shared" si="286"/>
        <v/>
      </c>
      <c r="M281" s="23" t="str">
        <f t="shared" si="286"/>
        <v/>
      </c>
      <c r="N281" s="23" t="str">
        <f t="shared" si="286"/>
        <v/>
      </c>
      <c r="O281" s="23" t="str">
        <f t="shared" si="286"/>
        <v/>
      </c>
      <c r="P281" s="23">
        <f t="shared" si="286"/>
        <v>1</v>
      </c>
      <c r="Q281" s="23">
        <f t="shared" si="286"/>
        <v>1</v>
      </c>
      <c r="R281" s="23">
        <f t="shared" si="286"/>
        <v>1</v>
      </c>
      <c r="S281" s="23">
        <f t="shared" si="286"/>
        <v>1</v>
      </c>
      <c r="T281" s="23" t="str">
        <f t="shared" si="286"/>
        <v/>
      </c>
      <c r="U281" s="23" t="str">
        <f t="shared" ref="U281:AD284" si="287">IF(AND(U$4&gt;=$I281,U$4&lt;=$J281),1,"")</f>
        <v/>
      </c>
      <c r="V281" s="23" t="str">
        <f t="shared" si="287"/>
        <v/>
      </c>
      <c r="W281" s="23" t="str">
        <f t="shared" si="287"/>
        <v/>
      </c>
      <c r="X281" s="23" t="str">
        <f t="shared" si="287"/>
        <v/>
      </c>
      <c r="Y281" s="23" t="str">
        <f t="shared" si="287"/>
        <v/>
      </c>
      <c r="Z281" s="23" t="str">
        <f t="shared" si="287"/>
        <v/>
      </c>
      <c r="AA281" s="23" t="str">
        <f t="shared" si="287"/>
        <v/>
      </c>
      <c r="AB281" s="23" t="str">
        <f t="shared" si="287"/>
        <v/>
      </c>
      <c r="AC281" s="23" t="str">
        <f t="shared" si="287"/>
        <v/>
      </c>
      <c r="AD281" s="23" t="str">
        <f t="shared" si="287"/>
        <v/>
      </c>
      <c r="AE281" s="23" t="str">
        <f t="shared" ref="AE281:AN284" si="288">IF(AND(AE$4&gt;=$I281,AE$4&lt;=$J281),1,"")</f>
        <v/>
      </c>
      <c r="AF281" s="23" t="str">
        <f t="shared" si="288"/>
        <v/>
      </c>
      <c r="AG281" s="23" t="str">
        <f t="shared" si="288"/>
        <v/>
      </c>
      <c r="AH281" s="23" t="str">
        <f t="shared" si="288"/>
        <v/>
      </c>
      <c r="AI281" s="23" t="str">
        <f t="shared" si="288"/>
        <v/>
      </c>
      <c r="AJ281" s="23" t="str">
        <f t="shared" si="288"/>
        <v/>
      </c>
      <c r="AK281" s="23" t="str">
        <f t="shared" si="288"/>
        <v/>
      </c>
      <c r="AL281" s="23" t="str">
        <f t="shared" si="288"/>
        <v/>
      </c>
      <c r="AM281" s="23" t="str">
        <f t="shared" si="288"/>
        <v/>
      </c>
      <c r="AN281" s="23" t="str">
        <f t="shared" si="288"/>
        <v/>
      </c>
      <c r="AO281" s="23" t="str">
        <f t="shared" ref="AO281:AX284" si="289">IF(AND(AO$4&gt;=$I281,AO$4&lt;=$J281),1,"")</f>
        <v/>
      </c>
      <c r="AP281" s="23" t="str">
        <f t="shared" si="289"/>
        <v/>
      </c>
      <c r="AQ281" s="23" t="str">
        <f t="shared" si="289"/>
        <v/>
      </c>
      <c r="AR281" s="23" t="str">
        <f t="shared" si="289"/>
        <v/>
      </c>
      <c r="AS281" s="23" t="str">
        <f t="shared" si="289"/>
        <v/>
      </c>
      <c r="AT281" s="23" t="str">
        <f t="shared" si="289"/>
        <v/>
      </c>
      <c r="AU281" s="23" t="str">
        <f t="shared" si="289"/>
        <v/>
      </c>
      <c r="AV281" s="23" t="str">
        <f t="shared" si="289"/>
        <v/>
      </c>
      <c r="AW281" s="23" t="str">
        <f t="shared" si="289"/>
        <v/>
      </c>
      <c r="AX281" s="23" t="str">
        <f t="shared" si="289"/>
        <v/>
      </c>
      <c r="AY281" s="23" t="str">
        <f t="shared" ref="AY281:BH284" si="290">IF(AND(AY$4&gt;=$I281,AY$4&lt;=$J281),1,"")</f>
        <v/>
      </c>
      <c r="AZ281" s="23" t="str">
        <f t="shared" si="290"/>
        <v/>
      </c>
      <c r="BA281" s="23" t="str">
        <f t="shared" si="290"/>
        <v/>
      </c>
      <c r="BB281" s="23" t="str">
        <f t="shared" si="290"/>
        <v/>
      </c>
      <c r="BC281" s="23" t="str">
        <f t="shared" si="290"/>
        <v/>
      </c>
      <c r="BD281" s="23" t="str">
        <f t="shared" si="290"/>
        <v/>
      </c>
      <c r="BE281" s="23" t="str">
        <f t="shared" si="290"/>
        <v/>
      </c>
      <c r="BF281" s="23" t="str">
        <f t="shared" si="290"/>
        <v/>
      </c>
      <c r="BG281" s="23" t="str">
        <f t="shared" si="290"/>
        <v/>
      </c>
      <c r="BH281" s="23" t="str">
        <f t="shared" si="290"/>
        <v/>
      </c>
      <c r="BI281" s="23" t="str">
        <f t="shared" ref="BI281:BS284" si="291">IF(AND(BI$4&gt;=$I281,BI$4&lt;=$J281),1,"")</f>
        <v/>
      </c>
      <c r="BJ281" s="23" t="str">
        <f t="shared" si="291"/>
        <v/>
      </c>
      <c r="BK281" s="23" t="str">
        <f t="shared" si="291"/>
        <v/>
      </c>
      <c r="BL281" s="23" t="str">
        <f t="shared" si="291"/>
        <v/>
      </c>
      <c r="BM281" s="23" t="str">
        <f t="shared" si="291"/>
        <v/>
      </c>
      <c r="BN281" s="23" t="str">
        <f t="shared" si="291"/>
        <v/>
      </c>
      <c r="BO281" s="23" t="str">
        <f t="shared" si="291"/>
        <v/>
      </c>
      <c r="BP281" s="23" t="str">
        <f t="shared" si="291"/>
        <v/>
      </c>
      <c r="BQ281" s="23" t="str">
        <f t="shared" si="291"/>
        <v/>
      </c>
      <c r="BR281" s="23" t="str">
        <f t="shared" si="291"/>
        <v/>
      </c>
      <c r="BS281" s="23" t="str">
        <f t="shared" si="291"/>
        <v/>
      </c>
      <c r="BT281" s="24" t="str">
        <f>IF(IF(G281+H281-1&lt;=29,MAX(ROUND((G281+H281-1)*(29+SlipWeeks)/29,0),$I281),G281+H281-1+SlipWeeks)&gt;61,"▶ clipped","")</f>
        <v/>
      </c>
      <c r="BU281" s="29" t="s">
        <v>815</v>
      </c>
    </row>
    <row r="282" spans="1:73" ht="17" outlineLevel="1" x14ac:dyDescent="0.2">
      <c r="A282" s="6" t="s">
        <v>816</v>
      </c>
      <c r="B282" s="25" t="s">
        <v>817</v>
      </c>
      <c r="C282" s="6" t="s">
        <v>55</v>
      </c>
      <c r="D282" s="24" t="s">
        <v>128</v>
      </c>
      <c r="F282" s="6"/>
      <c r="G282" s="22">
        <v>6</v>
      </c>
      <c r="H282" s="22">
        <v>2</v>
      </c>
      <c r="I282" s="22">
        <f>MEDIAN($I$281,$J$281,$I$281+ROUND((G282-$G$281)/$H$281*($J$281-$I$281+1),0))</f>
        <v>6</v>
      </c>
      <c r="J282" s="22">
        <f>MEDIAN(I282,$J$281,$I$281+ROUND((G282+H282-$G$281)/$H$281*($J$281-$I$281+1),0)-1)</f>
        <v>7</v>
      </c>
      <c r="K282" s="23" t="str">
        <f t="shared" si="286"/>
        <v/>
      </c>
      <c r="L282" s="23" t="str">
        <f t="shared" si="286"/>
        <v/>
      </c>
      <c r="M282" s="23" t="str">
        <f t="shared" si="286"/>
        <v/>
      </c>
      <c r="N282" s="23" t="str">
        <f t="shared" si="286"/>
        <v/>
      </c>
      <c r="O282" s="23" t="str">
        <f t="shared" si="286"/>
        <v/>
      </c>
      <c r="P282" s="23">
        <f t="shared" si="286"/>
        <v>1</v>
      </c>
      <c r="Q282" s="23">
        <f t="shared" si="286"/>
        <v>1</v>
      </c>
      <c r="R282" s="23" t="str">
        <f t="shared" si="286"/>
        <v/>
      </c>
      <c r="S282" s="23" t="str">
        <f t="shared" si="286"/>
        <v/>
      </c>
      <c r="T282" s="23" t="str">
        <f t="shared" si="286"/>
        <v/>
      </c>
      <c r="U282" s="23" t="str">
        <f t="shared" si="287"/>
        <v/>
      </c>
      <c r="V282" s="23" t="str">
        <f t="shared" si="287"/>
        <v/>
      </c>
      <c r="W282" s="23" t="str">
        <f t="shared" si="287"/>
        <v/>
      </c>
      <c r="X282" s="23" t="str">
        <f t="shared" si="287"/>
        <v/>
      </c>
      <c r="Y282" s="23" t="str">
        <f t="shared" si="287"/>
        <v/>
      </c>
      <c r="Z282" s="23" t="str">
        <f t="shared" si="287"/>
        <v/>
      </c>
      <c r="AA282" s="23" t="str">
        <f t="shared" si="287"/>
        <v/>
      </c>
      <c r="AB282" s="23" t="str">
        <f t="shared" si="287"/>
        <v/>
      </c>
      <c r="AC282" s="23" t="str">
        <f t="shared" si="287"/>
        <v/>
      </c>
      <c r="AD282" s="23" t="str">
        <f t="shared" si="287"/>
        <v/>
      </c>
      <c r="AE282" s="23" t="str">
        <f t="shared" si="288"/>
        <v/>
      </c>
      <c r="AF282" s="23" t="str">
        <f t="shared" si="288"/>
        <v/>
      </c>
      <c r="AG282" s="23" t="str">
        <f t="shared" si="288"/>
        <v/>
      </c>
      <c r="AH282" s="23" t="str">
        <f t="shared" si="288"/>
        <v/>
      </c>
      <c r="AI282" s="23" t="str">
        <f t="shared" si="288"/>
        <v/>
      </c>
      <c r="AJ282" s="23" t="str">
        <f t="shared" si="288"/>
        <v/>
      </c>
      <c r="AK282" s="23" t="str">
        <f t="shared" si="288"/>
        <v/>
      </c>
      <c r="AL282" s="23" t="str">
        <f t="shared" si="288"/>
        <v/>
      </c>
      <c r="AM282" s="23" t="str">
        <f t="shared" si="288"/>
        <v/>
      </c>
      <c r="AN282" s="23" t="str">
        <f t="shared" si="288"/>
        <v/>
      </c>
      <c r="AO282" s="23" t="str">
        <f t="shared" si="289"/>
        <v/>
      </c>
      <c r="AP282" s="23" t="str">
        <f t="shared" si="289"/>
        <v/>
      </c>
      <c r="AQ282" s="23" t="str">
        <f t="shared" si="289"/>
        <v/>
      </c>
      <c r="AR282" s="23" t="str">
        <f t="shared" si="289"/>
        <v/>
      </c>
      <c r="AS282" s="23" t="str">
        <f t="shared" si="289"/>
        <v/>
      </c>
      <c r="AT282" s="23" t="str">
        <f t="shared" si="289"/>
        <v/>
      </c>
      <c r="AU282" s="23" t="str">
        <f t="shared" si="289"/>
        <v/>
      </c>
      <c r="AV282" s="23" t="str">
        <f t="shared" si="289"/>
        <v/>
      </c>
      <c r="AW282" s="23" t="str">
        <f t="shared" si="289"/>
        <v/>
      </c>
      <c r="AX282" s="23" t="str">
        <f t="shared" si="289"/>
        <v/>
      </c>
      <c r="AY282" s="23" t="str">
        <f t="shared" si="290"/>
        <v/>
      </c>
      <c r="AZ282" s="23" t="str">
        <f t="shared" si="290"/>
        <v/>
      </c>
      <c r="BA282" s="23" t="str">
        <f t="shared" si="290"/>
        <v/>
      </c>
      <c r="BB282" s="23" t="str">
        <f t="shared" si="290"/>
        <v/>
      </c>
      <c r="BC282" s="23" t="str">
        <f t="shared" si="290"/>
        <v/>
      </c>
      <c r="BD282" s="23" t="str">
        <f t="shared" si="290"/>
        <v/>
      </c>
      <c r="BE282" s="23" t="str">
        <f t="shared" si="290"/>
        <v/>
      </c>
      <c r="BF282" s="23" t="str">
        <f t="shared" si="290"/>
        <v/>
      </c>
      <c r="BG282" s="23" t="str">
        <f t="shared" si="290"/>
        <v/>
      </c>
      <c r="BH282" s="23" t="str">
        <f t="shared" si="290"/>
        <v/>
      </c>
      <c r="BI282" s="23" t="str">
        <f t="shared" si="291"/>
        <v/>
      </c>
      <c r="BJ282" s="23" t="str">
        <f t="shared" si="291"/>
        <v/>
      </c>
      <c r="BK282" s="23" t="str">
        <f t="shared" si="291"/>
        <v/>
      </c>
      <c r="BL282" s="23" t="str">
        <f t="shared" si="291"/>
        <v/>
      </c>
      <c r="BM282" s="23" t="str">
        <f t="shared" si="291"/>
        <v/>
      </c>
      <c r="BN282" s="23" t="str">
        <f t="shared" si="291"/>
        <v/>
      </c>
      <c r="BO282" s="23" t="str">
        <f t="shared" si="291"/>
        <v/>
      </c>
      <c r="BP282" s="23" t="str">
        <f t="shared" si="291"/>
        <v/>
      </c>
      <c r="BQ282" s="23" t="str">
        <f t="shared" si="291"/>
        <v/>
      </c>
      <c r="BR282" s="23" t="str">
        <f t="shared" si="291"/>
        <v/>
      </c>
      <c r="BS282" s="23" t="str">
        <f t="shared" si="291"/>
        <v/>
      </c>
      <c r="BU282" s="29" t="s">
        <v>818</v>
      </c>
    </row>
    <row r="283" spans="1:73" ht="17" outlineLevel="1" x14ac:dyDescent="0.2">
      <c r="A283" s="6" t="s">
        <v>819</v>
      </c>
      <c r="B283" s="25" t="s">
        <v>820</v>
      </c>
      <c r="C283" s="6" t="s">
        <v>55</v>
      </c>
      <c r="D283" s="24" t="s">
        <v>128</v>
      </c>
      <c r="F283" s="6"/>
      <c r="G283" s="22">
        <v>8</v>
      </c>
      <c r="H283" s="22">
        <v>1</v>
      </c>
      <c r="I283" s="22">
        <f>MEDIAN($I$281,$J$281,$I$281+ROUND((G283-$G$281)/$H$281*($J$281-$I$281+1),0))</f>
        <v>8</v>
      </c>
      <c r="J283" s="22">
        <f>MEDIAN(I283,$J$281,$I$281+ROUND((G283+H283-$G$281)/$H$281*($J$281-$I$281+1),0)-1)</f>
        <v>8</v>
      </c>
      <c r="K283" s="23" t="str">
        <f t="shared" si="286"/>
        <v/>
      </c>
      <c r="L283" s="23" t="str">
        <f t="shared" si="286"/>
        <v/>
      </c>
      <c r="M283" s="23" t="str">
        <f t="shared" si="286"/>
        <v/>
      </c>
      <c r="N283" s="23" t="str">
        <f t="shared" si="286"/>
        <v/>
      </c>
      <c r="O283" s="23" t="str">
        <f t="shared" si="286"/>
        <v/>
      </c>
      <c r="P283" s="23" t="str">
        <f t="shared" si="286"/>
        <v/>
      </c>
      <c r="Q283" s="23" t="str">
        <f t="shared" si="286"/>
        <v/>
      </c>
      <c r="R283" s="23">
        <f t="shared" si="286"/>
        <v>1</v>
      </c>
      <c r="S283" s="23" t="str">
        <f t="shared" si="286"/>
        <v/>
      </c>
      <c r="T283" s="23" t="str">
        <f t="shared" si="286"/>
        <v/>
      </c>
      <c r="U283" s="23" t="str">
        <f t="shared" si="287"/>
        <v/>
      </c>
      <c r="V283" s="23" t="str">
        <f t="shared" si="287"/>
        <v/>
      </c>
      <c r="W283" s="23" t="str">
        <f t="shared" si="287"/>
        <v/>
      </c>
      <c r="X283" s="23" t="str">
        <f t="shared" si="287"/>
        <v/>
      </c>
      <c r="Y283" s="23" t="str">
        <f t="shared" si="287"/>
        <v/>
      </c>
      <c r="Z283" s="23" t="str">
        <f t="shared" si="287"/>
        <v/>
      </c>
      <c r="AA283" s="23" t="str">
        <f t="shared" si="287"/>
        <v/>
      </c>
      <c r="AB283" s="23" t="str">
        <f t="shared" si="287"/>
        <v/>
      </c>
      <c r="AC283" s="23" t="str">
        <f t="shared" si="287"/>
        <v/>
      </c>
      <c r="AD283" s="23" t="str">
        <f t="shared" si="287"/>
        <v/>
      </c>
      <c r="AE283" s="23" t="str">
        <f t="shared" si="288"/>
        <v/>
      </c>
      <c r="AF283" s="23" t="str">
        <f t="shared" si="288"/>
        <v/>
      </c>
      <c r="AG283" s="23" t="str">
        <f t="shared" si="288"/>
        <v/>
      </c>
      <c r="AH283" s="23" t="str">
        <f t="shared" si="288"/>
        <v/>
      </c>
      <c r="AI283" s="23" t="str">
        <f t="shared" si="288"/>
        <v/>
      </c>
      <c r="AJ283" s="23" t="str">
        <f t="shared" si="288"/>
        <v/>
      </c>
      <c r="AK283" s="23" t="str">
        <f t="shared" si="288"/>
        <v/>
      </c>
      <c r="AL283" s="23" t="str">
        <f t="shared" si="288"/>
        <v/>
      </c>
      <c r="AM283" s="23" t="str">
        <f t="shared" si="288"/>
        <v/>
      </c>
      <c r="AN283" s="23" t="str">
        <f t="shared" si="288"/>
        <v/>
      </c>
      <c r="AO283" s="23" t="str">
        <f t="shared" si="289"/>
        <v/>
      </c>
      <c r="AP283" s="23" t="str">
        <f t="shared" si="289"/>
        <v/>
      </c>
      <c r="AQ283" s="23" t="str">
        <f t="shared" si="289"/>
        <v/>
      </c>
      <c r="AR283" s="23" t="str">
        <f t="shared" si="289"/>
        <v/>
      </c>
      <c r="AS283" s="23" t="str">
        <f t="shared" si="289"/>
        <v/>
      </c>
      <c r="AT283" s="23" t="str">
        <f t="shared" si="289"/>
        <v/>
      </c>
      <c r="AU283" s="23" t="str">
        <f t="shared" si="289"/>
        <v/>
      </c>
      <c r="AV283" s="23" t="str">
        <f t="shared" si="289"/>
        <v/>
      </c>
      <c r="AW283" s="23" t="str">
        <f t="shared" si="289"/>
        <v/>
      </c>
      <c r="AX283" s="23" t="str">
        <f t="shared" si="289"/>
        <v/>
      </c>
      <c r="AY283" s="23" t="str">
        <f t="shared" si="290"/>
        <v/>
      </c>
      <c r="AZ283" s="23" t="str">
        <f t="shared" si="290"/>
        <v/>
      </c>
      <c r="BA283" s="23" t="str">
        <f t="shared" si="290"/>
        <v/>
      </c>
      <c r="BB283" s="23" t="str">
        <f t="shared" si="290"/>
        <v/>
      </c>
      <c r="BC283" s="23" t="str">
        <f t="shared" si="290"/>
        <v/>
      </c>
      <c r="BD283" s="23" t="str">
        <f t="shared" si="290"/>
        <v/>
      </c>
      <c r="BE283" s="23" t="str">
        <f t="shared" si="290"/>
        <v/>
      </c>
      <c r="BF283" s="23" t="str">
        <f t="shared" si="290"/>
        <v/>
      </c>
      <c r="BG283" s="23" t="str">
        <f t="shared" si="290"/>
        <v/>
      </c>
      <c r="BH283" s="23" t="str">
        <f t="shared" si="290"/>
        <v/>
      </c>
      <c r="BI283" s="23" t="str">
        <f t="shared" si="291"/>
        <v/>
      </c>
      <c r="BJ283" s="23" t="str">
        <f t="shared" si="291"/>
        <v/>
      </c>
      <c r="BK283" s="23" t="str">
        <f t="shared" si="291"/>
        <v/>
      </c>
      <c r="BL283" s="23" t="str">
        <f t="shared" si="291"/>
        <v/>
      </c>
      <c r="BM283" s="23" t="str">
        <f t="shared" si="291"/>
        <v/>
      </c>
      <c r="BN283" s="23" t="str">
        <f t="shared" si="291"/>
        <v/>
      </c>
      <c r="BO283" s="23" t="str">
        <f t="shared" si="291"/>
        <v/>
      </c>
      <c r="BP283" s="23" t="str">
        <f t="shared" si="291"/>
        <v/>
      </c>
      <c r="BQ283" s="23" t="str">
        <f t="shared" si="291"/>
        <v/>
      </c>
      <c r="BR283" s="23" t="str">
        <f t="shared" si="291"/>
        <v/>
      </c>
      <c r="BS283" s="23" t="str">
        <f t="shared" si="291"/>
        <v/>
      </c>
      <c r="BU283" s="29" t="s">
        <v>818</v>
      </c>
    </row>
    <row r="284" spans="1:73" ht="17" outlineLevel="1" x14ac:dyDescent="0.2">
      <c r="A284" s="6" t="s">
        <v>821</v>
      </c>
      <c r="B284" s="25" t="s">
        <v>822</v>
      </c>
      <c r="C284" s="6" t="s">
        <v>55</v>
      </c>
      <c r="D284" s="24" t="s">
        <v>128</v>
      </c>
      <c r="F284" s="6"/>
      <c r="G284" s="22">
        <v>9</v>
      </c>
      <c r="H284" s="22">
        <v>1</v>
      </c>
      <c r="I284" s="22">
        <f>MEDIAN($I$281,$J$281,$I$281+ROUND((G284-$G$281)/$H$281*($J$281-$I$281+1),0))</f>
        <v>9</v>
      </c>
      <c r="J284" s="22">
        <f>MEDIAN(I284,$J$281,$I$281+ROUND((G284+H284-$G$281)/$H$281*($J$281-$I$281+1),0)-1)</f>
        <v>9</v>
      </c>
      <c r="K284" s="23" t="str">
        <f t="shared" si="286"/>
        <v/>
      </c>
      <c r="L284" s="23" t="str">
        <f t="shared" si="286"/>
        <v/>
      </c>
      <c r="M284" s="23" t="str">
        <f t="shared" si="286"/>
        <v/>
      </c>
      <c r="N284" s="23" t="str">
        <f t="shared" si="286"/>
        <v/>
      </c>
      <c r="O284" s="23" t="str">
        <f t="shared" si="286"/>
        <v/>
      </c>
      <c r="P284" s="23" t="str">
        <f t="shared" si="286"/>
        <v/>
      </c>
      <c r="Q284" s="23" t="str">
        <f t="shared" si="286"/>
        <v/>
      </c>
      <c r="R284" s="23" t="str">
        <f t="shared" si="286"/>
        <v/>
      </c>
      <c r="S284" s="23">
        <f t="shared" si="286"/>
        <v>1</v>
      </c>
      <c r="T284" s="23" t="str">
        <f t="shared" si="286"/>
        <v/>
      </c>
      <c r="U284" s="23" t="str">
        <f t="shared" si="287"/>
        <v/>
      </c>
      <c r="V284" s="23" t="str">
        <f t="shared" si="287"/>
        <v/>
      </c>
      <c r="W284" s="23" t="str">
        <f t="shared" si="287"/>
        <v/>
      </c>
      <c r="X284" s="23" t="str">
        <f t="shared" si="287"/>
        <v/>
      </c>
      <c r="Y284" s="23" t="str">
        <f t="shared" si="287"/>
        <v/>
      </c>
      <c r="Z284" s="23" t="str">
        <f t="shared" si="287"/>
        <v/>
      </c>
      <c r="AA284" s="23" t="str">
        <f t="shared" si="287"/>
        <v/>
      </c>
      <c r="AB284" s="23" t="str">
        <f t="shared" si="287"/>
        <v/>
      </c>
      <c r="AC284" s="23" t="str">
        <f t="shared" si="287"/>
        <v/>
      </c>
      <c r="AD284" s="23" t="str">
        <f t="shared" si="287"/>
        <v/>
      </c>
      <c r="AE284" s="23" t="str">
        <f t="shared" si="288"/>
        <v/>
      </c>
      <c r="AF284" s="23" t="str">
        <f t="shared" si="288"/>
        <v/>
      </c>
      <c r="AG284" s="23" t="str">
        <f t="shared" si="288"/>
        <v/>
      </c>
      <c r="AH284" s="23" t="str">
        <f t="shared" si="288"/>
        <v/>
      </c>
      <c r="AI284" s="23" t="str">
        <f t="shared" si="288"/>
        <v/>
      </c>
      <c r="AJ284" s="23" t="str">
        <f t="shared" si="288"/>
        <v/>
      </c>
      <c r="AK284" s="23" t="str">
        <f t="shared" si="288"/>
        <v/>
      </c>
      <c r="AL284" s="23" t="str">
        <f t="shared" si="288"/>
        <v/>
      </c>
      <c r="AM284" s="23" t="str">
        <f t="shared" si="288"/>
        <v/>
      </c>
      <c r="AN284" s="23" t="str">
        <f t="shared" si="288"/>
        <v/>
      </c>
      <c r="AO284" s="23" t="str">
        <f t="shared" si="289"/>
        <v/>
      </c>
      <c r="AP284" s="23" t="str">
        <f t="shared" si="289"/>
        <v/>
      </c>
      <c r="AQ284" s="23" t="str">
        <f t="shared" si="289"/>
        <v/>
      </c>
      <c r="AR284" s="23" t="str">
        <f t="shared" si="289"/>
        <v/>
      </c>
      <c r="AS284" s="23" t="str">
        <f t="shared" si="289"/>
        <v/>
      </c>
      <c r="AT284" s="23" t="str">
        <f t="shared" si="289"/>
        <v/>
      </c>
      <c r="AU284" s="23" t="str">
        <f t="shared" si="289"/>
        <v/>
      </c>
      <c r="AV284" s="23" t="str">
        <f t="shared" si="289"/>
        <v/>
      </c>
      <c r="AW284" s="23" t="str">
        <f t="shared" si="289"/>
        <v/>
      </c>
      <c r="AX284" s="23" t="str">
        <f t="shared" si="289"/>
        <v/>
      </c>
      <c r="AY284" s="23" t="str">
        <f t="shared" si="290"/>
        <v/>
      </c>
      <c r="AZ284" s="23" t="str">
        <f t="shared" si="290"/>
        <v/>
      </c>
      <c r="BA284" s="23" t="str">
        <f t="shared" si="290"/>
        <v/>
      </c>
      <c r="BB284" s="23" t="str">
        <f t="shared" si="290"/>
        <v/>
      </c>
      <c r="BC284" s="23" t="str">
        <f t="shared" si="290"/>
        <v/>
      </c>
      <c r="BD284" s="23" t="str">
        <f t="shared" si="290"/>
        <v/>
      </c>
      <c r="BE284" s="23" t="str">
        <f t="shared" si="290"/>
        <v/>
      </c>
      <c r="BF284" s="23" t="str">
        <f t="shared" si="290"/>
        <v/>
      </c>
      <c r="BG284" s="23" t="str">
        <f t="shared" si="290"/>
        <v/>
      </c>
      <c r="BH284" s="23" t="str">
        <f t="shared" si="290"/>
        <v/>
      </c>
      <c r="BI284" s="23" t="str">
        <f t="shared" si="291"/>
        <v/>
      </c>
      <c r="BJ284" s="23" t="str">
        <f t="shared" si="291"/>
        <v/>
      </c>
      <c r="BK284" s="23" t="str">
        <f t="shared" si="291"/>
        <v/>
      </c>
      <c r="BL284" s="23" t="str">
        <f t="shared" si="291"/>
        <v/>
      </c>
      <c r="BM284" s="23" t="str">
        <f t="shared" si="291"/>
        <v/>
      </c>
      <c r="BN284" s="23" t="str">
        <f t="shared" si="291"/>
        <v/>
      </c>
      <c r="BO284" s="23" t="str">
        <f t="shared" si="291"/>
        <v/>
      </c>
      <c r="BP284" s="23" t="str">
        <f t="shared" si="291"/>
        <v/>
      </c>
      <c r="BQ284" s="23" t="str">
        <f t="shared" si="291"/>
        <v/>
      </c>
      <c r="BR284" s="23" t="str">
        <f t="shared" si="291"/>
        <v/>
      </c>
      <c r="BS284" s="23" t="str">
        <f t="shared" si="291"/>
        <v/>
      </c>
      <c r="BU284" s="29" t="s">
        <v>818</v>
      </c>
    </row>
    <row r="285" spans="1:73" x14ac:dyDescent="0.2">
      <c r="BU285" s="30"/>
    </row>
    <row r="286" spans="1:73" ht="34" x14ac:dyDescent="0.2">
      <c r="A286" s="19" t="s">
        <v>823</v>
      </c>
      <c r="B286" s="20" t="s">
        <v>824</v>
      </c>
      <c r="C286" s="19" t="s">
        <v>55</v>
      </c>
      <c r="D286" s="21" t="s">
        <v>128</v>
      </c>
      <c r="E286" s="19" t="s">
        <v>73</v>
      </c>
      <c r="F286" s="19"/>
      <c r="G286" s="22">
        <v>7</v>
      </c>
      <c r="H286" s="22">
        <v>8</v>
      </c>
      <c r="I286" s="22">
        <f>MIN(61,IF(G286&lt;=29,ROUND((G286-1)*(29+SlipWeeks)/29,0)+1,G286+SlipWeeks))</f>
        <v>7</v>
      </c>
      <c r="J286" s="22">
        <f>MIN(61,IF(G286+H286-1&lt;=29,MAX(ROUND((G286+H286-1)*(29+SlipWeeks)/29,0),I286),G286+H286-1+SlipWeeks))</f>
        <v>14</v>
      </c>
      <c r="K286" s="23" t="str">
        <f t="shared" ref="K286:T289" si="292">IF(AND(K$4&gt;=$I286,K$4&lt;=$J286),1,"")</f>
        <v/>
      </c>
      <c r="L286" s="23" t="str">
        <f t="shared" si="292"/>
        <v/>
      </c>
      <c r="M286" s="23" t="str">
        <f t="shared" si="292"/>
        <v/>
      </c>
      <c r="N286" s="23" t="str">
        <f t="shared" si="292"/>
        <v/>
      </c>
      <c r="O286" s="23" t="str">
        <f t="shared" si="292"/>
        <v/>
      </c>
      <c r="P286" s="23" t="str">
        <f t="shared" si="292"/>
        <v/>
      </c>
      <c r="Q286" s="23">
        <f t="shared" si="292"/>
        <v>1</v>
      </c>
      <c r="R286" s="23">
        <f t="shared" si="292"/>
        <v>1</v>
      </c>
      <c r="S286" s="23">
        <f t="shared" si="292"/>
        <v>1</v>
      </c>
      <c r="T286" s="23">
        <f t="shared" si="292"/>
        <v>1</v>
      </c>
      <c r="U286" s="23">
        <f t="shared" ref="U286:AD289" si="293">IF(AND(U$4&gt;=$I286,U$4&lt;=$J286),1,"")</f>
        <v>1</v>
      </c>
      <c r="V286" s="23">
        <f t="shared" si="293"/>
        <v>1</v>
      </c>
      <c r="W286" s="23">
        <f t="shared" si="293"/>
        <v>1</v>
      </c>
      <c r="X286" s="23">
        <f t="shared" si="293"/>
        <v>1</v>
      </c>
      <c r="Y286" s="23" t="str">
        <f t="shared" si="293"/>
        <v/>
      </c>
      <c r="Z286" s="23" t="str">
        <f t="shared" si="293"/>
        <v/>
      </c>
      <c r="AA286" s="23" t="str">
        <f t="shared" si="293"/>
        <v/>
      </c>
      <c r="AB286" s="23" t="str">
        <f t="shared" si="293"/>
        <v/>
      </c>
      <c r="AC286" s="23" t="str">
        <f t="shared" si="293"/>
        <v/>
      </c>
      <c r="AD286" s="23" t="str">
        <f t="shared" si="293"/>
        <v/>
      </c>
      <c r="AE286" s="23" t="str">
        <f t="shared" ref="AE286:AN289" si="294">IF(AND(AE$4&gt;=$I286,AE$4&lt;=$J286),1,"")</f>
        <v/>
      </c>
      <c r="AF286" s="23" t="str">
        <f t="shared" si="294"/>
        <v/>
      </c>
      <c r="AG286" s="23" t="str">
        <f t="shared" si="294"/>
        <v/>
      </c>
      <c r="AH286" s="23" t="str">
        <f t="shared" si="294"/>
        <v/>
      </c>
      <c r="AI286" s="23" t="str">
        <f t="shared" si="294"/>
        <v/>
      </c>
      <c r="AJ286" s="23" t="str">
        <f t="shared" si="294"/>
        <v/>
      </c>
      <c r="AK286" s="23" t="str">
        <f t="shared" si="294"/>
        <v/>
      </c>
      <c r="AL286" s="23" t="str">
        <f t="shared" si="294"/>
        <v/>
      </c>
      <c r="AM286" s="23" t="str">
        <f t="shared" si="294"/>
        <v/>
      </c>
      <c r="AN286" s="23" t="str">
        <f t="shared" si="294"/>
        <v/>
      </c>
      <c r="AO286" s="23" t="str">
        <f t="shared" ref="AO286:AX289" si="295">IF(AND(AO$4&gt;=$I286,AO$4&lt;=$J286),1,"")</f>
        <v/>
      </c>
      <c r="AP286" s="23" t="str">
        <f t="shared" si="295"/>
        <v/>
      </c>
      <c r="AQ286" s="23" t="str">
        <f t="shared" si="295"/>
        <v/>
      </c>
      <c r="AR286" s="23" t="str">
        <f t="shared" si="295"/>
        <v/>
      </c>
      <c r="AS286" s="23" t="str">
        <f t="shared" si="295"/>
        <v/>
      </c>
      <c r="AT286" s="23" t="str">
        <f t="shared" si="295"/>
        <v/>
      </c>
      <c r="AU286" s="23" t="str">
        <f t="shared" si="295"/>
        <v/>
      </c>
      <c r="AV286" s="23" t="str">
        <f t="shared" si="295"/>
        <v/>
      </c>
      <c r="AW286" s="23" t="str">
        <f t="shared" si="295"/>
        <v/>
      </c>
      <c r="AX286" s="23" t="str">
        <f t="shared" si="295"/>
        <v/>
      </c>
      <c r="AY286" s="23" t="str">
        <f t="shared" ref="AY286:BH289" si="296">IF(AND(AY$4&gt;=$I286,AY$4&lt;=$J286),1,"")</f>
        <v/>
      </c>
      <c r="AZ286" s="23" t="str">
        <f t="shared" si="296"/>
        <v/>
      </c>
      <c r="BA286" s="23" t="str">
        <f t="shared" si="296"/>
        <v/>
      </c>
      <c r="BB286" s="23" t="str">
        <f t="shared" si="296"/>
        <v/>
      </c>
      <c r="BC286" s="23" t="str">
        <f t="shared" si="296"/>
        <v/>
      </c>
      <c r="BD286" s="23" t="str">
        <f t="shared" si="296"/>
        <v/>
      </c>
      <c r="BE286" s="23" t="str">
        <f t="shared" si="296"/>
        <v/>
      </c>
      <c r="BF286" s="23" t="str">
        <f t="shared" si="296"/>
        <v/>
      </c>
      <c r="BG286" s="23" t="str">
        <f t="shared" si="296"/>
        <v/>
      </c>
      <c r="BH286" s="23" t="str">
        <f t="shared" si="296"/>
        <v/>
      </c>
      <c r="BI286" s="23" t="str">
        <f t="shared" ref="BI286:BS289" si="297">IF(AND(BI$4&gt;=$I286,BI$4&lt;=$J286),1,"")</f>
        <v/>
      </c>
      <c r="BJ286" s="23" t="str">
        <f t="shared" si="297"/>
        <v/>
      </c>
      <c r="BK286" s="23" t="str">
        <f t="shared" si="297"/>
        <v/>
      </c>
      <c r="BL286" s="23" t="str">
        <f t="shared" si="297"/>
        <v/>
      </c>
      <c r="BM286" s="23" t="str">
        <f t="shared" si="297"/>
        <v/>
      </c>
      <c r="BN286" s="23" t="str">
        <f t="shared" si="297"/>
        <v/>
      </c>
      <c r="BO286" s="23" t="str">
        <f t="shared" si="297"/>
        <v/>
      </c>
      <c r="BP286" s="23" t="str">
        <f t="shared" si="297"/>
        <v/>
      </c>
      <c r="BQ286" s="23" t="str">
        <f t="shared" si="297"/>
        <v/>
      </c>
      <c r="BR286" s="23" t="str">
        <f t="shared" si="297"/>
        <v/>
      </c>
      <c r="BS286" s="23" t="str">
        <f t="shared" si="297"/>
        <v/>
      </c>
      <c r="BT286" s="24" t="str">
        <f>IF(IF(G286+H286-1&lt;=29,MAX(ROUND((G286+H286-1)*(29+SlipWeeks)/29,0),$I286),G286+H286-1+SlipWeeks)&gt;61,"▶ clipped","")</f>
        <v/>
      </c>
      <c r="BU286" s="29" t="s">
        <v>825</v>
      </c>
    </row>
    <row r="287" spans="1:73" ht="17" outlineLevel="1" x14ac:dyDescent="0.2">
      <c r="A287" s="6" t="s">
        <v>826</v>
      </c>
      <c r="B287" s="25" t="s">
        <v>827</v>
      </c>
      <c r="C287" s="6" t="s">
        <v>55</v>
      </c>
      <c r="D287" s="24" t="s">
        <v>128</v>
      </c>
      <c r="F287" s="6"/>
      <c r="G287" s="22">
        <v>7</v>
      </c>
      <c r="H287" s="22">
        <v>3</v>
      </c>
      <c r="I287" s="22">
        <f>MEDIAN($I$286,$J$286,$I$286+ROUND((G287-$G$286)/$H$286*($J$286-$I$286+1),0))</f>
        <v>7</v>
      </c>
      <c r="J287" s="22">
        <f>MEDIAN(I287,$J$286,$I$286+ROUND((G287+H287-$G$286)/$H$286*($J$286-$I$286+1),0)-1)</f>
        <v>9</v>
      </c>
      <c r="K287" s="23" t="str">
        <f t="shared" si="292"/>
        <v/>
      </c>
      <c r="L287" s="23" t="str">
        <f t="shared" si="292"/>
        <v/>
      </c>
      <c r="M287" s="23" t="str">
        <f t="shared" si="292"/>
        <v/>
      </c>
      <c r="N287" s="23" t="str">
        <f t="shared" si="292"/>
        <v/>
      </c>
      <c r="O287" s="23" t="str">
        <f t="shared" si="292"/>
        <v/>
      </c>
      <c r="P287" s="23" t="str">
        <f t="shared" si="292"/>
        <v/>
      </c>
      <c r="Q287" s="23">
        <f t="shared" si="292"/>
        <v>1</v>
      </c>
      <c r="R287" s="23">
        <f t="shared" si="292"/>
        <v>1</v>
      </c>
      <c r="S287" s="23">
        <f t="shared" si="292"/>
        <v>1</v>
      </c>
      <c r="T287" s="23" t="str">
        <f t="shared" si="292"/>
        <v/>
      </c>
      <c r="U287" s="23" t="str">
        <f t="shared" si="293"/>
        <v/>
      </c>
      <c r="V287" s="23" t="str">
        <f t="shared" si="293"/>
        <v/>
      </c>
      <c r="W287" s="23" t="str">
        <f t="shared" si="293"/>
        <v/>
      </c>
      <c r="X287" s="23" t="str">
        <f t="shared" si="293"/>
        <v/>
      </c>
      <c r="Y287" s="23" t="str">
        <f t="shared" si="293"/>
        <v/>
      </c>
      <c r="Z287" s="23" t="str">
        <f t="shared" si="293"/>
        <v/>
      </c>
      <c r="AA287" s="23" t="str">
        <f t="shared" si="293"/>
        <v/>
      </c>
      <c r="AB287" s="23" t="str">
        <f t="shared" si="293"/>
        <v/>
      </c>
      <c r="AC287" s="23" t="str">
        <f t="shared" si="293"/>
        <v/>
      </c>
      <c r="AD287" s="23" t="str">
        <f t="shared" si="293"/>
        <v/>
      </c>
      <c r="AE287" s="23" t="str">
        <f t="shared" si="294"/>
        <v/>
      </c>
      <c r="AF287" s="23" t="str">
        <f t="shared" si="294"/>
        <v/>
      </c>
      <c r="AG287" s="23" t="str">
        <f t="shared" si="294"/>
        <v/>
      </c>
      <c r="AH287" s="23" t="str">
        <f t="shared" si="294"/>
        <v/>
      </c>
      <c r="AI287" s="23" t="str">
        <f t="shared" si="294"/>
        <v/>
      </c>
      <c r="AJ287" s="23" t="str">
        <f t="shared" si="294"/>
        <v/>
      </c>
      <c r="AK287" s="23" t="str">
        <f t="shared" si="294"/>
        <v/>
      </c>
      <c r="AL287" s="23" t="str">
        <f t="shared" si="294"/>
        <v/>
      </c>
      <c r="AM287" s="23" t="str">
        <f t="shared" si="294"/>
        <v/>
      </c>
      <c r="AN287" s="23" t="str">
        <f t="shared" si="294"/>
        <v/>
      </c>
      <c r="AO287" s="23" t="str">
        <f t="shared" si="295"/>
        <v/>
      </c>
      <c r="AP287" s="23" t="str">
        <f t="shared" si="295"/>
        <v/>
      </c>
      <c r="AQ287" s="23" t="str">
        <f t="shared" si="295"/>
        <v/>
      </c>
      <c r="AR287" s="23" t="str">
        <f t="shared" si="295"/>
        <v/>
      </c>
      <c r="AS287" s="23" t="str">
        <f t="shared" si="295"/>
        <v/>
      </c>
      <c r="AT287" s="23" t="str">
        <f t="shared" si="295"/>
        <v/>
      </c>
      <c r="AU287" s="23" t="str">
        <f t="shared" si="295"/>
        <v/>
      </c>
      <c r="AV287" s="23" t="str">
        <f t="shared" si="295"/>
        <v/>
      </c>
      <c r="AW287" s="23" t="str">
        <f t="shared" si="295"/>
        <v/>
      </c>
      <c r="AX287" s="23" t="str">
        <f t="shared" si="295"/>
        <v/>
      </c>
      <c r="AY287" s="23" t="str">
        <f t="shared" si="296"/>
        <v/>
      </c>
      <c r="AZ287" s="23" t="str">
        <f t="shared" si="296"/>
        <v/>
      </c>
      <c r="BA287" s="23" t="str">
        <f t="shared" si="296"/>
        <v/>
      </c>
      <c r="BB287" s="23" t="str">
        <f t="shared" si="296"/>
        <v/>
      </c>
      <c r="BC287" s="23" t="str">
        <f t="shared" si="296"/>
        <v/>
      </c>
      <c r="BD287" s="23" t="str">
        <f t="shared" si="296"/>
        <v/>
      </c>
      <c r="BE287" s="23" t="str">
        <f t="shared" si="296"/>
        <v/>
      </c>
      <c r="BF287" s="23" t="str">
        <f t="shared" si="296"/>
        <v/>
      </c>
      <c r="BG287" s="23" t="str">
        <f t="shared" si="296"/>
        <v/>
      </c>
      <c r="BH287" s="23" t="str">
        <f t="shared" si="296"/>
        <v/>
      </c>
      <c r="BI287" s="23" t="str">
        <f t="shared" si="297"/>
        <v/>
      </c>
      <c r="BJ287" s="23" t="str">
        <f t="shared" si="297"/>
        <v/>
      </c>
      <c r="BK287" s="23" t="str">
        <f t="shared" si="297"/>
        <v/>
      </c>
      <c r="BL287" s="23" t="str">
        <f t="shared" si="297"/>
        <v/>
      </c>
      <c r="BM287" s="23" t="str">
        <f t="shared" si="297"/>
        <v/>
      </c>
      <c r="BN287" s="23" t="str">
        <f t="shared" si="297"/>
        <v/>
      </c>
      <c r="BO287" s="23" t="str">
        <f t="shared" si="297"/>
        <v/>
      </c>
      <c r="BP287" s="23" t="str">
        <f t="shared" si="297"/>
        <v/>
      </c>
      <c r="BQ287" s="23" t="str">
        <f t="shared" si="297"/>
        <v/>
      </c>
      <c r="BR287" s="23" t="str">
        <f t="shared" si="297"/>
        <v/>
      </c>
      <c r="BS287" s="23" t="str">
        <f t="shared" si="297"/>
        <v/>
      </c>
      <c r="BU287" s="29" t="s">
        <v>818</v>
      </c>
    </row>
    <row r="288" spans="1:73" ht="17" outlineLevel="1" x14ac:dyDescent="0.2">
      <c r="A288" s="6" t="s">
        <v>828</v>
      </c>
      <c r="B288" s="25" t="s">
        <v>829</v>
      </c>
      <c r="C288" s="6" t="s">
        <v>55</v>
      </c>
      <c r="D288" s="24" t="s">
        <v>128</v>
      </c>
      <c r="F288" s="6"/>
      <c r="G288" s="22">
        <v>10</v>
      </c>
      <c r="H288" s="22">
        <v>3</v>
      </c>
      <c r="I288" s="22">
        <f>MEDIAN($I$286,$J$286,$I$286+ROUND((G288-$G$286)/$H$286*($J$286-$I$286+1),0))</f>
        <v>10</v>
      </c>
      <c r="J288" s="22">
        <f>MEDIAN(I288,$J$286,$I$286+ROUND((G288+H288-$G$286)/$H$286*($J$286-$I$286+1),0)-1)</f>
        <v>12</v>
      </c>
      <c r="K288" s="23" t="str">
        <f t="shared" si="292"/>
        <v/>
      </c>
      <c r="L288" s="23" t="str">
        <f t="shared" si="292"/>
        <v/>
      </c>
      <c r="M288" s="23" t="str">
        <f t="shared" si="292"/>
        <v/>
      </c>
      <c r="N288" s="23" t="str">
        <f t="shared" si="292"/>
        <v/>
      </c>
      <c r="O288" s="23" t="str">
        <f t="shared" si="292"/>
        <v/>
      </c>
      <c r="P288" s="23" t="str">
        <f t="shared" si="292"/>
        <v/>
      </c>
      <c r="Q288" s="23" t="str">
        <f t="shared" si="292"/>
        <v/>
      </c>
      <c r="R288" s="23" t="str">
        <f t="shared" si="292"/>
        <v/>
      </c>
      <c r="S288" s="23" t="str">
        <f t="shared" si="292"/>
        <v/>
      </c>
      <c r="T288" s="23">
        <f t="shared" si="292"/>
        <v>1</v>
      </c>
      <c r="U288" s="23">
        <f t="shared" si="293"/>
        <v>1</v>
      </c>
      <c r="V288" s="23">
        <f t="shared" si="293"/>
        <v>1</v>
      </c>
      <c r="W288" s="23" t="str">
        <f t="shared" si="293"/>
        <v/>
      </c>
      <c r="X288" s="23" t="str">
        <f t="shared" si="293"/>
        <v/>
      </c>
      <c r="Y288" s="23" t="str">
        <f t="shared" si="293"/>
        <v/>
      </c>
      <c r="Z288" s="23" t="str">
        <f t="shared" si="293"/>
        <v/>
      </c>
      <c r="AA288" s="23" t="str">
        <f t="shared" si="293"/>
        <v/>
      </c>
      <c r="AB288" s="23" t="str">
        <f t="shared" si="293"/>
        <v/>
      </c>
      <c r="AC288" s="23" t="str">
        <f t="shared" si="293"/>
        <v/>
      </c>
      <c r="AD288" s="23" t="str">
        <f t="shared" si="293"/>
        <v/>
      </c>
      <c r="AE288" s="23" t="str">
        <f t="shared" si="294"/>
        <v/>
      </c>
      <c r="AF288" s="23" t="str">
        <f t="shared" si="294"/>
        <v/>
      </c>
      <c r="AG288" s="23" t="str">
        <f t="shared" si="294"/>
        <v/>
      </c>
      <c r="AH288" s="23" t="str">
        <f t="shared" si="294"/>
        <v/>
      </c>
      <c r="AI288" s="23" t="str">
        <f t="shared" si="294"/>
        <v/>
      </c>
      <c r="AJ288" s="23" t="str">
        <f t="shared" si="294"/>
        <v/>
      </c>
      <c r="AK288" s="23" t="str">
        <f t="shared" si="294"/>
        <v/>
      </c>
      <c r="AL288" s="23" t="str">
        <f t="shared" si="294"/>
        <v/>
      </c>
      <c r="AM288" s="23" t="str">
        <f t="shared" si="294"/>
        <v/>
      </c>
      <c r="AN288" s="23" t="str">
        <f t="shared" si="294"/>
        <v/>
      </c>
      <c r="AO288" s="23" t="str">
        <f t="shared" si="295"/>
        <v/>
      </c>
      <c r="AP288" s="23" t="str">
        <f t="shared" si="295"/>
        <v/>
      </c>
      <c r="AQ288" s="23" t="str">
        <f t="shared" si="295"/>
        <v/>
      </c>
      <c r="AR288" s="23" t="str">
        <f t="shared" si="295"/>
        <v/>
      </c>
      <c r="AS288" s="23" t="str">
        <f t="shared" si="295"/>
        <v/>
      </c>
      <c r="AT288" s="23" t="str">
        <f t="shared" si="295"/>
        <v/>
      </c>
      <c r="AU288" s="23" t="str">
        <f t="shared" si="295"/>
        <v/>
      </c>
      <c r="AV288" s="23" t="str">
        <f t="shared" si="295"/>
        <v/>
      </c>
      <c r="AW288" s="23" t="str">
        <f t="shared" si="295"/>
        <v/>
      </c>
      <c r="AX288" s="23" t="str">
        <f t="shared" si="295"/>
        <v/>
      </c>
      <c r="AY288" s="23" t="str">
        <f t="shared" si="296"/>
        <v/>
      </c>
      <c r="AZ288" s="23" t="str">
        <f t="shared" si="296"/>
        <v/>
      </c>
      <c r="BA288" s="23" t="str">
        <f t="shared" si="296"/>
        <v/>
      </c>
      <c r="BB288" s="23" t="str">
        <f t="shared" si="296"/>
        <v/>
      </c>
      <c r="BC288" s="23" t="str">
        <f t="shared" si="296"/>
        <v/>
      </c>
      <c r="BD288" s="23" t="str">
        <f t="shared" si="296"/>
        <v/>
      </c>
      <c r="BE288" s="23" t="str">
        <f t="shared" si="296"/>
        <v/>
      </c>
      <c r="BF288" s="23" t="str">
        <f t="shared" si="296"/>
        <v/>
      </c>
      <c r="BG288" s="23" t="str">
        <f t="shared" si="296"/>
        <v/>
      </c>
      <c r="BH288" s="23" t="str">
        <f t="shared" si="296"/>
        <v/>
      </c>
      <c r="BI288" s="23" t="str">
        <f t="shared" si="297"/>
        <v/>
      </c>
      <c r="BJ288" s="23" t="str">
        <f t="shared" si="297"/>
        <v/>
      </c>
      <c r="BK288" s="23" t="str">
        <f t="shared" si="297"/>
        <v/>
      </c>
      <c r="BL288" s="23" t="str">
        <f t="shared" si="297"/>
        <v/>
      </c>
      <c r="BM288" s="23" t="str">
        <f t="shared" si="297"/>
        <v/>
      </c>
      <c r="BN288" s="23" t="str">
        <f t="shared" si="297"/>
        <v/>
      </c>
      <c r="BO288" s="23" t="str">
        <f t="shared" si="297"/>
        <v/>
      </c>
      <c r="BP288" s="23" t="str">
        <f t="shared" si="297"/>
        <v/>
      </c>
      <c r="BQ288" s="23" t="str">
        <f t="shared" si="297"/>
        <v/>
      </c>
      <c r="BR288" s="23" t="str">
        <f t="shared" si="297"/>
        <v/>
      </c>
      <c r="BS288" s="23" t="str">
        <f t="shared" si="297"/>
        <v/>
      </c>
      <c r="BU288" s="29" t="s">
        <v>818</v>
      </c>
    </row>
    <row r="289" spans="1:73" ht="17" outlineLevel="1" x14ac:dyDescent="0.2">
      <c r="A289" s="6" t="s">
        <v>830</v>
      </c>
      <c r="B289" s="25" t="s">
        <v>831</v>
      </c>
      <c r="C289" s="6" t="s">
        <v>55</v>
      </c>
      <c r="D289" s="24" t="s">
        <v>128</v>
      </c>
      <c r="F289" s="6"/>
      <c r="G289" s="22">
        <v>13</v>
      </c>
      <c r="H289" s="22">
        <v>2</v>
      </c>
      <c r="I289" s="22">
        <f>MEDIAN($I$286,$J$286,$I$286+ROUND((G289-$G$286)/$H$286*($J$286-$I$286+1),0))</f>
        <v>13</v>
      </c>
      <c r="J289" s="22">
        <f>MEDIAN(I289,$J$286,$I$286+ROUND((G289+H289-$G$286)/$H$286*($J$286-$I$286+1),0)-1)</f>
        <v>14</v>
      </c>
      <c r="K289" s="23" t="str">
        <f t="shared" si="292"/>
        <v/>
      </c>
      <c r="L289" s="23" t="str">
        <f t="shared" si="292"/>
        <v/>
      </c>
      <c r="M289" s="23" t="str">
        <f t="shared" si="292"/>
        <v/>
      </c>
      <c r="N289" s="23" t="str">
        <f t="shared" si="292"/>
        <v/>
      </c>
      <c r="O289" s="23" t="str">
        <f t="shared" si="292"/>
        <v/>
      </c>
      <c r="P289" s="23" t="str">
        <f t="shared" si="292"/>
        <v/>
      </c>
      <c r="Q289" s="23" t="str">
        <f t="shared" si="292"/>
        <v/>
      </c>
      <c r="R289" s="23" t="str">
        <f t="shared" si="292"/>
        <v/>
      </c>
      <c r="S289" s="23" t="str">
        <f t="shared" si="292"/>
        <v/>
      </c>
      <c r="T289" s="23" t="str">
        <f t="shared" si="292"/>
        <v/>
      </c>
      <c r="U289" s="23" t="str">
        <f t="shared" si="293"/>
        <v/>
      </c>
      <c r="V289" s="23" t="str">
        <f t="shared" si="293"/>
        <v/>
      </c>
      <c r="W289" s="23">
        <f t="shared" si="293"/>
        <v>1</v>
      </c>
      <c r="X289" s="23">
        <f t="shared" si="293"/>
        <v>1</v>
      </c>
      <c r="Y289" s="23" t="str">
        <f t="shared" si="293"/>
        <v/>
      </c>
      <c r="Z289" s="23" t="str">
        <f t="shared" si="293"/>
        <v/>
      </c>
      <c r="AA289" s="23" t="str">
        <f t="shared" si="293"/>
        <v/>
      </c>
      <c r="AB289" s="23" t="str">
        <f t="shared" si="293"/>
        <v/>
      </c>
      <c r="AC289" s="23" t="str">
        <f t="shared" si="293"/>
        <v/>
      </c>
      <c r="AD289" s="23" t="str">
        <f t="shared" si="293"/>
        <v/>
      </c>
      <c r="AE289" s="23" t="str">
        <f t="shared" si="294"/>
        <v/>
      </c>
      <c r="AF289" s="23" t="str">
        <f t="shared" si="294"/>
        <v/>
      </c>
      <c r="AG289" s="23" t="str">
        <f t="shared" si="294"/>
        <v/>
      </c>
      <c r="AH289" s="23" t="str">
        <f t="shared" si="294"/>
        <v/>
      </c>
      <c r="AI289" s="23" t="str">
        <f t="shared" si="294"/>
        <v/>
      </c>
      <c r="AJ289" s="23" t="str">
        <f t="shared" si="294"/>
        <v/>
      </c>
      <c r="AK289" s="23" t="str">
        <f t="shared" si="294"/>
        <v/>
      </c>
      <c r="AL289" s="23" t="str">
        <f t="shared" si="294"/>
        <v/>
      </c>
      <c r="AM289" s="23" t="str">
        <f t="shared" si="294"/>
        <v/>
      </c>
      <c r="AN289" s="23" t="str">
        <f t="shared" si="294"/>
        <v/>
      </c>
      <c r="AO289" s="23" t="str">
        <f t="shared" si="295"/>
        <v/>
      </c>
      <c r="AP289" s="23" t="str">
        <f t="shared" si="295"/>
        <v/>
      </c>
      <c r="AQ289" s="23" t="str">
        <f t="shared" si="295"/>
        <v/>
      </c>
      <c r="AR289" s="23" t="str">
        <f t="shared" si="295"/>
        <v/>
      </c>
      <c r="AS289" s="23" t="str">
        <f t="shared" si="295"/>
        <v/>
      </c>
      <c r="AT289" s="23" t="str">
        <f t="shared" si="295"/>
        <v/>
      </c>
      <c r="AU289" s="23" t="str">
        <f t="shared" si="295"/>
        <v/>
      </c>
      <c r="AV289" s="23" t="str">
        <f t="shared" si="295"/>
        <v/>
      </c>
      <c r="AW289" s="23" t="str">
        <f t="shared" si="295"/>
        <v/>
      </c>
      <c r="AX289" s="23" t="str">
        <f t="shared" si="295"/>
        <v/>
      </c>
      <c r="AY289" s="23" t="str">
        <f t="shared" si="296"/>
        <v/>
      </c>
      <c r="AZ289" s="23" t="str">
        <f t="shared" si="296"/>
        <v/>
      </c>
      <c r="BA289" s="23" t="str">
        <f t="shared" si="296"/>
        <v/>
      </c>
      <c r="BB289" s="23" t="str">
        <f t="shared" si="296"/>
        <v/>
      </c>
      <c r="BC289" s="23" t="str">
        <f t="shared" si="296"/>
        <v/>
      </c>
      <c r="BD289" s="23" t="str">
        <f t="shared" si="296"/>
        <v/>
      </c>
      <c r="BE289" s="23" t="str">
        <f t="shared" si="296"/>
        <v/>
      </c>
      <c r="BF289" s="23" t="str">
        <f t="shared" si="296"/>
        <v/>
      </c>
      <c r="BG289" s="23" t="str">
        <f t="shared" si="296"/>
        <v/>
      </c>
      <c r="BH289" s="23" t="str">
        <f t="shared" si="296"/>
        <v/>
      </c>
      <c r="BI289" s="23" t="str">
        <f t="shared" si="297"/>
        <v/>
      </c>
      <c r="BJ289" s="23" t="str">
        <f t="shared" si="297"/>
        <v/>
      </c>
      <c r="BK289" s="23" t="str">
        <f t="shared" si="297"/>
        <v/>
      </c>
      <c r="BL289" s="23" t="str">
        <f t="shared" si="297"/>
        <v/>
      </c>
      <c r="BM289" s="23" t="str">
        <f t="shared" si="297"/>
        <v/>
      </c>
      <c r="BN289" s="23" t="str">
        <f t="shared" si="297"/>
        <v/>
      </c>
      <c r="BO289" s="23" t="str">
        <f t="shared" si="297"/>
        <v/>
      </c>
      <c r="BP289" s="23" t="str">
        <f t="shared" si="297"/>
        <v/>
      </c>
      <c r="BQ289" s="23" t="str">
        <f t="shared" si="297"/>
        <v/>
      </c>
      <c r="BR289" s="23" t="str">
        <f t="shared" si="297"/>
        <v/>
      </c>
      <c r="BS289" s="23" t="str">
        <f t="shared" si="297"/>
        <v/>
      </c>
      <c r="BU289" s="29" t="s">
        <v>818</v>
      </c>
    </row>
    <row r="290" spans="1:73" x14ac:dyDescent="0.2">
      <c r="BU290" s="30"/>
    </row>
    <row r="291" spans="1:73" ht="34" x14ac:dyDescent="0.2">
      <c r="A291" s="19" t="s">
        <v>832</v>
      </c>
      <c r="B291" s="20" t="s">
        <v>833</v>
      </c>
      <c r="C291" s="19" t="s">
        <v>55</v>
      </c>
      <c r="D291" s="21" t="s">
        <v>128</v>
      </c>
      <c r="E291" s="19" t="s">
        <v>76</v>
      </c>
      <c r="F291" s="19"/>
      <c r="G291" s="22">
        <v>8</v>
      </c>
      <c r="H291" s="22">
        <v>6</v>
      </c>
      <c r="I291" s="22">
        <f>MIN(61,IF(G291&lt;=29,ROUND((G291-1)*(29+SlipWeeks)/29,0)+1,G291+SlipWeeks))</f>
        <v>8</v>
      </c>
      <c r="J291" s="22">
        <f>MIN(61,IF(G291+H291-1&lt;=29,MAX(ROUND((G291+H291-1)*(29+SlipWeeks)/29,0),I291),G291+H291-1+SlipWeeks))</f>
        <v>13</v>
      </c>
      <c r="K291" s="23" t="str">
        <f t="shared" ref="K291:T294" si="298">IF(AND(K$4&gt;=$I291,K$4&lt;=$J291),1,"")</f>
        <v/>
      </c>
      <c r="L291" s="23" t="str">
        <f t="shared" si="298"/>
        <v/>
      </c>
      <c r="M291" s="23" t="str">
        <f t="shared" si="298"/>
        <v/>
      </c>
      <c r="N291" s="23" t="str">
        <f t="shared" si="298"/>
        <v/>
      </c>
      <c r="O291" s="23" t="str">
        <f t="shared" si="298"/>
        <v/>
      </c>
      <c r="P291" s="23" t="str">
        <f t="shared" si="298"/>
        <v/>
      </c>
      <c r="Q291" s="23" t="str">
        <f t="shared" si="298"/>
        <v/>
      </c>
      <c r="R291" s="23">
        <f t="shared" si="298"/>
        <v>1</v>
      </c>
      <c r="S291" s="23">
        <f t="shared" si="298"/>
        <v>1</v>
      </c>
      <c r="T291" s="23">
        <f t="shared" si="298"/>
        <v>1</v>
      </c>
      <c r="U291" s="23">
        <f t="shared" ref="U291:AD294" si="299">IF(AND(U$4&gt;=$I291,U$4&lt;=$J291),1,"")</f>
        <v>1</v>
      </c>
      <c r="V291" s="23">
        <f t="shared" si="299"/>
        <v>1</v>
      </c>
      <c r="W291" s="23">
        <f t="shared" si="299"/>
        <v>1</v>
      </c>
      <c r="X291" s="23" t="str">
        <f t="shared" si="299"/>
        <v/>
      </c>
      <c r="Y291" s="23" t="str">
        <f t="shared" si="299"/>
        <v/>
      </c>
      <c r="Z291" s="23" t="str">
        <f t="shared" si="299"/>
        <v/>
      </c>
      <c r="AA291" s="23" t="str">
        <f t="shared" si="299"/>
        <v/>
      </c>
      <c r="AB291" s="23" t="str">
        <f t="shared" si="299"/>
        <v/>
      </c>
      <c r="AC291" s="23" t="str">
        <f t="shared" si="299"/>
        <v/>
      </c>
      <c r="AD291" s="23" t="str">
        <f t="shared" si="299"/>
        <v/>
      </c>
      <c r="AE291" s="23" t="str">
        <f t="shared" ref="AE291:AN294" si="300">IF(AND(AE$4&gt;=$I291,AE$4&lt;=$J291),1,"")</f>
        <v/>
      </c>
      <c r="AF291" s="23" t="str">
        <f t="shared" si="300"/>
        <v/>
      </c>
      <c r="AG291" s="23" t="str">
        <f t="shared" si="300"/>
        <v/>
      </c>
      <c r="AH291" s="23" t="str">
        <f t="shared" si="300"/>
        <v/>
      </c>
      <c r="AI291" s="23" t="str">
        <f t="shared" si="300"/>
        <v/>
      </c>
      <c r="AJ291" s="23" t="str">
        <f t="shared" si="300"/>
        <v/>
      </c>
      <c r="AK291" s="23" t="str">
        <f t="shared" si="300"/>
        <v/>
      </c>
      <c r="AL291" s="23" t="str">
        <f t="shared" si="300"/>
        <v/>
      </c>
      <c r="AM291" s="23" t="str">
        <f t="shared" si="300"/>
        <v/>
      </c>
      <c r="AN291" s="23" t="str">
        <f t="shared" si="300"/>
        <v/>
      </c>
      <c r="AO291" s="23" t="str">
        <f t="shared" ref="AO291:AX294" si="301">IF(AND(AO$4&gt;=$I291,AO$4&lt;=$J291),1,"")</f>
        <v/>
      </c>
      <c r="AP291" s="23" t="str">
        <f t="shared" si="301"/>
        <v/>
      </c>
      <c r="AQ291" s="23" t="str">
        <f t="shared" si="301"/>
        <v/>
      </c>
      <c r="AR291" s="23" t="str">
        <f t="shared" si="301"/>
        <v/>
      </c>
      <c r="AS291" s="23" t="str">
        <f t="shared" si="301"/>
        <v/>
      </c>
      <c r="AT291" s="23" t="str">
        <f t="shared" si="301"/>
        <v/>
      </c>
      <c r="AU291" s="23" t="str">
        <f t="shared" si="301"/>
        <v/>
      </c>
      <c r="AV291" s="23" t="str">
        <f t="shared" si="301"/>
        <v/>
      </c>
      <c r="AW291" s="23" t="str">
        <f t="shared" si="301"/>
        <v/>
      </c>
      <c r="AX291" s="23" t="str">
        <f t="shared" si="301"/>
        <v/>
      </c>
      <c r="AY291" s="23" t="str">
        <f t="shared" ref="AY291:BH294" si="302">IF(AND(AY$4&gt;=$I291,AY$4&lt;=$J291),1,"")</f>
        <v/>
      </c>
      <c r="AZ291" s="23" t="str">
        <f t="shared" si="302"/>
        <v/>
      </c>
      <c r="BA291" s="23" t="str">
        <f t="shared" si="302"/>
        <v/>
      </c>
      <c r="BB291" s="23" t="str">
        <f t="shared" si="302"/>
        <v/>
      </c>
      <c r="BC291" s="23" t="str">
        <f t="shared" si="302"/>
        <v/>
      </c>
      <c r="BD291" s="23" t="str">
        <f t="shared" si="302"/>
        <v/>
      </c>
      <c r="BE291" s="23" t="str">
        <f t="shared" si="302"/>
        <v/>
      </c>
      <c r="BF291" s="23" t="str">
        <f t="shared" si="302"/>
        <v/>
      </c>
      <c r="BG291" s="23" t="str">
        <f t="shared" si="302"/>
        <v/>
      </c>
      <c r="BH291" s="23" t="str">
        <f t="shared" si="302"/>
        <v/>
      </c>
      <c r="BI291" s="23" t="str">
        <f t="shared" ref="BI291:BS294" si="303">IF(AND(BI$4&gt;=$I291,BI$4&lt;=$J291),1,"")</f>
        <v/>
      </c>
      <c r="BJ291" s="23" t="str">
        <f t="shared" si="303"/>
        <v/>
      </c>
      <c r="BK291" s="23" t="str">
        <f t="shared" si="303"/>
        <v/>
      </c>
      <c r="BL291" s="23" t="str">
        <f t="shared" si="303"/>
        <v/>
      </c>
      <c r="BM291" s="23" t="str">
        <f t="shared" si="303"/>
        <v/>
      </c>
      <c r="BN291" s="23" t="str">
        <f t="shared" si="303"/>
        <v/>
      </c>
      <c r="BO291" s="23" t="str">
        <f t="shared" si="303"/>
        <v/>
      </c>
      <c r="BP291" s="23" t="str">
        <f t="shared" si="303"/>
        <v/>
      </c>
      <c r="BQ291" s="23" t="str">
        <f t="shared" si="303"/>
        <v/>
      </c>
      <c r="BR291" s="23" t="str">
        <f t="shared" si="303"/>
        <v/>
      </c>
      <c r="BS291" s="23" t="str">
        <f t="shared" si="303"/>
        <v/>
      </c>
      <c r="BT291" s="24" t="str">
        <f>IF(IF(G291+H291-1&lt;=29,MAX(ROUND((G291+H291-1)*(29+SlipWeeks)/29,0),$I291),G291+H291-1+SlipWeeks)&gt;61,"▶ clipped","")</f>
        <v/>
      </c>
      <c r="BU291" s="29" t="s">
        <v>834</v>
      </c>
    </row>
    <row r="292" spans="1:73" ht="17" outlineLevel="1" x14ac:dyDescent="0.2">
      <c r="A292" s="6" t="s">
        <v>835</v>
      </c>
      <c r="B292" s="25" t="s">
        <v>836</v>
      </c>
      <c r="C292" s="6" t="s">
        <v>55</v>
      </c>
      <c r="D292" s="24" t="s">
        <v>128</v>
      </c>
      <c r="F292" s="6"/>
      <c r="G292" s="22">
        <v>8</v>
      </c>
      <c r="H292" s="22">
        <v>2</v>
      </c>
      <c r="I292" s="22">
        <f>MEDIAN($I$291,$J$291,$I$291+ROUND((G292-$G$291)/$H$291*($J$291-$I$291+1),0))</f>
        <v>8</v>
      </c>
      <c r="J292" s="22">
        <f>MEDIAN(I292,$J$291,$I$291+ROUND((G292+H292-$G$291)/$H$291*($J$291-$I$291+1),0)-1)</f>
        <v>9</v>
      </c>
      <c r="K292" s="23" t="str">
        <f t="shared" si="298"/>
        <v/>
      </c>
      <c r="L292" s="23" t="str">
        <f t="shared" si="298"/>
        <v/>
      </c>
      <c r="M292" s="23" t="str">
        <f t="shared" si="298"/>
        <v/>
      </c>
      <c r="N292" s="23" t="str">
        <f t="shared" si="298"/>
        <v/>
      </c>
      <c r="O292" s="23" t="str">
        <f t="shared" si="298"/>
        <v/>
      </c>
      <c r="P292" s="23" t="str">
        <f t="shared" si="298"/>
        <v/>
      </c>
      <c r="Q292" s="23" t="str">
        <f t="shared" si="298"/>
        <v/>
      </c>
      <c r="R292" s="23">
        <f t="shared" si="298"/>
        <v>1</v>
      </c>
      <c r="S292" s="23">
        <f t="shared" si="298"/>
        <v>1</v>
      </c>
      <c r="T292" s="23" t="str">
        <f t="shared" si="298"/>
        <v/>
      </c>
      <c r="U292" s="23" t="str">
        <f t="shared" si="299"/>
        <v/>
      </c>
      <c r="V292" s="23" t="str">
        <f t="shared" si="299"/>
        <v/>
      </c>
      <c r="W292" s="23" t="str">
        <f t="shared" si="299"/>
        <v/>
      </c>
      <c r="X292" s="23" t="str">
        <f t="shared" si="299"/>
        <v/>
      </c>
      <c r="Y292" s="23" t="str">
        <f t="shared" si="299"/>
        <v/>
      </c>
      <c r="Z292" s="23" t="str">
        <f t="shared" si="299"/>
        <v/>
      </c>
      <c r="AA292" s="23" t="str">
        <f t="shared" si="299"/>
        <v/>
      </c>
      <c r="AB292" s="23" t="str">
        <f t="shared" si="299"/>
        <v/>
      </c>
      <c r="AC292" s="23" t="str">
        <f t="shared" si="299"/>
        <v/>
      </c>
      <c r="AD292" s="23" t="str">
        <f t="shared" si="299"/>
        <v/>
      </c>
      <c r="AE292" s="23" t="str">
        <f t="shared" si="300"/>
        <v/>
      </c>
      <c r="AF292" s="23" t="str">
        <f t="shared" si="300"/>
        <v/>
      </c>
      <c r="AG292" s="23" t="str">
        <f t="shared" si="300"/>
        <v/>
      </c>
      <c r="AH292" s="23" t="str">
        <f t="shared" si="300"/>
        <v/>
      </c>
      <c r="AI292" s="23" t="str">
        <f t="shared" si="300"/>
        <v/>
      </c>
      <c r="AJ292" s="23" t="str">
        <f t="shared" si="300"/>
        <v/>
      </c>
      <c r="AK292" s="23" t="str">
        <f t="shared" si="300"/>
        <v/>
      </c>
      <c r="AL292" s="23" t="str">
        <f t="shared" si="300"/>
        <v/>
      </c>
      <c r="AM292" s="23" t="str">
        <f t="shared" si="300"/>
        <v/>
      </c>
      <c r="AN292" s="23" t="str">
        <f t="shared" si="300"/>
        <v/>
      </c>
      <c r="AO292" s="23" t="str">
        <f t="shared" si="301"/>
        <v/>
      </c>
      <c r="AP292" s="23" t="str">
        <f t="shared" si="301"/>
        <v/>
      </c>
      <c r="AQ292" s="23" t="str">
        <f t="shared" si="301"/>
        <v/>
      </c>
      <c r="AR292" s="23" t="str">
        <f t="shared" si="301"/>
        <v/>
      </c>
      <c r="AS292" s="23" t="str">
        <f t="shared" si="301"/>
        <v/>
      </c>
      <c r="AT292" s="23" t="str">
        <f t="shared" si="301"/>
        <v/>
      </c>
      <c r="AU292" s="23" t="str">
        <f t="shared" si="301"/>
        <v/>
      </c>
      <c r="AV292" s="23" t="str">
        <f t="shared" si="301"/>
        <v/>
      </c>
      <c r="AW292" s="23" t="str">
        <f t="shared" si="301"/>
        <v/>
      </c>
      <c r="AX292" s="23" t="str">
        <f t="shared" si="301"/>
        <v/>
      </c>
      <c r="AY292" s="23" t="str">
        <f t="shared" si="302"/>
        <v/>
      </c>
      <c r="AZ292" s="23" t="str">
        <f t="shared" si="302"/>
        <v/>
      </c>
      <c r="BA292" s="23" t="str">
        <f t="shared" si="302"/>
        <v/>
      </c>
      <c r="BB292" s="23" t="str">
        <f t="shared" si="302"/>
        <v/>
      </c>
      <c r="BC292" s="23" t="str">
        <f t="shared" si="302"/>
        <v/>
      </c>
      <c r="BD292" s="23" t="str">
        <f t="shared" si="302"/>
        <v/>
      </c>
      <c r="BE292" s="23" t="str">
        <f t="shared" si="302"/>
        <v/>
      </c>
      <c r="BF292" s="23" t="str">
        <f t="shared" si="302"/>
        <v/>
      </c>
      <c r="BG292" s="23" t="str">
        <f t="shared" si="302"/>
        <v/>
      </c>
      <c r="BH292" s="23" t="str">
        <f t="shared" si="302"/>
        <v/>
      </c>
      <c r="BI292" s="23" t="str">
        <f t="shared" si="303"/>
        <v/>
      </c>
      <c r="BJ292" s="23" t="str">
        <f t="shared" si="303"/>
        <v/>
      </c>
      <c r="BK292" s="23" t="str">
        <f t="shared" si="303"/>
        <v/>
      </c>
      <c r="BL292" s="23" t="str">
        <f t="shared" si="303"/>
        <v/>
      </c>
      <c r="BM292" s="23" t="str">
        <f t="shared" si="303"/>
        <v/>
      </c>
      <c r="BN292" s="23" t="str">
        <f t="shared" si="303"/>
        <v/>
      </c>
      <c r="BO292" s="23" t="str">
        <f t="shared" si="303"/>
        <v/>
      </c>
      <c r="BP292" s="23" t="str">
        <f t="shared" si="303"/>
        <v/>
      </c>
      <c r="BQ292" s="23" t="str">
        <f t="shared" si="303"/>
        <v/>
      </c>
      <c r="BR292" s="23" t="str">
        <f t="shared" si="303"/>
        <v/>
      </c>
      <c r="BS292" s="23" t="str">
        <f t="shared" si="303"/>
        <v/>
      </c>
      <c r="BU292" s="29" t="s">
        <v>818</v>
      </c>
    </row>
    <row r="293" spans="1:73" ht="17" outlineLevel="1" x14ac:dyDescent="0.2">
      <c r="A293" s="6" t="s">
        <v>837</v>
      </c>
      <c r="B293" s="25" t="s">
        <v>838</v>
      </c>
      <c r="C293" s="6" t="s">
        <v>55</v>
      </c>
      <c r="D293" s="24" t="s">
        <v>128</v>
      </c>
      <c r="F293" s="6"/>
      <c r="G293" s="22">
        <v>10</v>
      </c>
      <c r="H293" s="22">
        <v>2</v>
      </c>
      <c r="I293" s="22">
        <f>MEDIAN($I$291,$J$291,$I$291+ROUND((G293-$G$291)/$H$291*($J$291-$I$291+1),0))</f>
        <v>10</v>
      </c>
      <c r="J293" s="22">
        <f>MEDIAN(I293,$J$291,$I$291+ROUND((G293+H293-$G$291)/$H$291*($J$291-$I$291+1),0)-1)</f>
        <v>11</v>
      </c>
      <c r="K293" s="23" t="str">
        <f t="shared" si="298"/>
        <v/>
      </c>
      <c r="L293" s="23" t="str">
        <f t="shared" si="298"/>
        <v/>
      </c>
      <c r="M293" s="23" t="str">
        <f t="shared" si="298"/>
        <v/>
      </c>
      <c r="N293" s="23" t="str">
        <f t="shared" si="298"/>
        <v/>
      </c>
      <c r="O293" s="23" t="str">
        <f t="shared" si="298"/>
        <v/>
      </c>
      <c r="P293" s="23" t="str">
        <f t="shared" si="298"/>
        <v/>
      </c>
      <c r="Q293" s="23" t="str">
        <f t="shared" si="298"/>
        <v/>
      </c>
      <c r="R293" s="23" t="str">
        <f t="shared" si="298"/>
        <v/>
      </c>
      <c r="S293" s="23" t="str">
        <f t="shared" si="298"/>
        <v/>
      </c>
      <c r="T293" s="23">
        <f t="shared" si="298"/>
        <v>1</v>
      </c>
      <c r="U293" s="23">
        <f t="shared" si="299"/>
        <v>1</v>
      </c>
      <c r="V293" s="23" t="str">
        <f t="shared" si="299"/>
        <v/>
      </c>
      <c r="W293" s="23" t="str">
        <f t="shared" si="299"/>
        <v/>
      </c>
      <c r="X293" s="23" t="str">
        <f t="shared" si="299"/>
        <v/>
      </c>
      <c r="Y293" s="23" t="str">
        <f t="shared" si="299"/>
        <v/>
      </c>
      <c r="Z293" s="23" t="str">
        <f t="shared" si="299"/>
        <v/>
      </c>
      <c r="AA293" s="23" t="str">
        <f t="shared" si="299"/>
        <v/>
      </c>
      <c r="AB293" s="23" t="str">
        <f t="shared" si="299"/>
        <v/>
      </c>
      <c r="AC293" s="23" t="str">
        <f t="shared" si="299"/>
        <v/>
      </c>
      <c r="AD293" s="23" t="str">
        <f t="shared" si="299"/>
        <v/>
      </c>
      <c r="AE293" s="23" t="str">
        <f t="shared" si="300"/>
        <v/>
      </c>
      <c r="AF293" s="23" t="str">
        <f t="shared" si="300"/>
        <v/>
      </c>
      <c r="AG293" s="23" t="str">
        <f t="shared" si="300"/>
        <v/>
      </c>
      <c r="AH293" s="23" t="str">
        <f t="shared" si="300"/>
        <v/>
      </c>
      <c r="AI293" s="23" t="str">
        <f t="shared" si="300"/>
        <v/>
      </c>
      <c r="AJ293" s="23" t="str">
        <f t="shared" si="300"/>
        <v/>
      </c>
      <c r="AK293" s="23" t="str">
        <f t="shared" si="300"/>
        <v/>
      </c>
      <c r="AL293" s="23" t="str">
        <f t="shared" si="300"/>
        <v/>
      </c>
      <c r="AM293" s="23" t="str">
        <f t="shared" si="300"/>
        <v/>
      </c>
      <c r="AN293" s="23" t="str">
        <f t="shared" si="300"/>
        <v/>
      </c>
      <c r="AO293" s="23" t="str">
        <f t="shared" si="301"/>
        <v/>
      </c>
      <c r="AP293" s="23" t="str">
        <f t="shared" si="301"/>
        <v/>
      </c>
      <c r="AQ293" s="23" t="str">
        <f t="shared" si="301"/>
        <v/>
      </c>
      <c r="AR293" s="23" t="str">
        <f t="shared" si="301"/>
        <v/>
      </c>
      <c r="AS293" s="23" t="str">
        <f t="shared" si="301"/>
        <v/>
      </c>
      <c r="AT293" s="23" t="str">
        <f t="shared" si="301"/>
        <v/>
      </c>
      <c r="AU293" s="23" t="str">
        <f t="shared" si="301"/>
        <v/>
      </c>
      <c r="AV293" s="23" t="str">
        <f t="shared" si="301"/>
        <v/>
      </c>
      <c r="AW293" s="23" t="str">
        <f t="shared" si="301"/>
        <v/>
      </c>
      <c r="AX293" s="23" t="str">
        <f t="shared" si="301"/>
        <v/>
      </c>
      <c r="AY293" s="23" t="str">
        <f t="shared" si="302"/>
        <v/>
      </c>
      <c r="AZ293" s="23" t="str">
        <f t="shared" si="302"/>
        <v/>
      </c>
      <c r="BA293" s="23" t="str">
        <f t="shared" si="302"/>
        <v/>
      </c>
      <c r="BB293" s="23" t="str">
        <f t="shared" si="302"/>
        <v/>
      </c>
      <c r="BC293" s="23" t="str">
        <f t="shared" si="302"/>
        <v/>
      </c>
      <c r="BD293" s="23" t="str">
        <f t="shared" si="302"/>
        <v/>
      </c>
      <c r="BE293" s="23" t="str">
        <f t="shared" si="302"/>
        <v/>
      </c>
      <c r="BF293" s="23" t="str">
        <f t="shared" si="302"/>
        <v/>
      </c>
      <c r="BG293" s="23" t="str">
        <f t="shared" si="302"/>
        <v/>
      </c>
      <c r="BH293" s="23" t="str">
        <f t="shared" si="302"/>
        <v/>
      </c>
      <c r="BI293" s="23" t="str">
        <f t="shared" si="303"/>
        <v/>
      </c>
      <c r="BJ293" s="23" t="str">
        <f t="shared" si="303"/>
        <v/>
      </c>
      <c r="BK293" s="23" t="str">
        <f t="shared" si="303"/>
        <v/>
      </c>
      <c r="BL293" s="23" t="str">
        <f t="shared" si="303"/>
        <v/>
      </c>
      <c r="BM293" s="23" t="str">
        <f t="shared" si="303"/>
        <v/>
      </c>
      <c r="BN293" s="23" t="str">
        <f t="shared" si="303"/>
        <v/>
      </c>
      <c r="BO293" s="23" t="str">
        <f t="shared" si="303"/>
        <v/>
      </c>
      <c r="BP293" s="23" t="str">
        <f t="shared" si="303"/>
        <v/>
      </c>
      <c r="BQ293" s="23" t="str">
        <f t="shared" si="303"/>
        <v/>
      </c>
      <c r="BR293" s="23" t="str">
        <f t="shared" si="303"/>
        <v/>
      </c>
      <c r="BS293" s="23" t="str">
        <f t="shared" si="303"/>
        <v/>
      </c>
      <c r="BU293" s="29" t="s">
        <v>818</v>
      </c>
    </row>
    <row r="294" spans="1:73" ht="17" outlineLevel="1" x14ac:dyDescent="0.2">
      <c r="A294" s="6" t="s">
        <v>839</v>
      </c>
      <c r="B294" s="25" t="s">
        <v>840</v>
      </c>
      <c r="C294" s="6" t="s">
        <v>55</v>
      </c>
      <c r="D294" s="24" t="s">
        <v>128</v>
      </c>
      <c r="F294" s="6"/>
      <c r="G294" s="22">
        <v>12</v>
      </c>
      <c r="H294" s="22">
        <v>2</v>
      </c>
      <c r="I294" s="22">
        <f>MEDIAN($I$291,$J$291,$I$291+ROUND((G294-$G$291)/$H$291*($J$291-$I$291+1),0))</f>
        <v>12</v>
      </c>
      <c r="J294" s="22">
        <f>MEDIAN(I294,$J$291,$I$291+ROUND((G294+H294-$G$291)/$H$291*($J$291-$I$291+1),0)-1)</f>
        <v>13</v>
      </c>
      <c r="K294" s="23" t="str">
        <f t="shared" si="298"/>
        <v/>
      </c>
      <c r="L294" s="23" t="str">
        <f t="shared" si="298"/>
        <v/>
      </c>
      <c r="M294" s="23" t="str">
        <f t="shared" si="298"/>
        <v/>
      </c>
      <c r="N294" s="23" t="str">
        <f t="shared" si="298"/>
        <v/>
      </c>
      <c r="O294" s="23" t="str">
        <f t="shared" si="298"/>
        <v/>
      </c>
      <c r="P294" s="23" t="str">
        <f t="shared" si="298"/>
        <v/>
      </c>
      <c r="Q294" s="23" t="str">
        <f t="shared" si="298"/>
        <v/>
      </c>
      <c r="R294" s="23" t="str">
        <f t="shared" si="298"/>
        <v/>
      </c>
      <c r="S294" s="23" t="str">
        <f t="shared" si="298"/>
        <v/>
      </c>
      <c r="T294" s="23" t="str">
        <f t="shared" si="298"/>
        <v/>
      </c>
      <c r="U294" s="23" t="str">
        <f t="shared" si="299"/>
        <v/>
      </c>
      <c r="V294" s="23">
        <f t="shared" si="299"/>
        <v>1</v>
      </c>
      <c r="W294" s="23">
        <f t="shared" si="299"/>
        <v>1</v>
      </c>
      <c r="X294" s="23" t="str">
        <f t="shared" si="299"/>
        <v/>
      </c>
      <c r="Y294" s="23" t="str">
        <f t="shared" si="299"/>
        <v/>
      </c>
      <c r="Z294" s="23" t="str">
        <f t="shared" si="299"/>
        <v/>
      </c>
      <c r="AA294" s="23" t="str">
        <f t="shared" si="299"/>
        <v/>
      </c>
      <c r="AB294" s="23" t="str">
        <f t="shared" si="299"/>
        <v/>
      </c>
      <c r="AC294" s="23" t="str">
        <f t="shared" si="299"/>
        <v/>
      </c>
      <c r="AD294" s="23" t="str">
        <f t="shared" si="299"/>
        <v/>
      </c>
      <c r="AE294" s="23" t="str">
        <f t="shared" si="300"/>
        <v/>
      </c>
      <c r="AF294" s="23" t="str">
        <f t="shared" si="300"/>
        <v/>
      </c>
      <c r="AG294" s="23" t="str">
        <f t="shared" si="300"/>
        <v/>
      </c>
      <c r="AH294" s="23" t="str">
        <f t="shared" si="300"/>
        <v/>
      </c>
      <c r="AI294" s="23" t="str">
        <f t="shared" si="300"/>
        <v/>
      </c>
      <c r="AJ294" s="23" t="str">
        <f t="shared" si="300"/>
        <v/>
      </c>
      <c r="AK294" s="23" t="str">
        <f t="shared" si="300"/>
        <v/>
      </c>
      <c r="AL294" s="23" t="str">
        <f t="shared" si="300"/>
        <v/>
      </c>
      <c r="AM294" s="23" t="str">
        <f t="shared" si="300"/>
        <v/>
      </c>
      <c r="AN294" s="23" t="str">
        <f t="shared" si="300"/>
        <v/>
      </c>
      <c r="AO294" s="23" t="str">
        <f t="shared" si="301"/>
        <v/>
      </c>
      <c r="AP294" s="23" t="str">
        <f t="shared" si="301"/>
        <v/>
      </c>
      <c r="AQ294" s="23" t="str">
        <f t="shared" si="301"/>
        <v/>
      </c>
      <c r="AR294" s="23" t="str">
        <f t="shared" si="301"/>
        <v/>
      </c>
      <c r="AS294" s="23" t="str">
        <f t="shared" si="301"/>
        <v/>
      </c>
      <c r="AT294" s="23" t="str">
        <f t="shared" si="301"/>
        <v/>
      </c>
      <c r="AU294" s="23" t="str">
        <f t="shared" si="301"/>
        <v/>
      </c>
      <c r="AV294" s="23" t="str">
        <f t="shared" si="301"/>
        <v/>
      </c>
      <c r="AW294" s="23" t="str">
        <f t="shared" si="301"/>
        <v/>
      </c>
      <c r="AX294" s="23" t="str">
        <f t="shared" si="301"/>
        <v/>
      </c>
      <c r="AY294" s="23" t="str">
        <f t="shared" si="302"/>
        <v/>
      </c>
      <c r="AZ294" s="23" t="str">
        <f t="shared" si="302"/>
        <v/>
      </c>
      <c r="BA294" s="23" t="str">
        <f t="shared" si="302"/>
        <v/>
      </c>
      <c r="BB294" s="23" t="str">
        <f t="shared" si="302"/>
        <v/>
      </c>
      <c r="BC294" s="23" t="str">
        <f t="shared" si="302"/>
        <v/>
      </c>
      <c r="BD294" s="23" t="str">
        <f t="shared" si="302"/>
        <v/>
      </c>
      <c r="BE294" s="23" t="str">
        <f t="shared" si="302"/>
        <v/>
      </c>
      <c r="BF294" s="23" t="str">
        <f t="shared" si="302"/>
        <v/>
      </c>
      <c r="BG294" s="23" t="str">
        <f t="shared" si="302"/>
        <v/>
      </c>
      <c r="BH294" s="23" t="str">
        <f t="shared" si="302"/>
        <v/>
      </c>
      <c r="BI294" s="23" t="str">
        <f t="shared" si="303"/>
        <v/>
      </c>
      <c r="BJ294" s="23" t="str">
        <f t="shared" si="303"/>
        <v/>
      </c>
      <c r="BK294" s="23" t="str">
        <f t="shared" si="303"/>
        <v/>
      </c>
      <c r="BL294" s="23" t="str">
        <f t="shared" si="303"/>
        <v/>
      </c>
      <c r="BM294" s="23" t="str">
        <f t="shared" si="303"/>
        <v/>
      </c>
      <c r="BN294" s="23" t="str">
        <f t="shared" si="303"/>
        <v/>
      </c>
      <c r="BO294" s="23" t="str">
        <f t="shared" si="303"/>
        <v/>
      </c>
      <c r="BP294" s="23" t="str">
        <f t="shared" si="303"/>
        <v/>
      </c>
      <c r="BQ294" s="23" t="str">
        <f t="shared" si="303"/>
        <v/>
      </c>
      <c r="BR294" s="23" t="str">
        <f t="shared" si="303"/>
        <v/>
      </c>
      <c r="BS294" s="23" t="str">
        <f t="shared" si="303"/>
        <v/>
      </c>
      <c r="BU294" s="29" t="s">
        <v>818</v>
      </c>
    </row>
    <row r="295" spans="1:73" x14ac:dyDescent="0.2">
      <c r="BU295" s="30"/>
    </row>
    <row r="296" spans="1:73" ht="17" x14ac:dyDescent="0.2">
      <c r="A296" s="19" t="s">
        <v>841</v>
      </c>
      <c r="B296" s="20" t="s">
        <v>842</v>
      </c>
      <c r="C296" s="19" t="s">
        <v>55</v>
      </c>
      <c r="D296" s="21" t="s">
        <v>128</v>
      </c>
      <c r="E296" s="19"/>
      <c r="F296" s="19"/>
      <c r="G296" s="22">
        <v>8</v>
      </c>
      <c r="H296" s="22">
        <v>5</v>
      </c>
      <c r="I296" s="22">
        <f>MIN(61,IF(G296&lt;=29,ROUND((G296-1)*(29+SlipWeeks)/29,0)+1,G296+SlipWeeks))</f>
        <v>8</v>
      </c>
      <c r="J296" s="22">
        <f>MIN(61,IF(G296+H296-1&lt;=29,MAX(ROUND((G296+H296-1)*(29+SlipWeeks)/29,0),I296),G296+H296-1+SlipWeeks))</f>
        <v>12</v>
      </c>
      <c r="K296" s="23" t="str">
        <f t="shared" ref="K296:T299" si="304">IF(AND(K$4&gt;=$I296,K$4&lt;=$J296),1,"")</f>
        <v/>
      </c>
      <c r="L296" s="23" t="str">
        <f t="shared" si="304"/>
        <v/>
      </c>
      <c r="M296" s="23" t="str">
        <f t="shared" si="304"/>
        <v/>
      </c>
      <c r="N296" s="23" t="str">
        <f t="shared" si="304"/>
        <v/>
      </c>
      <c r="O296" s="23" t="str">
        <f t="shared" si="304"/>
        <v/>
      </c>
      <c r="P296" s="23" t="str">
        <f t="shared" si="304"/>
        <v/>
      </c>
      <c r="Q296" s="23" t="str">
        <f t="shared" si="304"/>
        <v/>
      </c>
      <c r="R296" s="23">
        <f t="shared" si="304"/>
        <v>1</v>
      </c>
      <c r="S296" s="23">
        <f t="shared" si="304"/>
        <v>1</v>
      </c>
      <c r="T296" s="23">
        <f t="shared" si="304"/>
        <v>1</v>
      </c>
      <c r="U296" s="23">
        <f t="shared" ref="U296:AD299" si="305">IF(AND(U$4&gt;=$I296,U$4&lt;=$J296),1,"")</f>
        <v>1</v>
      </c>
      <c r="V296" s="23">
        <f t="shared" si="305"/>
        <v>1</v>
      </c>
      <c r="W296" s="23" t="str">
        <f t="shared" si="305"/>
        <v/>
      </c>
      <c r="X296" s="23" t="str">
        <f t="shared" si="305"/>
        <v/>
      </c>
      <c r="Y296" s="23" t="str">
        <f t="shared" si="305"/>
        <v/>
      </c>
      <c r="Z296" s="23" t="str">
        <f t="shared" si="305"/>
        <v/>
      </c>
      <c r="AA296" s="23" t="str">
        <f t="shared" si="305"/>
        <v/>
      </c>
      <c r="AB296" s="23" t="str">
        <f t="shared" si="305"/>
        <v/>
      </c>
      <c r="AC296" s="23" t="str">
        <f t="shared" si="305"/>
        <v/>
      </c>
      <c r="AD296" s="23" t="str">
        <f t="shared" si="305"/>
        <v/>
      </c>
      <c r="AE296" s="23" t="str">
        <f t="shared" ref="AE296:AN299" si="306">IF(AND(AE$4&gt;=$I296,AE$4&lt;=$J296),1,"")</f>
        <v/>
      </c>
      <c r="AF296" s="23" t="str">
        <f t="shared" si="306"/>
        <v/>
      </c>
      <c r="AG296" s="23" t="str">
        <f t="shared" si="306"/>
        <v/>
      </c>
      <c r="AH296" s="23" t="str">
        <f t="shared" si="306"/>
        <v/>
      </c>
      <c r="AI296" s="23" t="str">
        <f t="shared" si="306"/>
        <v/>
      </c>
      <c r="AJ296" s="23" t="str">
        <f t="shared" si="306"/>
        <v/>
      </c>
      <c r="AK296" s="23" t="str">
        <f t="shared" si="306"/>
        <v/>
      </c>
      <c r="AL296" s="23" t="str">
        <f t="shared" si="306"/>
        <v/>
      </c>
      <c r="AM296" s="23" t="str">
        <f t="shared" si="306"/>
        <v/>
      </c>
      <c r="AN296" s="23" t="str">
        <f t="shared" si="306"/>
        <v/>
      </c>
      <c r="AO296" s="23" t="str">
        <f t="shared" ref="AO296:AX299" si="307">IF(AND(AO$4&gt;=$I296,AO$4&lt;=$J296),1,"")</f>
        <v/>
      </c>
      <c r="AP296" s="23" t="str">
        <f t="shared" si="307"/>
        <v/>
      </c>
      <c r="AQ296" s="23" t="str">
        <f t="shared" si="307"/>
        <v/>
      </c>
      <c r="AR296" s="23" t="str">
        <f t="shared" si="307"/>
        <v/>
      </c>
      <c r="AS296" s="23" t="str">
        <f t="shared" si="307"/>
        <v/>
      </c>
      <c r="AT296" s="23" t="str">
        <f t="shared" si="307"/>
        <v/>
      </c>
      <c r="AU296" s="23" t="str">
        <f t="shared" si="307"/>
        <v/>
      </c>
      <c r="AV296" s="23" t="str">
        <f t="shared" si="307"/>
        <v/>
      </c>
      <c r="AW296" s="23" t="str">
        <f t="shared" si="307"/>
        <v/>
      </c>
      <c r="AX296" s="23" t="str">
        <f t="shared" si="307"/>
        <v/>
      </c>
      <c r="AY296" s="23" t="str">
        <f t="shared" ref="AY296:BH299" si="308">IF(AND(AY$4&gt;=$I296,AY$4&lt;=$J296),1,"")</f>
        <v/>
      </c>
      <c r="AZ296" s="23" t="str">
        <f t="shared" si="308"/>
        <v/>
      </c>
      <c r="BA296" s="23" t="str">
        <f t="shared" si="308"/>
        <v/>
      </c>
      <c r="BB296" s="23" t="str">
        <f t="shared" si="308"/>
        <v/>
      </c>
      <c r="BC296" s="23" t="str">
        <f t="shared" si="308"/>
        <v/>
      </c>
      <c r="BD296" s="23" t="str">
        <f t="shared" si="308"/>
        <v/>
      </c>
      <c r="BE296" s="23" t="str">
        <f t="shared" si="308"/>
        <v/>
      </c>
      <c r="BF296" s="23" t="str">
        <f t="shared" si="308"/>
        <v/>
      </c>
      <c r="BG296" s="23" t="str">
        <f t="shared" si="308"/>
        <v/>
      </c>
      <c r="BH296" s="23" t="str">
        <f t="shared" si="308"/>
        <v/>
      </c>
      <c r="BI296" s="23" t="str">
        <f t="shared" ref="BI296:BS299" si="309">IF(AND(BI$4&gt;=$I296,BI$4&lt;=$J296),1,"")</f>
        <v/>
      </c>
      <c r="BJ296" s="23" t="str">
        <f t="shared" si="309"/>
        <v/>
      </c>
      <c r="BK296" s="23" t="str">
        <f t="shared" si="309"/>
        <v/>
      </c>
      <c r="BL296" s="23" t="str">
        <f t="shared" si="309"/>
        <v/>
      </c>
      <c r="BM296" s="23" t="str">
        <f t="shared" si="309"/>
        <v/>
      </c>
      <c r="BN296" s="23" t="str">
        <f t="shared" si="309"/>
        <v/>
      </c>
      <c r="BO296" s="23" t="str">
        <f t="shared" si="309"/>
        <v/>
      </c>
      <c r="BP296" s="23" t="str">
        <f t="shared" si="309"/>
        <v/>
      </c>
      <c r="BQ296" s="23" t="str">
        <f t="shared" si="309"/>
        <v/>
      </c>
      <c r="BR296" s="23" t="str">
        <f t="shared" si="309"/>
        <v/>
      </c>
      <c r="BS296" s="23" t="str">
        <f t="shared" si="309"/>
        <v/>
      </c>
      <c r="BT296" s="24" t="str">
        <f>IF(IF(G296+H296-1&lt;=29,MAX(ROUND((G296+H296-1)*(29+SlipWeeks)/29,0),$I296),G296+H296-1+SlipWeeks)&gt;61,"▶ clipped","")</f>
        <v/>
      </c>
      <c r="BU296" s="29" t="s">
        <v>843</v>
      </c>
    </row>
    <row r="297" spans="1:73" ht="17" outlineLevel="1" x14ac:dyDescent="0.2">
      <c r="A297" s="6" t="s">
        <v>844</v>
      </c>
      <c r="B297" s="25" t="s">
        <v>845</v>
      </c>
      <c r="C297" s="6" t="s">
        <v>55</v>
      </c>
      <c r="D297" s="24" t="s">
        <v>128</v>
      </c>
      <c r="F297" s="6"/>
      <c r="G297" s="22">
        <v>8</v>
      </c>
      <c r="H297" s="22">
        <v>2</v>
      </c>
      <c r="I297" s="22">
        <f>MEDIAN($I$296,$J$296,$I$296+ROUND((G297-$G$296)/$H$296*($J$296-$I$296+1),0))</f>
        <v>8</v>
      </c>
      <c r="J297" s="22">
        <f>MEDIAN(I297,$J$296,$I$296+ROUND((G297+H297-$G$296)/$H$296*($J$296-$I$296+1),0)-1)</f>
        <v>9</v>
      </c>
      <c r="K297" s="23" t="str">
        <f t="shared" si="304"/>
        <v/>
      </c>
      <c r="L297" s="23" t="str">
        <f t="shared" si="304"/>
        <v/>
      </c>
      <c r="M297" s="23" t="str">
        <f t="shared" si="304"/>
        <v/>
      </c>
      <c r="N297" s="23" t="str">
        <f t="shared" si="304"/>
        <v/>
      </c>
      <c r="O297" s="23" t="str">
        <f t="shared" si="304"/>
        <v/>
      </c>
      <c r="P297" s="23" t="str">
        <f t="shared" si="304"/>
        <v/>
      </c>
      <c r="Q297" s="23" t="str">
        <f t="shared" si="304"/>
        <v/>
      </c>
      <c r="R297" s="23">
        <f t="shared" si="304"/>
        <v>1</v>
      </c>
      <c r="S297" s="23">
        <f t="shared" si="304"/>
        <v>1</v>
      </c>
      <c r="T297" s="23" t="str">
        <f t="shared" si="304"/>
        <v/>
      </c>
      <c r="U297" s="23" t="str">
        <f t="shared" si="305"/>
        <v/>
      </c>
      <c r="V297" s="23" t="str">
        <f t="shared" si="305"/>
        <v/>
      </c>
      <c r="W297" s="23" t="str">
        <f t="shared" si="305"/>
        <v/>
      </c>
      <c r="X297" s="23" t="str">
        <f t="shared" si="305"/>
        <v/>
      </c>
      <c r="Y297" s="23" t="str">
        <f t="shared" si="305"/>
        <v/>
      </c>
      <c r="Z297" s="23" t="str">
        <f t="shared" si="305"/>
        <v/>
      </c>
      <c r="AA297" s="23" t="str">
        <f t="shared" si="305"/>
        <v/>
      </c>
      <c r="AB297" s="23" t="str">
        <f t="shared" si="305"/>
        <v/>
      </c>
      <c r="AC297" s="23" t="str">
        <f t="shared" si="305"/>
        <v/>
      </c>
      <c r="AD297" s="23" t="str">
        <f t="shared" si="305"/>
        <v/>
      </c>
      <c r="AE297" s="23" t="str">
        <f t="shared" si="306"/>
        <v/>
      </c>
      <c r="AF297" s="23" t="str">
        <f t="shared" si="306"/>
        <v/>
      </c>
      <c r="AG297" s="23" t="str">
        <f t="shared" si="306"/>
        <v/>
      </c>
      <c r="AH297" s="23" t="str">
        <f t="shared" si="306"/>
        <v/>
      </c>
      <c r="AI297" s="23" t="str">
        <f t="shared" si="306"/>
        <v/>
      </c>
      <c r="AJ297" s="23" t="str">
        <f t="shared" si="306"/>
        <v/>
      </c>
      <c r="AK297" s="23" t="str">
        <f t="shared" si="306"/>
        <v/>
      </c>
      <c r="AL297" s="23" t="str">
        <f t="shared" si="306"/>
        <v/>
      </c>
      <c r="AM297" s="23" t="str">
        <f t="shared" si="306"/>
        <v/>
      </c>
      <c r="AN297" s="23" t="str">
        <f t="shared" si="306"/>
        <v/>
      </c>
      <c r="AO297" s="23" t="str">
        <f t="shared" si="307"/>
        <v/>
      </c>
      <c r="AP297" s="23" t="str">
        <f t="shared" si="307"/>
        <v/>
      </c>
      <c r="AQ297" s="23" t="str">
        <f t="shared" si="307"/>
        <v/>
      </c>
      <c r="AR297" s="23" t="str">
        <f t="shared" si="307"/>
        <v/>
      </c>
      <c r="AS297" s="23" t="str">
        <f t="shared" si="307"/>
        <v/>
      </c>
      <c r="AT297" s="23" t="str">
        <f t="shared" si="307"/>
        <v/>
      </c>
      <c r="AU297" s="23" t="str">
        <f t="shared" si="307"/>
        <v/>
      </c>
      <c r="AV297" s="23" t="str">
        <f t="shared" si="307"/>
        <v/>
      </c>
      <c r="AW297" s="23" t="str">
        <f t="shared" si="307"/>
        <v/>
      </c>
      <c r="AX297" s="23" t="str">
        <f t="shared" si="307"/>
        <v/>
      </c>
      <c r="AY297" s="23" t="str">
        <f t="shared" si="308"/>
        <v/>
      </c>
      <c r="AZ297" s="23" t="str">
        <f t="shared" si="308"/>
        <v/>
      </c>
      <c r="BA297" s="23" t="str">
        <f t="shared" si="308"/>
        <v/>
      </c>
      <c r="BB297" s="23" t="str">
        <f t="shared" si="308"/>
        <v/>
      </c>
      <c r="BC297" s="23" t="str">
        <f t="shared" si="308"/>
        <v/>
      </c>
      <c r="BD297" s="23" t="str">
        <f t="shared" si="308"/>
        <v/>
      </c>
      <c r="BE297" s="23" t="str">
        <f t="shared" si="308"/>
        <v/>
      </c>
      <c r="BF297" s="23" t="str">
        <f t="shared" si="308"/>
        <v/>
      </c>
      <c r="BG297" s="23" t="str">
        <f t="shared" si="308"/>
        <v/>
      </c>
      <c r="BH297" s="23" t="str">
        <f t="shared" si="308"/>
        <v/>
      </c>
      <c r="BI297" s="23" t="str">
        <f t="shared" si="309"/>
        <v/>
      </c>
      <c r="BJ297" s="23" t="str">
        <f t="shared" si="309"/>
        <v/>
      </c>
      <c r="BK297" s="23" t="str">
        <f t="shared" si="309"/>
        <v/>
      </c>
      <c r="BL297" s="23" t="str">
        <f t="shared" si="309"/>
        <v/>
      </c>
      <c r="BM297" s="23" t="str">
        <f t="shared" si="309"/>
        <v/>
      </c>
      <c r="BN297" s="23" t="str">
        <f t="shared" si="309"/>
        <v/>
      </c>
      <c r="BO297" s="23" t="str">
        <f t="shared" si="309"/>
        <v/>
      </c>
      <c r="BP297" s="23" t="str">
        <f t="shared" si="309"/>
        <v/>
      </c>
      <c r="BQ297" s="23" t="str">
        <f t="shared" si="309"/>
        <v/>
      </c>
      <c r="BR297" s="23" t="str">
        <f t="shared" si="309"/>
        <v/>
      </c>
      <c r="BS297" s="23" t="str">
        <f t="shared" si="309"/>
        <v/>
      </c>
      <c r="BU297" s="29" t="s">
        <v>818</v>
      </c>
    </row>
    <row r="298" spans="1:73" ht="17" outlineLevel="1" x14ac:dyDescent="0.2">
      <c r="A298" s="6" t="s">
        <v>846</v>
      </c>
      <c r="B298" s="25" t="s">
        <v>847</v>
      </c>
      <c r="C298" s="6" t="s">
        <v>55</v>
      </c>
      <c r="D298" s="24" t="s">
        <v>128</v>
      </c>
      <c r="F298" s="6"/>
      <c r="G298" s="22">
        <v>10</v>
      </c>
      <c r="H298" s="22">
        <v>2</v>
      </c>
      <c r="I298" s="22">
        <f>MEDIAN($I$296,$J$296,$I$296+ROUND((G298-$G$296)/$H$296*($J$296-$I$296+1),0))</f>
        <v>10</v>
      </c>
      <c r="J298" s="22">
        <f>MEDIAN(I298,$J$296,$I$296+ROUND((G298+H298-$G$296)/$H$296*($J$296-$I$296+1),0)-1)</f>
        <v>11</v>
      </c>
      <c r="K298" s="23" t="str">
        <f t="shared" si="304"/>
        <v/>
      </c>
      <c r="L298" s="23" t="str">
        <f t="shared" si="304"/>
        <v/>
      </c>
      <c r="M298" s="23" t="str">
        <f t="shared" si="304"/>
        <v/>
      </c>
      <c r="N298" s="23" t="str">
        <f t="shared" si="304"/>
        <v/>
      </c>
      <c r="O298" s="23" t="str">
        <f t="shared" si="304"/>
        <v/>
      </c>
      <c r="P298" s="23" t="str">
        <f t="shared" si="304"/>
        <v/>
      </c>
      <c r="Q298" s="23" t="str">
        <f t="shared" si="304"/>
        <v/>
      </c>
      <c r="R298" s="23" t="str">
        <f t="shared" si="304"/>
        <v/>
      </c>
      <c r="S298" s="23" t="str">
        <f t="shared" si="304"/>
        <v/>
      </c>
      <c r="T298" s="23">
        <f t="shared" si="304"/>
        <v>1</v>
      </c>
      <c r="U298" s="23">
        <f t="shared" si="305"/>
        <v>1</v>
      </c>
      <c r="V298" s="23" t="str">
        <f t="shared" si="305"/>
        <v/>
      </c>
      <c r="W298" s="23" t="str">
        <f t="shared" si="305"/>
        <v/>
      </c>
      <c r="X298" s="23" t="str">
        <f t="shared" si="305"/>
        <v/>
      </c>
      <c r="Y298" s="23" t="str">
        <f t="shared" si="305"/>
        <v/>
      </c>
      <c r="Z298" s="23" t="str">
        <f t="shared" si="305"/>
        <v/>
      </c>
      <c r="AA298" s="23" t="str">
        <f t="shared" si="305"/>
        <v/>
      </c>
      <c r="AB298" s="23" t="str">
        <f t="shared" si="305"/>
        <v/>
      </c>
      <c r="AC298" s="23" t="str">
        <f t="shared" si="305"/>
        <v/>
      </c>
      <c r="AD298" s="23" t="str">
        <f t="shared" si="305"/>
        <v/>
      </c>
      <c r="AE298" s="23" t="str">
        <f t="shared" si="306"/>
        <v/>
      </c>
      <c r="AF298" s="23" t="str">
        <f t="shared" si="306"/>
        <v/>
      </c>
      <c r="AG298" s="23" t="str">
        <f t="shared" si="306"/>
        <v/>
      </c>
      <c r="AH298" s="23" t="str">
        <f t="shared" si="306"/>
        <v/>
      </c>
      <c r="AI298" s="23" t="str">
        <f t="shared" si="306"/>
        <v/>
      </c>
      <c r="AJ298" s="23" t="str">
        <f t="shared" si="306"/>
        <v/>
      </c>
      <c r="AK298" s="23" t="str">
        <f t="shared" si="306"/>
        <v/>
      </c>
      <c r="AL298" s="23" t="str">
        <f t="shared" si="306"/>
        <v/>
      </c>
      <c r="AM298" s="23" t="str">
        <f t="shared" si="306"/>
        <v/>
      </c>
      <c r="AN298" s="23" t="str">
        <f t="shared" si="306"/>
        <v/>
      </c>
      <c r="AO298" s="23" t="str">
        <f t="shared" si="307"/>
        <v/>
      </c>
      <c r="AP298" s="23" t="str">
        <f t="shared" si="307"/>
        <v/>
      </c>
      <c r="AQ298" s="23" t="str">
        <f t="shared" si="307"/>
        <v/>
      </c>
      <c r="AR298" s="23" t="str">
        <f t="shared" si="307"/>
        <v/>
      </c>
      <c r="AS298" s="23" t="str">
        <f t="shared" si="307"/>
        <v/>
      </c>
      <c r="AT298" s="23" t="str">
        <f t="shared" si="307"/>
        <v/>
      </c>
      <c r="AU298" s="23" t="str">
        <f t="shared" si="307"/>
        <v/>
      </c>
      <c r="AV298" s="23" t="str">
        <f t="shared" si="307"/>
        <v/>
      </c>
      <c r="AW298" s="23" t="str">
        <f t="shared" si="307"/>
        <v/>
      </c>
      <c r="AX298" s="23" t="str">
        <f t="shared" si="307"/>
        <v/>
      </c>
      <c r="AY298" s="23" t="str">
        <f t="shared" si="308"/>
        <v/>
      </c>
      <c r="AZ298" s="23" t="str">
        <f t="shared" si="308"/>
        <v/>
      </c>
      <c r="BA298" s="23" t="str">
        <f t="shared" si="308"/>
        <v/>
      </c>
      <c r="BB298" s="23" t="str">
        <f t="shared" si="308"/>
        <v/>
      </c>
      <c r="BC298" s="23" t="str">
        <f t="shared" si="308"/>
        <v/>
      </c>
      <c r="BD298" s="23" t="str">
        <f t="shared" si="308"/>
        <v/>
      </c>
      <c r="BE298" s="23" t="str">
        <f t="shared" si="308"/>
        <v/>
      </c>
      <c r="BF298" s="23" t="str">
        <f t="shared" si="308"/>
        <v/>
      </c>
      <c r="BG298" s="23" t="str">
        <f t="shared" si="308"/>
        <v/>
      </c>
      <c r="BH298" s="23" t="str">
        <f t="shared" si="308"/>
        <v/>
      </c>
      <c r="BI298" s="23" t="str">
        <f t="shared" si="309"/>
        <v/>
      </c>
      <c r="BJ298" s="23" t="str">
        <f t="shared" si="309"/>
        <v/>
      </c>
      <c r="BK298" s="23" t="str">
        <f t="shared" si="309"/>
        <v/>
      </c>
      <c r="BL298" s="23" t="str">
        <f t="shared" si="309"/>
        <v/>
      </c>
      <c r="BM298" s="23" t="str">
        <f t="shared" si="309"/>
        <v/>
      </c>
      <c r="BN298" s="23" t="str">
        <f t="shared" si="309"/>
        <v/>
      </c>
      <c r="BO298" s="23" t="str">
        <f t="shared" si="309"/>
        <v/>
      </c>
      <c r="BP298" s="23" t="str">
        <f t="shared" si="309"/>
        <v/>
      </c>
      <c r="BQ298" s="23" t="str">
        <f t="shared" si="309"/>
        <v/>
      </c>
      <c r="BR298" s="23" t="str">
        <f t="shared" si="309"/>
        <v/>
      </c>
      <c r="BS298" s="23" t="str">
        <f t="shared" si="309"/>
        <v/>
      </c>
      <c r="BU298" s="29" t="s">
        <v>818</v>
      </c>
    </row>
    <row r="299" spans="1:73" ht="17" outlineLevel="1" x14ac:dyDescent="0.2">
      <c r="A299" s="6" t="s">
        <v>848</v>
      </c>
      <c r="B299" s="25" t="s">
        <v>849</v>
      </c>
      <c r="C299" s="6" t="s">
        <v>55</v>
      </c>
      <c r="D299" s="24" t="s">
        <v>128</v>
      </c>
      <c r="F299" s="6"/>
      <c r="G299" s="22">
        <v>12</v>
      </c>
      <c r="H299" s="22">
        <v>1</v>
      </c>
      <c r="I299" s="22">
        <f>MEDIAN($I$296,$J$296,$I$296+ROUND((G299-$G$296)/$H$296*($J$296-$I$296+1),0))</f>
        <v>12</v>
      </c>
      <c r="J299" s="22">
        <f>MEDIAN(I299,$J$296,$I$296+ROUND((G299+H299-$G$296)/$H$296*($J$296-$I$296+1),0)-1)</f>
        <v>12</v>
      </c>
      <c r="K299" s="23" t="str">
        <f t="shared" si="304"/>
        <v/>
      </c>
      <c r="L299" s="23" t="str">
        <f t="shared" si="304"/>
        <v/>
      </c>
      <c r="M299" s="23" t="str">
        <f t="shared" si="304"/>
        <v/>
      </c>
      <c r="N299" s="23" t="str">
        <f t="shared" si="304"/>
        <v/>
      </c>
      <c r="O299" s="23" t="str">
        <f t="shared" si="304"/>
        <v/>
      </c>
      <c r="P299" s="23" t="str">
        <f t="shared" si="304"/>
        <v/>
      </c>
      <c r="Q299" s="23" t="str">
        <f t="shared" si="304"/>
        <v/>
      </c>
      <c r="R299" s="23" t="str">
        <f t="shared" si="304"/>
        <v/>
      </c>
      <c r="S299" s="23" t="str">
        <f t="shared" si="304"/>
        <v/>
      </c>
      <c r="T299" s="23" t="str">
        <f t="shared" si="304"/>
        <v/>
      </c>
      <c r="U299" s="23" t="str">
        <f t="shared" si="305"/>
        <v/>
      </c>
      <c r="V299" s="23">
        <f t="shared" si="305"/>
        <v>1</v>
      </c>
      <c r="W299" s="23" t="str">
        <f t="shared" si="305"/>
        <v/>
      </c>
      <c r="X299" s="23" t="str">
        <f t="shared" si="305"/>
        <v/>
      </c>
      <c r="Y299" s="23" t="str">
        <f t="shared" si="305"/>
        <v/>
      </c>
      <c r="Z299" s="23" t="str">
        <f t="shared" si="305"/>
        <v/>
      </c>
      <c r="AA299" s="23" t="str">
        <f t="shared" si="305"/>
        <v/>
      </c>
      <c r="AB299" s="23" t="str">
        <f t="shared" si="305"/>
        <v/>
      </c>
      <c r="AC299" s="23" t="str">
        <f t="shared" si="305"/>
        <v/>
      </c>
      <c r="AD299" s="23" t="str">
        <f t="shared" si="305"/>
        <v/>
      </c>
      <c r="AE299" s="23" t="str">
        <f t="shared" si="306"/>
        <v/>
      </c>
      <c r="AF299" s="23" t="str">
        <f t="shared" si="306"/>
        <v/>
      </c>
      <c r="AG299" s="23" t="str">
        <f t="shared" si="306"/>
        <v/>
      </c>
      <c r="AH299" s="23" t="str">
        <f t="shared" si="306"/>
        <v/>
      </c>
      <c r="AI299" s="23" t="str">
        <f t="shared" si="306"/>
        <v/>
      </c>
      <c r="AJ299" s="23" t="str">
        <f t="shared" si="306"/>
        <v/>
      </c>
      <c r="AK299" s="23" t="str">
        <f t="shared" si="306"/>
        <v/>
      </c>
      <c r="AL299" s="23" t="str">
        <f t="shared" si="306"/>
        <v/>
      </c>
      <c r="AM299" s="23" t="str">
        <f t="shared" si="306"/>
        <v/>
      </c>
      <c r="AN299" s="23" t="str">
        <f t="shared" si="306"/>
        <v/>
      </c>
      <c r="AO299" s="23" t="str">
        <f t="shared" si="307"/>
        <v/>
      </c>
      <c r="AP299" s="23" t="str">
        <f t="shared" si="307"/>
        <v/>
      </c>
      <c r="AQ299" s="23" t="str">
        <f t="shared" si="307"/>
        <v/>
      </c>
      <c r="AR299" s="23" t="str">
        <f t="shared" si="307"/>
        <v/>
      </c>
      <c r="AS299" s="23" t="str">
        <f t="shared" si="307"/>
        <v/>
      </c>
      <c r="AT299" s="23" t="str">
        <f t="shared" si="307"/>
        <v/>
      </c>
      <c r="AU299" s="23" t="str">
        <f t="shared" si="307"/>
        <v/>
      </c>
      <c r="AV299" s="23" t="str">
        <f t="shared" si="307"/>
        <v/>
      </c>
      <c r="AW299" s="23" t="str">
        <f t="shared" si="307"/>
        <v/>
      </c>
      <c r="AX299" s="23" t="str">
        <f t="shared" si="307"/>
        <v/>
      </c>
      <c r="AY299" s="23" t="str">
        <f t="shared" si="308"/>
        <v/>
      </c>
      <c r="AZ299" s="23" t="str">
        <f t="shared" si="308"/>
        <v/>
      </c>
      <c r="BA299" s="23" t="str">
        <f t="shared" si="308"/>
        <v/>
      </c>
      <c r="BB299" s="23" t="str">
        <f t="shared" si="308"/>
        <v/>
      </c>
      <c r="BC299" s="23" t="str">
        <f t="shared" si="308"/>
        <v/>
      </c>
      <c r="BD299" s="23" t="str">
        <f t="shared" si="308"/>
        <v/>
      </c>
      <c r="BE299" s="23" t="str">
        <f t="shared" si="308"/>
        <v/>
      </c>
      <c r="BF299" s="23" t="str">
        <f t="shared" si="308"/>
        <v/>
      </c>
      <c r="BG299" s="23" t="str">
        <f t="shared" si="308"/>
        <v/>
      </c>
      <c r="BH299" s="23" t="str">
        <f t="shared" si="308"/>
        <v/>
      </c>
      <c r="BI299" s="23" t="str">
        <f t="shared" si="309"/>
        <v/>
      </c>
      <c r="BJ299" s="23" t="str">
        <f t="shared" si="309"/>
        <v/>
      </c>
      <c r="BK299" s="23" t="str">
        <f t="shared" si="309"/>
        <v/>
      </c>
      <c r="BL299" s="23" t="str">
        <f t="shared" si="309"/>
        <v/>
      </c>
      <c r="BM299" s="23" t="str">
        <f t="shared" si="309"/>
        <v/>
      </c>
      <c r="BN299" s="23" t="str">
        <f t="shared" si="309"/>
        <v/>
      </c>
      <c r="BO299" s="23" t="str">
        <f t="shared" si="309"/>
        <v/>
      </c>
      <c r="BP299" s="23" t="str">
        <f t="shared" si="309"/>
        <v/>
      </c>
      <c r="BQ299" s="23" t="str">
        <f t="shared" si="309"/>
        <v/>
      </c>
      <c r="BR299" s="23" t="str">
        <f t="shared" si="309"/>
        <v/>
      </c>
      <c r="BS299" s="23" t="str">
        <f t="shared" si="309"/>
        <v/>
      </c>
      <c r="BU299" s="29" t="s">
        <v>818</v>
      </c>
    </row>
    <row r="300" spans="1:73" x14ac:dyDescent="0.2">
      <c r="BU300" s="30"/>
    </row>
    <row r="301" spans="1:73" ht="17" x14ac:dyDescent="0.2">
      <c r="A301" s="19" t="s">
        <v>850</v>
      </c>
      <c r="B301" s="20" t="s">
        <v>851</v>
      </c>
      <c r="C301" s="19" t="s">
        <v>55</v>
      </c>
      <c r="D301" s="21" t="s">
        <v>128</v>
      </c>
      <c r="E301" s="19" t="s">
        <v>73</v>
      </c>
      <c r="F301" s="19"/>
      <c r="G301" s="22">
        <v>10</v>
      </c>
      <c r="H301" s="22">
        <v>6</v>
      </c>
      <c r="I301" s="22">
        <f>MIN(61,IF(G301&lt;=29,ROUND((G301-1)*(29+SlipWeeks)/29,0)+1,G301+SlipWeeks))</f>
        <v>10</v>
      </c>
      <c r="J301" s="22">
        <f>MIN(61,IF(G301+H301-1&lt;=29,MAX(ROUND((G301+H301-1)*(29+SlipWeeks)/29,0),I301),G301+H301-1+SlipWeeks))</f>
        <v>15</v>
      </c>
      <c r="K301" s="23" t="str">
        <f t="shared" ref="K301:T304" si="310">IF(AND(K$4&gt;=$I301,K$4&lt;=$J301),1,"")</f>
        <v/>
      </c>
      <c r="L301" s="23" t="str">
        <f t="shared" si="310"/>
        <v/>
      </c>
      <c r="M301" s="23" t="str">
        <f t="shared" si="310"/>
        <v/>
      </c>
      <c r="N301" s="23" t="str">
        <f t="shared" si="310"/>
        <v/>
      </c>
      <c r="O301" s="23" t="str">
        <f t="shared" si="310"/>
        <v/>
      </c>
      <c r="P301" s="23" t="str">
        <f t="shared" si="310"/>
        <v/>
      </c>
      <c r="Q301" s="23" t="str">
        <f t="shared" si="310"/>
        <v/>
      </c>
      <c r="R301" s="23" t="str">
        <f t="shared" si="310"/>
        <v/>
      </c>
      <c r="S301" s="23" t="str">
        <f t="shared" si="310"/>
        <v/>
      </c>
      <c r="T301" s="23">
        <f t="shared" si="310"/>
        <v>1</v>
      </c>
      <c r="U301" s="23">
        <f t="shared" ref="U301:AD304" si="311">IF(AND(U$4&gt;=$I301,U$4&lt;=$J301),1,"")</f>
        <v>1</v>
      </c>
      <c r="V301" s="23">
        <f t="shared" si="311"/>
        <v>1</v>
      </c>
      <c r="W301" s="23">
        <f t="shared" si="311"/>
        <v>1</v>
      </c>
      <c r="X301" s="23">
        <f t="shared" si="311"/>
        <v>1</v>
      </c>
      <c r="Y301" s="23">
        <f t="shared" si="311"/>
        <v>1</v>
      </c>
      <c r="Z301" s="23" t="str">
        <f t="shared" si="311"/>
        <v/>
      </c>
      <c r="AA301" s="23" t="str">
        <f t="shared" si="311"/>
        <v/>
      </c>
      <c r="AB301" s="23" t="str">
        <f t="shared" si="311"/>
        <v/>
      </c>
      <c r="AC301" s="23" t="str">
        <f t="shared" si="311"/>
        <v/>
      </c>
      <c r="AD301" s="23" t="str">
        <f t="shared" si="311"/>
        <v/>
      </c>
      <c r="AE301" s="23" t="str">
        <f t="shared" ref="AE301:AN304" si="312">IF(AND(AE$4&gt;=$I301,AE$4&lt;=$J301),1,"")</f>
        <v/>
      </c>
      <c r="AF301" s="23" t="str">
        <f t="shared" si="312"/>
        <v/>
      </c>
      <c r="AG301" s="23" t="str">
        <f t="shared" si="312"/>
        <v/>
      </c>
      <c r="AH301" s="23" t="str">
        <f t="shared" si="312"/>
        <v/>
      </c>
      <c r="AI301" s="23" t="str">
        <f t="shared" si="312"/>
        <v/>
      </c>
      <c r="AJ301" s="23" t="str">
        <f t="shared" si="312"/>
        <v/>
      </c>
      <c r="AK301" s="23" t="str">
        <f t="shared" si="312"/>
        <v/>
      </c>
      <c r="AL301" s="23" t="str">
        <f t="shared" si="312"/>
        <v/>
      </c>
      <c r="AM301" s="23" t="str">
        <f t="shared" si="312"/>
        <v/>
      </c>
      <c r="AN301" s="23" t="str">
        <f t="shared" si="312"/>
        <v/>
      </c>
      <c r="AO301" s="23" t="str">
        <f t="shared" ref="AO301:AX304" si="313">IF(AND(AO$4&gt;=$I301,AO$4&lt;=$J301),1,"")</f>
        <v/>
      </c>
      <c r="AP301" s="23" t="str">
        <f t="shared" si="313"/>
        <v/>
      </c>
      <c r="AQ301" s="23" t="str">
        <f t="shared" si="313"/>
        <v/>
      </c>
      <c r="AR301" s="23" t="str">
        <f t="shared" si="313"/>
        <v/>
      </c>
      <c r="AS301" s="23" t="str">
        <f t="shared" si="313"/>
        <v/>
      </c>
      <c r="AT301" s="23" t="str">
        <f t="shared" si="313"/>
        <v/>
      </c>
      <c r="AU301" s="23" t="str">
        <f t="shared" si="313"/>
        <v/>
      </c>
      <c r="AV301" s="23" t="str">
        <f t="shared" si="313"/>
        <v/>
      </c>
      <c r="AW301" s="23" t="str">
        <f t="shared" si="313"/>
        <v/>
      </c>
      <c r="AX301" s="23" t="str">
        <f t="shared" si="313"/>
        <v/>
      </c>
      <c r="AY301" s="23" t="str">
        <f t="shared" ref="AY301:BH304" si="314">IF(AND(AY$4&gt;=$I301,AY$4&lt;=$J301),1,"")</f>
        <v/>
      </c>
      <c r="AZ301" s="23" t="str">
        <f t="shared" si="314"/>
        <v/>
      </c>
      <c r="BA301" s="23" t="str">
        <f t="shared" si="314"/>
        <v/>
      </c>
      <c r="BB301" s="23" t="str">
        <f t="shared" si="314"/>
        <v/>
      </c>
      <c r="BC301" s="23" t="str">
        <f t="shared" si="314"/>
        <v/>
      </c>
      <c r="BD301" s="23" t="str">
        <f t="shared" si="314"/>
        <v/>
      </c>
      <c r="BE301" s="23" t="str">
        <f t="shared" si="314"/>
        <v/>
      </c>
      <c r="BF301" s="23" t="str">
        <f t="shared" si="314"/>
        <v/>
      </c>
      <c r="BG301" s="23" t="str">
        <f t="shared" si="314"/>
        <v/>
      </c>
      <c r="BH301" s="23" t="str">
        <f t="shared" si="314"/>
        <v/>
      </c>
      <c r="BI301" s="23" t="str">
        <f t="shared" ref="BI301:BS304" si="315">IF(AND(BI$4&gt;=$I301,BI$4&lt;=$J301),1,"")</f>
        <v/>
      </c>
      <c r="BJ301" s="23" t="str">
        <f t="shared" si="315"/>
        <v/>
      </c>
      <c r="BK301" s="23" t="str">
        <f t="shared" si="315"/>
        <v/>
      </c>
      <c r="BL301" s="23" t="str">
        <f t="shared" si="315"/>
        <v/>
      </c>
      <c r="BM301" s="23" t="str">
        <f t="shared" si="315"/>
        <v/>
      </c>
      <c r="BN301" s="23" t="str">
        <f t="shared" si="315"/>
        <v/>
      </c>
      <c r="BO301" s="23" t="str">
        <f t="shared" si="315"/>
        <v/>
      </c>
      <c r="BP301" s="23" t="str">
        <f t="shared" si="315"/>
        <v/>
      </c>
      <c r="BQ301" s="23" t="str">
        <f t="shared" si="315"/>
        <v/>
      </c>
      <c r="BR301" s="23" t="str">
        <f t="shared" si="315"/>
        <v/>
      </c>
      <c r="BS301" s="23" t="str">
        <f t="shared" si="315"/>
        <v/>
      </c>
      <c r="BT301" s="24" t="str">
        <f>IF(IF(G301+H301-1&lt;=29,MAX(ROUND((G301+H301-1)*(29+SlipWeeks)/29,0),$I301),G301+H301-1+SlipWeeks)&gt;61,"▶ clipped","")</f>
        <v/>
      </c>
      <c r="BU301" s="29" t="s">
        <v>852</v>
      </c>
    </row>
    <row r="302" spans="1:73" ht="17" outlineLevel="1" x14ac:dyDescent="0.2">
      <c r="A302" s="6" t="s">
        <v>853</v>
      </c>
      <c r="B302" s="25" t="s">
        <v>854</v>
      </c>
      <c r="C302" s="6" t="s">
        <v>55</v>
      </c>
      <c r="D302" s="24" t="s">
        <v>128</v>
      </c>
      <c r="F302" s="6"/>
      <c r="G302" s="22">
        <v>10</v>
      </c>
      <c r="H302" s="22">
        <v>2</v>
      </c>
      <c r="I302" s="22">
        <f>MEDIAN($I$301,$J$301,$I$301+ROUND((G302-$G$301)/$H$301*($J$301-$I$301+1),0))</f>
        <v>10</v>
      </c>
      <c r="J302" s="22">
        <f>MEDIAN(I302,$J$301,$I$301+ROUND((G302+H302-$G$301)/$H$301*($J$301-$I$301+1),0)-1)</f>
        <v>11</v>
      </c>
      <c r="K302" s="23" t="str">
        <f t="shared" si="310"/>
        <v/>
      </c>
      <c r="L302" s="23" t="str">
        <f t="shared" si="310"/>
        <v/>
      </c>
      <c r="M302" s="23" t="str">
        <f t="shared" si="310"/>
        <v/>
      </c>
      <c r="N302" s="23" t="str">
        <f t="shared" si="310"/>
        <v/>
      </c>
      <c r="O302" s="23" t="str">
        <f t="shared" si="310"/>
        <v/>
      </c>
      <c r="P302" s="23" t="str">
        <f t="shared" si="310"/>
        <v/>
      </c>
      <c r="Q302" s="23" t="str">
        <f t="shared" si="310"/>
        <v/>
      </c>
      <c r="R302" s="23" t="str">
        <f t="shared" si="310"/>
        <v/>
      </c>
      <c r="S302" s="23" t="str">
        <f t="shared" si="310"/>
        <v/>
      </c>
      <c r="T302" s="23">
        <f t="shared" si="310"/>
        <v>1</v>
      </c>
      <c r="U302" s="23">
        <f t="shared" si="311"/>
        <v>1</v>
      </c>
      <c r="V302" s="23" t="str">
        <f t="shared" si="311"/>
        <v/>
      </c>
      <c r="W302" s="23" t="str">
        <f t="shared" si="311"/>
        <v/>
      </c>
      <c r="X302" s="23" t="str">
        <f t="shared" si="311"/>
        <v/>
      </c>
      <c r="Y302" s="23" t="str">
        <f t="shared" si="311"/>
        <v/>
      </c>
      <c r="Z302" s="23" t="str">
        <f t="shared" si="311"/>
        <v/>
      </c>
      <c r="AA302" s="23" t="str">
        <f t="shared" si="311"/>
        <v/>
      </c>
      <c r="AB302" s="23" t="str">
        <f t="shared" si="311"/>
        <v/>
      </c>
      <c r="AC302" s="23" t="str">
        <f t="shared" si="311"/>
        <v/>
      </c>
      <c r="AD302" s="23" t="str">
        <f t="shared" si="311"/>
        <v/>
      </c>
      <c r="AE302" s="23" t="str">
        <f t="shared" si="312"/>
        <v/>
      </c>
      <c r="AF302" s="23" t="str">
        <f t="shared" si="312"/>
        <v/>
      </c>
      <c r="AG302" s="23" t="str">
        <f t="shared" si="312"/>
        <v/>
      </c>
      <c r="AH302" s="23" t="str">
        <f t="shared" si="312"/>
        <v/>
      </c>
      <c r="AI302" s="23" t="str">
        <f t="shared" si="312"/>
        <v/>
      </c>
      <c r="AJ302" s="23" t="str">
        <f t="shared" si="312"/>
        <v/>
      </c>
      <c r="AK302" s="23" t="str">
        <f t="shared" si="312"/>
        <v/>
      </c>
      <c r="AL302" s="23" t="str">
        <f t="shared" si="312"/>
        <v/>
      </c>
      <c r="AM302" s="23" t="str">
        <f t="shared" si="312"/>
        <v/>
      </c>
      <c r="AN302" s="23" t="str">
        <f t="shared" si="312"/>
        <v/>
      </c>
      <c r="AO302" s="23" t="str">
        <f t="shared" si="313"/>
        <v/>
      </c>
      <c r="AP302" s="23" t="str">
        <f t="shared" si="313"/>
        <v/>
      </c>
      <c r="AQ302" s="23" t="str">
        <f t="shared" si="313"/>
        <v/>
      </c>
      <c r="AR302" s="23" t="str">
        <f t="shared" si="313"/>
        <v/>
      </c>
      <c r="AS302" s="23" t="str">
        <f t="shared" si="313"/>
        <v/>
      </c>
      <c r="AT302" s="23" t="str">
        <f t="shared" si="313"/>
        <v/>
      </c>
      <c r="AU302" s="23" t="str">
        <f t="shared" si="313"/>
        <v/>
      </c>
      <c r="AV302" s="23" t="str">
        <f t="shared" si="313"/>
        <v/>
      </c>
      <c r="AW302" s="23" t="str">
        <f t="shared" si="313"/>
        <v/>
      </c>
      <c r="AX302" s="23" t="str">
        <f t="shared" si="313"/>
        <v/>
      </c>
      <c r="AY302" s="23" t="str">
        <f t="shared" si="314"/>
        <v/>
      </c>
      <c r="AZ302" s="23" t="str">
        <f t="shared" si="314"/>
        <v/>
      </c>
      <c r="BA302" s="23" t="str">
        <f t="shared" si="314"/>
        <v/>
      </c>
      <c r="BB302" s="23" t="str">
        <f t="shared" si="314"/>
        <v/>
      </c>
      <c r="BC302" s="23" t="str">
        <f t="shared" si="314"/>
        <v/>
      </c>
      <c r="BD302" s="23" t="str">
        <f t="shared" si="314"/>
        <v/>
      </c>
      <c r="BE302" s="23" t="str">
        <f t="shared" si="314"/>
        <v/>
      </c>
      <c r="BF302" s="23" t="str">
        <f t="shared" si="314"/>
        <v/>
      </c>
      <c r="BG302" s="23" t="str">
        <f t="shared" si="314"/>
        <v/>
      </c>
      <c r="BH302" s="23" t="str">
        <f t="shared" si="314"/>
        <v/>
      </c>
      <c r="BI302" s="23" t="str">
        <f t="shared" si="315"/>
        <v/>
      </c>
      <c r="BJ302" s="23" t="str">
        <f t="shared" si="315"/>
        <v/>
      </c>
      <c r="BK302" s="23" t="str">
        <f t="shared" si="315"/>
        <v/>
      </c>
      <c r="BL302" s="23" t="str">
        <f t="shared" si="315"/>
        <v/>
      </c>
      <c r="BM302" s="23" t="str">
        <f t="shared" si="315"/>
        <v/>
      </c>
      <c r="BN302" s="23" t="str">
        <f t="shared" si="315"/>
        <v/>
      </c>
      <c r="BO302" s="23" t="str">
        <f t="shared" si="315"/>
        <v/>
      </c>
      <c r="BP302" s="23" t="str">
        <f t="shared" si="315"/>
        <v/>
      </c>
      <c r="BQ302" s="23" t="str">
        <f t="shared" si="315"/>
        <v/>
      </c>
      <c r="BR302" s="23" t="str">
        <f t="shared" si="315"/>
        <v/>
      </c>
      <c r="BS302" s="23" t="str">
        <f t="shared" si="315"/>
        <v/>
      </c>
      <c r="BU302" s="29" t="s">
        <v>818</v>
      </c>
    </row>
    <row r="303" spans="1:73" ht="17" outlineLevel="1" x14ac:dyDescent="0.2">
      <c r="A303" s="6" t="s">
        <v>855</v>
      </c>
      <c r="B303" s="25" t="s">
        <v>856</v>
      </c>
      <c r="C303" s="6" t="s">
        <v>55</v>
      </c>
      <c r="D303" s="24" t="s">
        <v>128</v>
      </c>
      <c r="F303" s="6"/>
      <c r="G303" s="22">
        <v>12</v>
      </c>
      <c r="H303" s="22">
        <v>2</v>
      </c>
      <c r="I303" s="22">
        <f>MEDIAN($I$301,$J$301,$I$301+ROUND((G303-$G$301)/$H$301*($J$301-$I$301+1),0))</f>
        <v>12</v>
      </c>
      <c r="J303" s="22">
        <f>MEDIAN(I303,$J$301,$I$301+ROUND((G303+H303-$G$301)/$H$301*($J$301-$I$301+1),0)-1)</f>
        <v>13</v>
      </c>
      <c r="K303" s="23" t="str">
        <f t="shared" si="310"/>
        <v/>
      </c>
      <c r="L303" s="23" t="str">
        <f t="shared" si="310"/>
        <v/>
      </c>
      <c r="M303" s="23" t="str">
        <f t="shared" si="310"/>
        <v/>
      </c>
      <c r="N303" s="23" t="str">
        <f t="shared" si="310"/>
        <v/>
      </c>
      <c r="O303" s="23" t="str">
        <f t="shared" si="310"/>
        <v/>
      </c>
      <c r="P303" s="23" t="str">
        <f t="shared" si="310"/>
        <v/>
      </c>
      <c r="Q303" s="23" t="str">
        <f t="shared" si="310"/>
        <v/>
      </c>
      <c r="R303" s="23" t="str">
        <f t="shared" si="310"/>
        <v/>
      </c>
      <c r="S303" s="23" t="str">
        <f t="shared" si="310"/>
        <v/>
      </c>
      <c r="T303" s="23" t="str">
        <f t="shared" si="310"/>
        <v/>
      </c>
      <c r="U303" s="23" t="str">
        <f t="shared" si="311"/>
        <v/>
      </c>
      <c r="V303" s="23">
        <f t="shared" si="311"/>
        <v>1</v>
      </c>
      <c r="W303" s="23">
        <f t="shared" si="311"/>
        <v>1</v>
      </c>
      <c r="X303" s="23" t="str">
        <f t="shared" si="311"/>
        <v/>
      </c>
      <c r="Y303" s="23" t="str">
        <f t="shared" si="311"/>
        <v/>
      </c>
      <c r="Z303" s="23" t="str">
        <f t="shared" si="311"/>
        <v/>
      </c>
      <c r="AA303" s="23" t="str">
        <f t="shared" si="311"/>
        <v/>
      </c>
      <c r="AB303" s="23" t="str">
        <f t="shared" si="311"/>
        <v/>
      </c>
      <c r="AC303" s="23" t="str">
        <f t="shared" si="311"/>
        <v/>
      </c>
      <c r="AD303" s="23" t="str">
        <f t="shared" si="311"/>
        <v/>
      </c>
      <c r="AE303" s="23" t="str">
        <f t="shared" si="312"/>
        <v/>
      </c>
      <c r="AF303" s="23" t="str">
        <f t="shared" si="312"/>
        <v/>
      </c>
      <c r="AG303" s="23" t="str">
        <f t="shared" si="312"/>
        <v/>
      </c>
      <c r="AH303" s="23" t="str">
        <f t="shared" si="312"/>
        <v/>
      </c>
      <c r="AI303" s="23" t="str">
        <f t="shared" si="312"/>
        <v/>
      </c>
      <c r="AJ303" s="23" t="str">
        <f t="shared" si="312"/>
        <v/>
      </c>
      <c r="AK303" s="23" t="str">
        <f t="shared" si="312"/>
        <v/>
      </c>
      <c r="AL303" s="23" t="str">
        <f t="shared" si="312"/>
        <v/>
      </c>
      <c r="AM303" s="23" t="str">
        <f t="shared" si="312"/>
        <v/>
      </c>
      <c r="AN303" s="23" t="str">
        <f t="shared" si="312"/>
        <v/>
      </c>
      <c r="AO303" s="23" t="str">
        <f t="shared" si="313"/>
        <v/>
      </c>
      <c r="AP303" s="23" t="str">
        <f t="shared" si="313"/>
        <v/>
      </c>
      <c r="AQ303" s="23" t="str">
        <f t="shared" si="313"/>
        <v/>
      </c>
      <c r="AR303" s="23" t="str">
        <f t="shared" si="313"/>
        <v/>
      </c>
      <c r="AS303" s="23" t="str">
        <f t="shared" si="313"/>
        <v/>
      </c>
      <c r="AT303" s="23" t="str">
        <f t="shared" si="313"/>
        <v/>
      </c>
      <c r="AU303" s="23" t="str">
        <f t="shared" si="313"/>
        <v/>
      </c>
      <c r="AV303" s="23" t="str">
        <f t="shared" si="313"/>
        <v/>
      </c>
      <c r="AW303" s="23" t="str">
        <f t="shared" si="313"/>
        <v/>
      </c>
      <c r="AX303" s="23" t="str">
        <f t="shared" si="313"/>
        <v/>
      </c>
      <c r="AY303" s="23" t="str">
        <f t="shared" si="314"/>
        <v/>
      </c>
      <c r="AZ303" s="23" t="str">
        <f t="shared" si="314"/>
        <v/>
      </c>
      <c r="BA303" s="23" t="str">
        <f t="shared" si="314"/>
        <v/>
      </c>
      <c r="BB303" s="23" t="str">
        <f t="shared" si="314"/>
        <v/>
      </c>
      <c r="BC303" s="23" t="str">
        <f t="shared" si="314"/>
        <v/>
      </c>
      <c r="BD303" s="23" t="str">
        <f t="shared" si="314"/>
        <v/>
      </c>
      <c r="BE303" s="23" t="str">
        <f t="shared" si="314"/>
        <v/>
      </c>
      <c r="BF303" s="23" t="str">
        <f t="shared" si="314"/>
        <v/>
      </c>
      <c r="BG303" s="23" t="str">
        <f t="shared" si="314"/>
        <v/>
      </c>
      <c r="BH303" s="23" t="str">
        <f t="shared" si="314"/>
        <v/>
      </c>
      <c r="BI303" s="23" t="str">
        <f t="shared" si="315"/>
        <v/>
      </c>
      <c r="BJ303" s="23" t="str">
        <f t="shared" si="315"/>
        <v/>
      </c>
      <c r="BK303" s="23" t="str">
        <f t="shared" si="315"/>
        <v/>
      </c>
      <c r="BL303" s="23" t="str">
        <f t="shared" si="315"/>
        <v/>
      </c>
      <c r="BM303" s="23" t="str">
        <f t="shared" si="315"/>
        <v/>
      </c>
      <c r="BN303" s="23" t="str">
        <f t="shared" si="315"/>
        <v/>
      </c>
      <c r="BO303" s="23" t="str">
        <f t="shared" si="315"/>
        <v/>
      </c>
      <c r="BP303" s="23" t="str">
        <f t="shared" si="315"/>
        <v/>
      </c>
      <c r="BQ303" s="23" t="str">
        <f t="shared" si="315"/>
        <v/>
      </c>
      <c r="BR303" s="23" t="str">
        <f t="shared" si="315"/>
        <v/>
      </c>
      <c r="BS303" s="23" t="str">
        <f t="shared" si="315"/>
        <v/>
      </c>
      <c r="BU303" s="29" t="s">
        <v>818</v>
      </c>
    </row>
    <row r="304" spans="1:73" ht="17" outlineLevel="1" x14ac:dyDescent="0.2">
      <c r="A304" s="6" t="s">
        <v>857</v>
      </c>
      <c r="B304" s="25" t="s">
        <v>858</v>
      </c>
      <c r="C304" s="6" t="s">
        <v>55</v>
      </c>
      <c r="D304" s="24" t="s">
        <v>128</v>
      </c>
      <c r="F304" s="6"/>
      <c r="G304" s="22">
        <v>14</v>
      </c>
      <c r="H304" s="22">
        <v>2</v>
      </c>
      <c r="I304" s="22">
        <f>MEDIAN($I$301,$J$301,$I$301+ROUND((G304-$G$301)/$H$301*($J$301-$I$301+1),0))</f>
        <v>14</v>
      </c>
      <c r="J304" s="22">
        <f>MEDIAN(I304,$J$301,$I$301+ROUND((G304+H304-$G$301)/$H$301*($J$301-$I$301+1),0)-1)</f>
        <v>15</v>
      </c>
      <c r="K304" s="23" t="str">
        <f t="shared" si="310"/>
        <v/>
      </c>
      <c r="L304" s="23" t="str">
        <f t="shared" si="310"/>
        <v/>
      </c>
      <c r="M304" s="23" t="str">
        <f t="shared" si="310"/>
        <v/>
      </c>
      <c r="N304" s="23" t="str">
        <f t="shared" si="310"/>
        <v/>
      </c>
      <c r="O304" s="23" t="str">
        <f t="shared" si="310"/>
        <v/>
      </c>
      <c r="P304" s="23" t="str">
        <f t="shared" si="310"/>
        <v/>
      </c>
      <c r="Q304" s="23" t="str">
        <f t="shared" si="310"/>
        <v/>
      </c>
      <c r="R304" s="23" t="str">
        <f t="shared" si="310"/>
        <v/>
      </c>
      <c r="S304" s="23" t="str">
        <f t="shared" si="310"/>
        <v/>
      </c>
      <c r="T304" s="23" t="str">
        <f t="shared" si="310"/>
        <v/>
      </c>
      <c r="U304" s="23" t="str">
        <f t="shared" si="311"/>
        <v/>
      </c>
      <c r="V304" s="23" t="str">
        <f t="shared" si="311"/>
        <v/>
      </c>
      <c r="W304" s="23" t="str">
        <f t="shared" si="311"/>
        <v/>
      </c>
      <c r="X304" s="23">
        <f t="shared" si="311"/>
        <v>1</v>
      </c>
      <c r="Y304" s="23">
        <f t="shared" si="311"/>
        <v>1</v>
      </c>
      <c r="Z304" s="23" t="str">
        <f t="shared" si="311"/>
        <v/>
      </c>
      <c r="AA304" s="23" t="str">
        <f t="shared" si="311"/>
        <v/>
      </c>
      <c r="AB304" s="23" t="str">
        <f t="shared" si="311"/>
        <v/>
      </c>
      <c r="AC304" s="23" t="str">
        <f t="shared" si="311"/>
        <v/>
      </c>
      <c r="AD304" s="23" t="str">
        <f t="shared" si="311"/>
        <v/>
      </c>
      <c r="AE304" s="23" t="str">
        <f t="shared" si="312"/>
        <v/>
      </c>
      <c r="AF304" s="23" t="str">
        <f t="shared" si="312"/>
        <v/>
      </c>
      <c r="AG304" s="23" t="str">
        <f t="shared" si="312"/>
        <v/>
      </c>
      <c r="AH304" s="23" t="str">
        <f t="shared" si="312"/>
        <v/>
      </c>
      <c r="AI304" s="23" t="str">
        <f t="shared" si="312"/>
        <v/>
      </c>
      <c r="AJ304" s="23" t="str">
        <f t="shared" si="312"/>
        <v/>
      </c>
      <c r="AK304" s="23" t="str">
        <f t="shared" si="312"/>
        <v/>
      </c>
      <c r="AL304" s="23" t="str">
        <f t="shared" si="312"/>
        <v/>
      </c>
      <c r="AM304" s="23" t="str">
        <f t="shared" si="312"/>
        <v/>
      </c>
      <c r="AN304" s="23" t="str">
        <f t="shared" si="312"/>
        <v/>
      </c>
      <c r="AO304" s="23" t="str">
        <f t="shared" si="313"/>
        <v/>
      </c>
      <c r="AP304" s="23" t="str">
        <f t="shared" si="313"/>
        <v/>
      </c>
      <c r="AQ304" s="23" t="str">
        <f t="shared" si="313"/>
        <v/>
      </c>
      <c r="AR304" s="23" t="str">
        <f t="shared" si="313"/>
        <v/>
      </c>
      <c r="AS304" s="23" t="str">
        <f t="shared" si="313"/>
        <v/>
      </c>
      <c r="AT304" s="23" t="str">
        <f t="shared" si="313"/>
        <v/>
      </c>
      <c r="AU304" s="23" t="str">
        <f t="shared" si="313"/>
        <v/>
      </c>
      <c r="AV304" s="23" t="str">
        <f t="shared" si="313"/>
        <v/>
      </c>
      <c r="AW304" s="23" t="str">
        <f t="shared" si="313"/>
        <v/>
      </c>
      <c r="AX304" s="23" t="str">
        <f t="shared" si="313"/>
        <v/>
      </c>
      <c r="AY304" s="23" t="str">
        <f t="shared" si="314"/>
        <v/>
      </c>
      <c r="AZ304" s="23" t="str">
        <f t="shared" si="314"/>
        <v/>
      </c>
      <c r="BA304" s="23" t="str">
        <f t="shared" si="314"/>
        <v/>
      </c>
      <c r="BB304" s="23" t="str">
        <f t="shared" si="314"/>
        <v/>
      </c>
      <c r="BC304" s="23" t="str">
        <f t="shared" si="314"/>
        <v/>
      </c>
      <c r="BD304" s="23" t="str">
        <f t="shared" si="314"/>
        <v/>
      </c>
      <c r="BE304" s="23" t="str">
        <f t="shared" si="314"/>
        <v/>
      </c>
      <c r="BF304" s="23" t="str">
        <f t="shared" si="314"/>
        <v/>
      </c>
      <c r="BG304" s="23" t="str">
        <f t="shared" si="314"/>
        <v/>
      </c>
      <c r="BH304" s="23" t="str">
        <f t="shared" si="314"/>
        <v/>
      </c>
      <c r="BI304" s="23" t="str">
        <f t="shared" si="315"/>
        <v/>
      </c>
      <c r="BJ304" s="23" t="str">
        <f t="shared" si="315"/>
        <v/>
      </c>
      <c r="BK304" s="23" t="str">
        <f t="shared" si="315"/>
        <v/>
      </c>
      <c r="BL304" s="23" t="str">
        <f t="shared" si="315"/>
        <v/>
      </c>
      <c r="BM304" s="23" t="str">
        <f t="shared" si="315"/>
        <v/>
      </c>
      <c r="BN304" s="23" t="str">
        <f t="shared" si="315"/>
        <v/>
      </c>
      <c r="BO304" s="23" t="str">
        <f t="shared" si="315"/>
        <v/>
      </c>
      <c r="BP304" s="23" t="str">
        <f t="shared" si="315"/>
        <v/>
      </c>
      <c r="BQ304" s="23" t="str">
        <f t="shared" si="315"/>
        <v/>
      </c>
      <c r="BR304" s="23" t="str">
        <f t="shared" si="315"/>
        <v/>
      </c>
      <c r="BS304" s="23" t="str">
        <f t="shared" si="315"/>
        <v/>
      </c>
      <c r="BU304" s="29" t="s">
        <v>818</v>
      </c>
    </row>
    <row r="305" spans="1:73" x14ac:dyDescent="0.2">
      <c r="BU305" s="30"/>
    </row>
    <row r="306" spans="1:73" ht="17" x14ac:dyDescent="0.2">
      <c r="A306" s="19" t="s">
        <v>859</v>
      </c>
      <c r="B306" s="20" t="s">
        <v>860</v>
      </c>
      <c r="C306" s="19" t="s">
        <v>55</v>
      </c>
      <c r="D306" s="21" t="s">
        <v>128</v>
      </c>
      <c r="E306" s="19" t="s">
        <v>73</v>
      </c>
      <c r="F306" s="19" t="s">
        <v>850</v>
      </c>
      <c r="G306" s="22">
        <v>12</v>
      </c>
      <c r="H306" s="22">
        <v>10</v>
      </c>
      <c r="I306" s="22">
        <f>MIN(61,IF(G306&lt;=29,ROUND((G306-1)*(29+SlipWeeks)/29,0)+1,G306+SlipWeeks))</f>
        <v>12</v>
      </c>
      <c r="J306" s="22">
        <f>MIN(61,IF(G306+H306-1&lt;=29,MAX(ROUND((G306+H306-1)*(29+SlipWeeks)/29,0),I306),G306+H306-1+SlipWeeks))</f>
        <v>21</v>
      </c>
      <c r="K306" s="23" t="str">
        <f t="shared" ref="K306:T311" si="316">IF(AND(K$4&gt;=$I306,K$4&lt;=$J306),1,"")</f>
        <v/>
      </c>
      <c r="L306" s="23" t="str">
        <f t="shared" si="316"/>
        <v/>
      </c>
      <c r="M306" s="23" t="str">
        <f t="shared" si="316"/>
        <v/>
      </c>
      <c r="N306" s="23" t="str">
        <f t="shared" si="316"/>
        <v/>
      </c>
      <c r="O306" s="23" t="str">
        <f t="shared" si="316"/>
        <v/>
      </c>
      <c r="P306" s="23" t="str">
        <f t="shared" si="316"/>
        <v/>
      </c>
      <c r="Q306" s="23" t="str">
        <f t="shared" si="316"/>
        <v/>
      </c>
      <c r="R306" s="23" t="str">
        <f t="shared" si="316"/>
        <v/>
      </c>
      <c r="S306" s="23" t="str">
        <f t="shared" si="316"/>
        <v/>
      </c>
      <c r="T306" s="23" t="str">
        <f t="shared" si="316"/>
        <v/>
      </c>
      <c r="U306" s="23" t="str">
        <f t="shared" ref="U306:AD311" si="317">IF(AND(U$4&gt;=$I306,U$4&lt;=$J306),1,"")</f>
        <v/>
      </c>
      <c r="V306" s="23">
        <f t="shared" si="317"/>
        <v>1</v>
      </c>
      <c r="W306" s="23">
        <f t="shared" si="317"/>
        <v>1</v>
      </c>
      <c r="X306" s="23">
        <f t="shared" si="317"/>
        <v>1</v>
      </c>
      <c r="Y306" s="23">
        <f t="shared" si="317"/>
        <v>1</v>
      </c>
      <c r="Z306" s="23">
        <f t="shared" si="317"/>
        <v>1</v>
      </c>
      <c r="AA306" s="23">
        <f t="shared" si="317"/>
        <v>1</v>
      </c>
      <c r="AB306" s="23">
        <f t="shared" si="317"/>
        <v>1</v>
      </c>
      <c r="AC306" s="23">
        <f t="shared" si="317"/>
        <v>1</v>
      </c>
      <c r="AD306" s="23">
        <f t="shared" si="317"/>
        <v>1</v>
      </c>
      <c r="AE306" s="23">
        <f t="shared" ref="AE306:AN311" si="318">IF(AND(AE$4&gt;=$I306,AE$4&lt;=$J306),1,"")</f>
        <v>1</v>
      </c>
      <c r="AF306" s="23" t="str">
        <f t="shared" si="318"/>
        <v/>
      </c>
      <c r="AG306" s="23" t="str">
        <f t="shared" si="318"/>
        <v/>
      </c>
      <c r="AH306" s="23" t="str">
        <f t="shared" si="318"/>
        <v/>
      </c>
      <c r="AI306" s="23" t="str">
        <f t="shared" si="318"/>
        <v/>
      </c>
      <c r="AJ306" s="23" t="str">
        <f t="shared" si="318"/>
        <v/>
      </c>
      <c r="AK306" s="23" t="str">
        <f t="shared" si="318"/>
        <v/>
      </c>
      <c r="AL306" s="23" t="str">
        <f t="shared" si="318"/>
        <v/>
      </c>
      <c r="AM306" s="23" t="str">
        <f t="shared" si="318"/>
        <v/>
      </c>
      <c r="AN306" s="23" t="str">
        <f t="shared" si="318"/>
        <v/>
      </c>
      <c r="AO306" s="23" t="str">
        <f t="shared" ref="AO306:AX311" si="319">IF(AND(AO$4&gt;=$I306,AO$4&lt;=$J306),1,"")</f>
        <v/>
      </c>
      <c r="AP306" s="23" t="str">
        <f t="shared" si="319"/>
        <v/>
      </c>
      <c r="AQ306" s="23" t="str">
        <f t="shared" si="319"/>
        <v/>
      </c>
      <c r="AR306" s="23" t="str">
        <f t="shared" si="319"/>
        <v/>
      </c>
      <c r="AS306" s="23" t="str">
        <f t="shared" si="319"/>
        <v/>
      </c>
      <c r="AT306" s="23" t="str">
        <f t="shared" si="319"/>
        <v/>
      </c>
      <c r="AU306" s="23" t="str">
        <f t="shared" si="319"/>
        <v/>
      </c>
      <c r="AV306" s="23" t="str">
        <f t="shared" si="319"/>
        <v/>
      </c>
      <c r="AW306" s="23" t="str">
        <f t="shared" si="319"/>
        <v/>
      </c>
      <c r="AX306" s="23" t="str">
        <f t="shared" si="319"/>
        <v/>
      </c>
      <c r="AY306" s="23" t="str">
        <f t="shared" ref="AY306:BH311" si="320">IF(AND(AY$4&gt;=$I306,AY$4&lt;=$J306),1,"")</f>
        <v/>
      </c>
      <c r="AZ306" s="23" t="str">
        <f t="shared" si="320"/>
        <v/>
      </c>
      <c r="BA306" s="23" t="str">
        <f t="shared" si="320"/>
        <v/>
      </c>
      <c r="BB306" s="23" t="str">
        <f t="shared" si="320"/>
        <v/>
      </c>
      <c r="BC306" s="23" t="str">
        <f t="shared" si="320"/>
        <v/>
      </c>
      <c r="BD306" s="23" t="str">
        <f t="shared" si="320"/>
        <v/>
      </c>
      <c r="BE306" s="23" t="str">
        <f t="shared" si="320"/>
        <v/>
      </c>
      <c r="BF306" s="23" t="str">
        <f t="shared" si="320"/>
        <v/>
      </c>
      <c r="BG306" s="23" t="str">
        <f t="shared" si="320"/>
        <v/>
      </c>
      <c r="BH306" s="23" t="str">
        <f t="shared" si="320"/>
        <v/>
      </c>
      <c r="BI306" s="23" t="str">
        <f t="shared" ref="BI306:BS311" si="321">IF(AND(BI$4&gt;=$I306,BI$4&lt;=$J306),1,"")</f>
        <v/>
      </c>
      <c r="BJ306" s="23" t="str">
        <f t="shared" si="321"/>
        <v/>
      </c>
      <c r="BK306" s="23" t="str">
        <f t="shared" si="321"/>
        <v/>
      </c>
      <c r="BL306" s="23" t="str">
        <f t="shared" si="321"/>
        <v/>
      </c>
      <c r="BM306" s="23" t="str">
        <f t="shared" si="321"/>
        <v/>
      </c>
      <c r="BN306" s="23" t="str">
        <f t="shared" si="321"/>
        <v/>
      </c>
      <c r="BO306" s="23" t="str">
        <f t="shared" si="321"/>
        <v/>
      </c>
      <c r="BP306" s="23" t="str">
        <f t="shared" si="321"/>
        <v/>
      </c>
      <c r="BQ306" s="23" t="str">
        <f t="shared" si="321"/>
        <v/>
      </c>
      <c r="BR306" s="23" t="str">
        <f t="shared" si="321"/>
        <v/>
      </c>
      <c r="BS306" s="23" t="str">
        <f t="shared" si="321"/>
        <v/>
      </c>
      <c r="BT306" s="24" t="str">
        <f>IF(IF(G306+H306-1&lt;=29,MAX(ROUND((G306+H306-1)*(29+SlipWeeks)/29,0),$I306),G306+H306-1+SlipWeeks)&gt;61,"▶ clipped","")</f>
        <v/>
      </c>
      <c r="BU306" s="29" t="s">
        <v>861</v>
      </c>
    </row>
    <row r="307" spans="1:73" ht="34" outlineLevel="1" x14ac:dyDescent="0.2">
      <c r="A307" s="6" t="s">
        <v>862</v>
      </c>
      <c r="B307" s="25" t="s">
        <v>863</v>
      </c>
      <c r="C307" s="6" t="s">
        <v>55</v>
      </c>
      <c r="D307" s="24" t="s">
        <v>128</v>
      </c>
      <c r="F307" s="6"/>
      <c r="G307" s="22">
        <v>12</v>
      </c>
      <c r="H307" s="22">
        <v>2</v>
      </c>
      <c r="I307" s="22">
        <f>MEDIAN($I$306,$J$306,$I$306+ROUND((G307-$G$306)/$H$306*($J$306-$I$306+1),0))</f>
        <v>12</v>
      </c>
      <c r="J307" s="22">
        <f>MEDIAN(I307,$J$306,$I$306+ROUND((G307+H307-$G$306)/$H$306*($J$306-$I$306+1),0)-1)</f>
        <v>13</v>
      </c>
      <c r="K307" s="23" t="str">
        <f t="shared" si="316"/>
        <v/>
      </c>
      <c r="L307" s="23" t="str">
        <f t="shared" si="316"/>
        <v/>
      </c>
      <c r="M307" s="23" t="str">
        <f t="shared" si="316"/>
        <v/>
      </c>
      <c r="N307" s="23" t="str">
        <f t="shared" si="316"/>
        <v/>
      </c>
      <c r="O307" s="23" t="str">
        <f t="shared" si="316"/>
        <v/>
      </c>
      <c r="P307" s="23" t="str">
        <f t="shared" si="316"/>
        <v/>
      </c>
      <c r="Q307" s="23" t="str">
        <f t="shared" si="316"/>
        <v/>
      </c>
      <c r="R307" s="23" t="str">
        <f t="shared" si="316"/>
        <v/>
      </c>
      <c r="S307" s="23" t="str">
        <f t="shared" si="316"/>
        <v/>
      </c>
      <c r="T307" s="23" t="str">
        <f t="shared" si="316"/>
        <v/>
      </c>
      <c r="U307" s="23" t="str">
        <f t="shared" si="317"/>
        <v/>
      </c>
      <c r="V307" s="23">
        <f t="shared" si="317"/>
        <v>1</v>
      </c>
      <c r="W307" s="23">
        <f t="shared" si="317"/>
        <v>1</v>
      </c>
      <c r="X307" s="23" t="str">
        <f t="shared" si="317"/>
        <v/>
      </c>
      <c r="Y307" s="23" t="str">
        <f t="shared" si="317"/>
        <v/>
      </c>
      <c r="Z307" s="23" t="str">
        <f t="shared" si="317"/>
        <v/>
      </c>
      <c r="AA307" s="23" t="str">
        <f t="shared" si="317"/>
        <v/>
      </c>
      <c r="AB307" s="23" t="str">
        <f t="shared" si="317"/>
        <v/>
      </c>
      <c r="AC307" s="23" t="str">
        <f t="shared" si="317"/>
        <v/>
      </c>
      <c r="AD307" s="23" t="str">
        <f t="shared" si="317"/>
        <v/>
      </c>
      <c r="AE307" s="23" t="str">
        <f t="shared" si="318"/>
        <v/>
      </c>
      <c r="AF307" s="23" t="str">
        <f t="shared" si="318"/>
        <v/>
      </c>
      <c r="AG307" s="23" t="str">
        <f t="shared" si="318"/>
        <v/>
      </c>
      <c r="AH307" s="23" t="str">
        <f t="shared" si="318"/>
        <v/>
      </c>
      <c r="AI307" s="23" t="str">
        <f t="shared" si="318"/>
        <v/>
      </c>
      <c r="AJ307" s="23" t="str">
        <f t="shared" si="318"/>
        <v/>
      </c>
      <c r="AK307" s="23" t="str">
        <f t="shared" si="318"/>
        <v/>
      </c>
      <c r="AL307" s="23" t="str">
        <f t="shared" si="318"/>
        <v/>
      </c>
      <c r="AM307" s="23" t="str">
        <f t="shared" si="318"/>
        <v/>
      </c>
      <c r="AN307" s="23" t="str">
        <f t="shared" si="318"/>
        <v/>
      </c>
      <c r="AO307" s="23" t="str">
        <f t="shared" si="319"/>
        <v/>
      </c>
      <c r="AP307" s="23" t="str">
        <f t="shared" si="319"/>
        <v/>
      </c>
      <c r="AQ307" s="23" t="str">
        <f t="shared" si="319"/>
        <v/>
      </c>
      <c r="AR307" s="23" t="str">
        <f t="shared" si="319"/>
        <v/>
      </c>
      <c r="AS307" s="23" t="str">
        <f t="shared" si="319"/>
        <v/>
      </c>
      <c r="AT307" s="23" t="str">
        <f t="shared" si="319"/>
        <v/>
      </c>
      <c r="AU307" s="23" t="str">
        <f t="shared" si="319"/>
        <v/>
      </c>
      <c r="AV307" s="23" t="str">
        <f t="shared" si="319"/>
        <v/>
      </c>
      <c r="AW307" s="23" t="str">
        <f t="shared" si="319"/>
        <v/>
      </c>
      <c r="AX307" s="23" t="str">
        <f t="shared" si="319"/>
        <v/>
      </c>
      <c r="AY307" s="23" t="str">
        <f t="shared" si="320"/>
        <v/>
      </c>
      <c r="AZ307" s="23" t="str">
        <f t="shared" si="320"/>
        <v/>
      </c>
      <c r="BA307" s="23" t="str">
        <f t="shared" si="320"/>
        <v/>
      </c>
      <c r="BB307" s="23" t="str">
        <f t="shared" si="320"/>
        <v/>
      </c>
      <c r="BC307" s="23" t="str">
        <f t="shared" si="320"/>
        <v/>
      </c>
      <c r="BD307" s="23" t="str">
        <f t="shared" si="320"/>
        <v/>
      </c>
      <c r="BE307" s="23" t="str">
        <f t="shared" si="320"/>
        <v/>
      </c>
      <c r="BF307" s="23" t="str">
        <f t="shared" si="320"/>
        <v/>
      </c>
      <c r="BG307" s="23" t="str">
        <f t="shared" si="320"/>
        <v/>
      </c>
      <c r="BH307" s="23" t="str">
        <f t="shared" si="320"/>
        <v/>
      </c>
      <c r="BI307" s="23" t="str">
        <f t="shared" si="321"/>
        <v/>
      </c>
      <c r="BJ307" s="23" t="str">
        <f t="shared" si="321"/>
        <v/>
      </c>
      <c r="BK307" s="23" t="str">
        <f t="shared" si="321"/>
        <v/>
      </c>
      <c r="BL307" s="23" t="str">
        <f t="shared" si="321"/>
        <v/>
      </c>
      <c r="BM307" s="23" t="str">
        <f t="shared" si="321"/>
        <v/>
      </c>
      <c r="BN307" s="23" t="str">
        <f t="shared" si="321"/>
        <v/>
      </c>
      <c r="BO307" s="23" t="str">
        <f t="shared" si="321"/>
        <v/>
      </c>
      <c r="BP307" s="23" t="str">
        <f t="shared" si="321"/>
        <v/>
      </c>
      <c r="BQ307" s="23" t="str">
        <f t="shared" si="321"/>
        <v/>
      </c>
      <c r="BR307" s="23" t="str">
        <f t="shared" si="321"/>
        <v/>
      </c>
      <c r="BS307" s="23" t="str">
        <f t="shared" si="321"/>
        <v/>
      </c>
      <c r="BU307" s="29" t="s">
        <v>818</v>
      </c>
    </row>
    <row r="308" spans="1:73" ht="17" outlineLevel="1" x14ac:dyDescent="0.2">
      <c r="A308" s="6" t="s">
        <v>864</v>
      </c>
      <c r="B308" s="25" t="s">
        <v>865</v>
      </c>
      <c r="C308" s="6" t="s">
        <v>55</v>
      </c>
      <c r="D308" s="24" t="s">
        <v>128</v>
      </c>
      <c r="F308" s="6"/>
      <c r="G308" s="22">
        <v>14</v>
      </c>
      <c r="H308" s="22">
        <v>2</v>
      </c>
      <c r="I308" s="22">
        <f>MEDIAN($I$306,$J$306,$I$306+ROUND((G308-$G$306)/$H$306*($J$306-$I$306+1),0))</f>
        <v>14</v>
      </c>
      <c r="J308" s="22">
        <f>MEDIAN(I308,$J$306,$I$306+ROUND((G308+H308-$G$306)/$H$306*($J$306-$I$306+1),0)-1)</f>
        <v>15</v>
      </c>
      <c r="K308" s="23" t="str">
        <f t="shared" si="316"/>
        <v/>
      </c>
      <c r="L308" s="23" t="str">
        <f t="shared" si="316"/>
        <v/>
      </c>
      <c r="M308" s="23" t="str">
        <f t="shared" si="316"/>
        <v/>
      </c>
      <c r="N308" s="23" t="str">
        <f t="shared" si="316"/>
        <v/>
      </c>
      <c r="O308" s="23" t="str">
        <f t="shared" si="316"/>
        <v/>
      </c>
      <c r="P308" s="23" t="str">
        <f t="shared" si="316"/>
        <v/>
      </c>
      <c r="Q308" s="23" t="str">
        <f t="shared" si="316"/>
        <v/>
      </c>
      <c r="R308" s="23" t="str">
        <f t="shared" si="316"/>
        <v/>
      </c>
      <c r="S308" s="23" t="str">
        <f t="shared" si="316"/>
        <v/>
      </c>
      <c r="T308" s="23" t="str">
        <f t="shared" si="316"/>
        <v/>
      </c>
      <c r="U308" s="23" t="str">
        <f t="shared" si="317"/>
        <v/>
      </c>
      <c r="V308" s="23" t="str">
        <f t="shared" si="317"/>
        <v/>
      </c>
      <c r="W308" s="23" t="str">
        <f t="shared" si="317"/>
        <v/>
      </c>
      <c r="X308" s="23">
        <f t="shared" si="317"/>
        <v>1</v>
      </c>
      <c r="Y308" s="23">
        <f t="shared" si="317"/>
        <v>1</v>
      </c>
      <c r="Z308" s="23" t="str">
        <f t="shared" si="317"/>
        <v/>
      </c>
      <c r="AA308" s="23" t="str">
        <f t="shared" si="317"/>
        <v/>
      </c>
      <c r="AB308" s="23" t="str">
        <f t="shared" si="317"/>
        <v/>
      </c>
      <c r="AC308" s="23" t="str">
        <f t="shared" si="317"/>
        <v/>
      </c>
      <c r="AD308" s="23" t="str">
        <f t="shared" si="317"/>
        <v/>
      </c>
      <c r="AE308" s="23" t="str">
        <f t="shared" si="318"/>
        <v/>
      </c>
      <c r="AF308" s="23" t="str">
        <f t="shared" si="318"/>
        <v/>
      </c>
      <c r="AG308" s="23" t="str">
        <f t="shared" si="318"/>
        <v/>
      </c>
      <c r="AH308" s="23" t="str">
        <f t="shared" si="318"/>
        <v/>
      </c>
      <c r="AI308" s="23" t="str">
        <f t="shared" si="318"/>
        <v/>
      </c>
      <c r="AJ308" s="23" t="str">
        <f t="shared" si="318"/>
        <v/>
      </c>
      <c r="AK308" s="23" t="str">
        <f t="shared" si="318"/>
        <v/>
      </c>
      <c r="AL308" s="23" t="str">
        <f t="shared" si="318"/>
        <v/>
      </c>
      <c r="AM308" s="23" t="str">
        <f t="shared" si="318"/>
        <v/>
      </c>
      <c r="AN308" s="23" t="str">
        <f t="shared" si="318"/>
        <v/>
      </c>
      <c r="AO308" s="23" t="str">
        <f t="shared" si="319"/>
        <v/>
      </c>
      <c r="AP308" s="23" t="str">
        <f t="shared" si="319"/>
        <v/>
      </c>
      <c r="AQ308" s="23" t="str">
        <f t="shared" si="319"/>
        <v/>
      </c>
      <c r="AR308" s="23" t="str">
        <f t="shared" si="319"/>
        <v/>
      </c>
      <c r="AS308" s="23" t="str">
        <f t="shared" si="319"/>
        <v/>
      </c>
      <c r="AT308" s="23" t="str">
        <f t="shared" si="319"/>
        <v/>
      </c>
      <c r="AU308" s="23" t="str">
        <f t="shared" si="319"/>
        <v/>
      </c>
      <c r="AV308" s="23" t="str">
        <f t="shared" si="319"/>
        <v/>
      </c>
      <c r="AW308" s="23" t="str">
        <f t="shared" si="319"/>
        <v/>
      </c>
      <c r="AX308" s="23" t="str">
        <f t="shared" si="319"/>
        <v/>
      </c>
      <c r="AY308" s="23" t="str">
        <f t="shared" si="320"/>
        <v/>
      </c>
      <c r="AZ308" s="23" t="str">
        <f t="shared" si="320"/>
        <v/>
      </c>
      <c r="BA308" s="23" t="str">
        <f t="shared" si="320"/>
        <v/>
      </c>
      <c r="BB308" s="23" t="str">
        <f t="shared" si="320"/>
        <v/>
      </c>
      <c r="BC308" s="23" t="str">
        <f t="shared" si="320"/>
        <v/>
      </c>
      <c r="BD308" s="23" t="str">
        <f t="shared" si="320"/>
        <v/>
      </c>
      <c r="BE308" s="23" t="str">
        <f t="shared" si="320"/>
        <v/>
      </c>
      <c r="BF308" s="23" t="str">
        <f t="shared" si="320"/>
        <v/>
      </c>
      <c r="BG308" s="23" t="str">
        <f t="shared" si="320"/>
        <v/>
      </c>
      <c r="BH308" s="23" t="str">
        <f t="shared" si="320"/>
        <v/>
      </c>
      <c r="BI308" s="23" t="str">
        <f t="shared" si="321"/>
        <v/>
      </c>
      <c r="BJ308" s="23" t="str">
        <f t="shared" si="321"/>
        <v/>
      </c>
      <c r="BK308" s="23" t="str">
        <f t="shared" si="321"/>
        <v/>
      </c>
      <c r="BL308" s="23" t="str">
        <f t="shared" si="321"/>
        <v/>
      </c>
      <c r="BM308" s="23" t="str">
        <f t="shared" si="321"/>
        <v/>
      </c>
      <c r="BN308" s="23" t="str">
        <f t="shared" si="321"/>
        <v/>
      </c>
      <c r="BO308" s="23" t="str">
        <f t="shared" si="321"/>
        <v/>
      </c>
      <c r="BP308" s="23" t="str">
        <f t="shared" si="321"/>
        <v/>
      </c>
      <c r="BQ308" s="23" t="str">
        <f t="shared" si="321"/>
        <v/>
      </c>
      <c r="BR308" s="23" t="str">
        <f t="shared" si="321"/>
        <v/>
      </c>
      <c r="BS308" s="23" t="str">
        <f t="shared" si="321"/>
        <v/>
      </c>
      <c r="BU308" s="29" t="s">
        <v>818</v>
      </c>
    </row>
    <row r="309" spans="1:73" ht="17" outlineLevel="1" x14ac:dyDescent="0.2">
      <c r="A309" s="6" t="s">
        <v>866</v>
      </c>
      <c r="B309" s="25" t="s">
        <v>867</v>
      </c>
      <c r="C309" s="6" t="s">
        <v>55</v>
      </c>
      <c r="D309" s="24" t="s">
        <v>128</v>
      </c>
      <c r="F309" s="6"/>
      <c r="G309" s="22">
        <v>16</v>
      </c>
      <c r="H309" s="22">
        <v>2</v>
      </c>
      <c r="I309" s="22">
        <f>MEDIAN($I$306,$J$306,$I$306+ROUND((G309-$G$306)/$H$306*($J$306-$I$306+1),0))</f>
        <v>16</v>
      </c>
      <c r="J309" s="22">
        <f>MEDIAN(I309,$J$306,$I$306+ROUND((G309+H309-$G$306)/$H$306*($J$306-$I$306+1),0)-1)</f>
        <v>17</v>
      </c>
      <c r="K309" s="23" t="str">
        <f t="shared" si="316"/>
        <v/>
      </c>
      <c r="L309" s="23" t="str">
        <f t="shared" si="316"/>
        <v/>
      </c>
      <c r="M309" s="23" t="str">
        <f t="shared" si="316"/>
        <v/>
      </c>
      <c r="N309" s="23" t="str">
        <f t="shared" si="316"/>
        <v/>
      </c>
      <c r="O309" s="23" t="str">
        <f t="shared" si="316"/>
        <v/>
      </c>
      <c r="P309" s="23" t="str">
        <f t="shared" si="316"/>
        <v/>
      </c>
      <c r="Q309" s="23" t="str">
        <f t="shared" si="316"/>
        <v/>
      </c>
      <c r="R309" s="23" t="str">
        <f t="shared" si="316"/>
        <v/>
      </c>
      <c r="S309" s="23" t="str">
        <f t="shared" si="316"/>
        <v/>
      </c>
      <c r="T309" s="23" t="str">
        <f t="shared" si="316"/>
        <v/>
      </c>
      <c r="U309" s="23" t="str">
        <f t="shared" si="317"/>
        <v/>
      </c>
      <c r="V309" s="23" t="str">
        <f t="shared" si="317"/>
        <v/>
      </c>
      <c r="W309" s="23" t="str">
        <f t="shared" si="317"/>
        <v/>
      </c>
      <c r="X309" s="23" t="str">
        <f t="shared" si="317"/>
        <v/>
      </c>
      <c r="Y309" s="23" t="str">
        <f t="shared" si="317"/>
        <v/>
      </c>
      <c r="Z309" s="23">
        <f t="shared" si="317"/>
        <v>1</v>
      </c>
      <c r="AA309" s="23">
        <f t="shared" si="317"/>
        <v>1</v>
      </c>
      <c r="AB309" s="23" t="str">
        <f t="shared" si="317"/>
        <v/>
      </c>
      <c r="AC309" s="23" t="str">
        <f t="shared" si="317"/>
        <v/>
      </c>
      <c r="AD309" s="23" t="str">
        <f t="shared" si="317"/>
        <v/>
      </c>
      <c r="AE309" s="23" t="str">
        <f t="shared" si="318"/>
        <v/>
      </c>
      <c r="AF309" s="23" t="str">
        <f t="shared" si="318"/>
        <v/>
      </c>
      <c r="AG309" s="23" t="str">
        <f t="shared" si="318"/>
        <v/>
      </c>
      <c r="AH309" s="23" t="str">
        <f t="shared" si="318"/>
        <v/>
      </c>
      <c r="AI309" s="23" t="str">
        <f t="shared" si="318"/>
        <v/>
      </c>
      <c r="AJ309" s="23" t="str">
        <f t="shared" si="318"/>
        <v/>
      </c>
      <c r="AK309" s="23" t="str">
        <f t="shared" si="318"/>
        <v/>
      </c>
      <c r="AL309" s="23" t="str">
        <f t="shared" si="318"/>
        <v/>
      </c>
      <c r="AM309" s="23" t="str">
        <f t="shared" si="318"/>
        <v/>
      </c>
      <c r="AN309" s="23" t="str">
        <f t="shared" si="318"/>
        <v/>
      </c>
      <c r="AO309" s="23" t="str">
        <f t="shared" si="319"/>
        <v/>
      </c>
      <c r="AP309" s="23" t="str">
        <f t="shared" si="319"/>
        <v/>
      </c>
      <c r="AQ309" s="23" t="str">
        <f t="shared" si="319"/>
        <v/>
      </c>
      <c r="AR309" s="23" t="str">
        <f t="shared" si="319"/>
        <v/>
      </c>
      <c r="AS309" s="23" t="str">
        <f t="shared" si="319"/>
        <v/>
      </c>
      <c r="AT309" s="23" t="str">
        <f t="shared" si="319"/>
        <v/>
      </c>
      <c r="AU309" s="23" t="str">
        <f t="shared" si="319"/>
        <v/>
      </c>
      <c r="AV309" s="23" t="str">
        <f t="shared" si="319"/>
        <v/>
      </c>
      <c r="AW309" s="23" t="str">
        <f t="shared" si="319"/>
        <v/>
      </c>
      <c r="AX309" s="23" t="str">
        <f t="shared" si="319"/>
        <v/>
      </c>
      <c r="AY309" s="23" t="str">
        <f t="shared" si="320"/>
        <v/>
      </c>
      <c r="AZ309" s="23" t="str">
        <f t="shared" si="320"/>
        <v/>
      </c>
      <c r="BA309" s="23" t="str">
        <f t="shared" si="320"/>
        <v/>
      </c>
      <c r="BB309" s="23" t="str">
        <f t="shared" si="320"/>
        <v/>
      </c>
      <c r="BC309" s="23" t="str">
        <f t="shared" si="320"/>
        <v/>
      </c>
      <c r="BD309" s="23" t="str">
        <f t="shared" si="320"/>
        <v/>
      </c>
      <c r="BE309" s="23" t="str">
        <f t="shared" si="320"/>
        <v/>
      </c>
      <c r="BF309" s="23" t="str">
        <f t="shared" si="320"/>
        <v/>
      </c>
      <c r="BG309" s="23" t="str">
        <f t="shared" si="320"/>
        <v/>
      </c>
      <c r="BH309" s="23" t="str">
        <f t="shared" si="320"/>
        <v/>
      </c>
      <c r="BI309" s="23" t="str">
        <f t="shared" si="321"/>
        <v/>
      </c>
      <c r="BJ309" s="23" t="str">
        <f t="shared" si="321"/>
        <v/>
      </c>
      <c r="BK309" s="23" t="str">
        <f t="shared" si="321"/>
        <v/>
      </c>
      <c r="BL309" s="23" t="str">
        <f t="shared" si="321"/>
        <v/>
      </c>
      <c r="BM309" s="23" t="str">
        <f t="shared" si="321"/>
        <v/>
      </c>
      <c r="BN309" s="23" t="str">
        <f t="shared" si="321"/>
        <v/>
      </c>
      <c r="BO309" s="23" t="str">
        <f t="shared" si="321"/>
        <v/>
      </c>
      <c r="BP309" s="23" t="str">
        <f t="shared" si="321"/>
        <v/>
      </c>
      <c r="BQ309" s="23" t="str">
        <f t="shared" si="321"/>
        <v/>
      </c>
      <c r="BR309" s="23" t="str">
        <f t="shared" si="321"/>
        <v/>
      </c>
      <c r="BS309" s="23" t="str">
        <f t="shared" si="321"/>
        <v/>
      </c>
      <c r="BU309" s="29" t="s">
        <v>818</v>
      </c>
    </row>
    <row r="310" spans="1:73" ht="34" outlineLevel="1" x14ac:dyDescent="0.2">
      <c r="A310" s="6" t="s">
        <v>868</v>
      </c>
      <c r="B310" s="25" t="s">
        <v>869</v>
      </c>
      <c r="C310" s="6" t="s">
        <v>55</v>
      </c>
      <c r="D310" s="24" t="s">
        <v>128</v>
      </c>
      <c r="F310" s="6"/>
      <c r="G310" s="22">
        <v>18</v>
      </c>
      <c r="H310" s="22">
        <v>2</v>
      </c>
      <c r="I310" s="22">
        <f>MEDIAN($I$306,$J$306,$I$306+ROUND((G310-$G$306)/$H$306*($J$306-$I$306+1),0))</f>
        <v>18</v>
      </c>
      <c r="J310" s="22">
        <f>MEDIAN(I310,$J$306,$I$306+ROUND((G310+H310-$G$306)/$H$306*($J$306-$I$306+1),0)-1)</f>
        <v>19</v>
      </c>
      <c r="K310" s="23" t="str">
        <f t="shared" si="316"/>
        <v/>
      </c>
      <c r="L310" s="23" t="str">
        <f t="shared" si="316"/>
        <v/>
      </c>
      <c r="M310" s="23" t="str">
        <f t="shared" si="316"/>
        <v/>
      </c>
      <c r="N310" s="23" t="str">
        <f t="shared" si="316"/>
        <v/>
      </c>
      <c r="O310" s="23" t="str">
        <f t="shared" si="316"/>
        <v/>
      </c>
      <c r="P310" s="23" t="str">
        <f t="shared" si="316"/>
        <v/>
      </c>
      <c r="Q310" s="23" t="str">
        <f t="shared" si="316"/>
        <v/>
      </c>
      <c r="R310" s="23" t="str">
        <f t="shared" si="316"/>
        <v/>
      </c>
      <c r="S310" s="23" t="str">
        <f t="shared" si="316"/>
        <v/>
      </c>
      <c r="T310" s="23" t="str">
        <f t="shared" si="316"/>
        <v/>
      </c>
      <c r="U310" s="23" t="str">
        <f t="shared" si="317"/>
        <v/>
      </c>
      <c r="V310" s="23" t="str">
        <f t="shared" si="317"/>
        <v/>
      </c>
      <c r="W310" s="23" t="str">
        <f t="shared" si="317"/>
        <v/>
      </c>
      <c r="X310" s="23" t="str">
        <f t="shared" si="317"/>
        <v/>
      </c>
      <c r="Y310" s="23" t="str">
        <f t="shared" si="317"/>
        <v/>
      </c>
      <c r="Z310" s="23" t="str">
        <f t="shared" si="317"/>
        <v/>
      </c>
      <c r="AA310" s="23" t="str">
        <f t="shared" si="317"/>
        <v/>
      </c>
      <c r="AB310" s="23">
        <f t="shared" si="317"/>
        <v>1</v>
      </c>
      <c r="AC310" s="23">
        <f t="shared" si="317"/>
        <v>1</v>
      </c>
      <c r="AD310" s="23" t="str">
        <f t="shared" si="317"/>
        <v/>
      </c>
      <c r="AE310" s="23" t="str">
        <f t="shared" si="318"/>
        <v/>
      </c>
      <c r="AF310" s="23" t="str">
        <f t="shared" si="318"/>
        <v/>
      </c>
      <c r="AG310" s="23" t="str">
        <f t="shared" si="318"/>
        <v/>
      </c>
      <c r="AH310" s="23" t="str">
        <f t="shared" si="318"/>
        <v/>
      </c>
      <c r="AI310" s="23" t="str">
        <f t="shared" si="318"/>
        <v/>
      </c>
      <c r="AJ310" s="23" t="str">
        <f t="shared" si="318"/>
        <v/>
      </c>
      <c r="AK310" s="23" t="str">
        <f t="shared" si="318"/>
        <v/>
      </c>
      <c r="AL310" s="23" t="str">
        <f t="shared" si="318"/>
        <v/>
      </c>
      <c r="AM310" s="23" t="str">
        <f t="shared" si="318"/>
        <v/>
      </c>
      <c r="AN310" s="23" t="str">
        <f t="shared" si="318"/>
        <v/>
      </c>
      <c r="AO310" s="23" t="str">
        <f t="shared" si="319"/>
        <v/>
      </c>
      <c r="AP310" s="23" t="str">
        <f t="shared" si="319"/>
        <v/>
      </c>
      <c r="AQ310" s="23" t="str">
        <f t="shared" si="319"/>
        <v/>
      </c>
      <c r="AR310" s="23" t="str">
        <f t="shared" si="319"/>
        <v/>
      </c>
      <c r="AS310" s="23" t="str">
        <f t="shared" si="319"/>
        <v/>
      </c>
      <c r="AT310" s="23" t="str">
        <f t="shared" si="319"/>
        <v/>
      </c>
      <c r="AU310" s="23" t="str">
        <f t="shared" si="319"/>
        <v/>
      </c>
      <c r="AV310" s="23" t="str">
        <f t="shared" si="319"/>
        <v/>
      </c>
      <c r="AW310" s="23" t="str">
        <f t="shared" si="319"/>
        <v/>
      </c>
      <c r="AX310" s="23" t="str">
        <f t="shared" si="319"/>
        <v/>
      </c>
      <c r="AY310" s="23" t="str">
        <f t="shared" si="320"/>
        <v/>
      </c>
      <c r="AZ310" s="23" t="str">
        <f t="shared" si="320"/>
        <v/>
      </c>
      <c r="BA310" s="23" t="str">
        <f t="shared" si="320"/>
        <v/>
      </c>
      <c r="BB310" s="23" t="str">
        <f t="shared" si="320"/>
        <v/>
      </c>
      <c r="BC310" s="23" t="str">
        <f t="shared" si="320"/>
        <v/>
      </c>
      <c r="BD310" s="23" t="str">
        <f t="shared" si="320"/>
        <v/>
      </c>
      <c r="BE310" s="23" t="str">
        <f t="shared" si="320"/>
        <v/>
      </c>
      <c r="BF310" s="23" t="str">
        <f t="shared" si="320"/>
        <v/>
      </c>
      <c r="BG310" s="23" t="str">
        <f t="shared" si="320"/>
        <v/>
      </c>
      <c r="BH310" s="23" t="str">
        <f t="shared" si="320"/>
        <v/>
      </c>
      <c r="BI310" s="23" t="str">
        <f t="shared" si="321"/>
        <v/>
      </c>
      <c r="BJ310" s="23" t="str">
        <f t="shared" si="321"/>
        <v/>
      </c>
      <c r="BK310" s="23" t="str">
        <f t="shared" si="321"/>
        <v/>
      </c>
      <c r="BL310" s="23" t="str">
        <f t="shared" si="321"/>
        <v/>
      </c>
      <c r="BM310" s="23" t="str">
        <f t="shared" si="321"/>
        <v/>
      </c>
      <c r="BN310" s="23" t="str">
        <f t="shared" si="321"/>
        <v/>
      </c>
      <c r="BO310" s="23" t="str">
        <f t="shared" si="321"/>
        <v/>
      </c>
      <c r="BP310" s="23" t="str">
        <f t="shared" si="321"/>
        <v/>
      </c>
      <c r="BQ310" s="23" t="str">
        <f t="shared" si="321"/>
        <v/>
      </c>
      <c r="BR310" s="23" t="str">
        <f t="shared" si="321"/>
        <v/>
      </c>
      <c r="BS310" s="23" t="str">
        <f t="shared" si="321"/>
        <v/>
      </c>
      <c r="BU310" s="29" t="s">
        <v>818</v>
      </c>
    </row>
    <row r="311" spans="1:73" ht="17" outlineLevel="1" x14ac:dyDescent="0.2">
      <c r="A311" s="6" t="s">
        <v>870</v>
      </c>
      <c r="B311" s="25" t="s">
        <v>871</v>
      </c>
      <c r="C311" s="6" t="s">
        <v>55</v>
      </c>
      <c r="D311" s="24" t="s">
        <v>128</v>
      </c>
      <c r="F311" s="6"/>
      <c r="G311" s="22">
        <v>20</v>
      </c>
      <c r="H311" s="22">
        <v>2</v>
      </c>
      <c r="I311" s="22">
        <f>MEDIAN($I$306,$J$306,$I$306+ROUND((G311-$G$306)/$H$306*($J$306-$I$306+1),0))</f>
        <v>20</v>
      </c>
      <c r="J311" s="22">
        <f>MEDIAN(I311,$J$306,$I$306+ROUND((G311+H311-$G$306)/$H$306*($J$306-$I$306+1),0)-1)</f>
        <v>21</v>
      </c>
      <c r="K311" s="23" t="str">
        <f t="shared" si="316"/>
        <v/>
      </c>
      <c r="L311" s="23" t="str">
        <f t="shared" si="316"/>
        <v/>
      </c>
      <c r="M311" s="23" t="str">
        <f t="shared" si="316"/>
        <v/>
      </c>
      <c r="N311" s="23" t="str">
        <f t="shared" si="316"/>
        <v/>
      </c>
      <c r="O311" s="23" t="str">
        <f t="shared" si="316"/>
        <v/>
      </c>
      <c r="P311" s="23" t="str">
        <f t="shared" si="316"/>
        <v/>
      </c>
      <c r="Q311" s="23" t="str">
        <f t="shared" si="316"/>
        <v/>
      </c>
      <c r="R311" s="23" t="str">
        <f t="shared" si="316"/>
        <v/>
      </c>
      <c r="S311" s="23" t="str">
        <f t="shared" si="316"/>
        <v/>
      </c>
      <c r="T311" s="23" t="str">
        <f t="shared" si="316"/>
        <v/>
      </c>
      <c r="U311" s="23" t="str">
        <f t="shared" si="317"/>
        <v/>
      </c>
      <c r="V311" s="23" t="str">
        <f t="shared" si="317"/>
        <v/>
      </c>
      <c r="W311" s="23" t="str">
        <f t="shared" si="317"/>
        <v/>
      </c>
      <c r="X311" s="23" t="str">
        <f t="shared" si="317"/>
        <v/>
      </c>
      <c r="Y311" s="23" t="str">
        <f t="shared" si="317"/>
        <v/>
      </c>
      <c r="Z311" s="23" t="str">
        <f t="shared" si="317"/>
        <v/>
      </c>
      <c r="AA311" s="23" t="str">
        <f t="shared" si="317"/>
        <v/>
      </c>
      <c r="AB311" s="23" t="str">
        <f t="shared" si="317"/>
        <v/>
      </c>
      <c r="AC311" s="23" t="str">
        <f t="shared" si="317"/>
        <v/>
      </c>
      <c r="AD311" s="23">
        <f t="shared" si="317"/>
        <v>1</v>
      </c>
      <c r="AE311" s="23">
        <f t="shared" si="318"/>
        <v>1</v>
      </c>
      <c r="AF311" s="23" t="str">
        <f t="shared" si="318"/>
        <v/>
      </c>
      <c r="AG311" s="23" t="str">
        <f t="shared" si="318"/>
        <v/>
      </c>
      <c r="AH311" s="23" t="str">
        <f t="shared" si="318"/>
        <v/>
      </c>
      <c r="AI311" s="23" t="str">
        <f t="shared" si="318"/>
        <v/>
      </c>
      <c r="AJ311" s="23" t="str">
        <f t="shared" si="318"/>
        <v/>
      </c>
      <c r="AK311" s="23" t="str">
        <f t="shared" si="318"/>
        <v/>
      </c>
      <c r="AL311" s="23" t="str">
        <f t="shared" si="318"/>
        <v/>
      </c>
      <c r="AM311" s="23" t="str">
        <f t="shared" si="318"/>
        <v/>
      </c>
      <c r="AN311" s="23" t="str">
        <f t="shared" si="318"/>
        <v/>
      </c>
      <c r="AO311" s="23" t="str">
        <f t="shared" si="319"/>
        <v/>
      </c>
      <c r="AP311" s="23" t="str">
        <f t="shared" si="319"/>
        <v/>
      </c>
      <c r="AQ311" s="23" t="str">
        <f t="shared" si="319"/>
        <v/>
      </c>
      <c r="AR311" s="23" t="str">
        <f t="shared" si="319"/>
        <v/>
      </c>
      <c r="AS311" s="23" t="str">
        <f t="shared" si="319"/>
        <v/>
      </c>
      <c r="AT311" s="23" t="str">
        <f t="shared" si="319"/>
        <v/>
      </c>
      <c r="AU311" s="23" t="str">
        <f t="shared" si="319"/>
        <v/>
      </c>
      <c r="AV311" s="23" t="str">
        <f t="shared" si="319"/>
        <v/>
      </c>
      <c r="AW311" s="23" t="str">
        <f t="shared" si="319"/>
        <v/>
      </c>
      <c r="AX311" s="23" t="str">
        <f t="shared" si="319"/>
        <v/>
      </c>
      <c r="AY311" s="23" t="str">
        <f t="shared" si="320"/>
        <v/>
      </c>
      <c r="AZ311" s="23" t="str">
        <f t="shared" si="320"/>
        <v/>
      </c>
      <c r="BA311" s="23" t="str">
        <f t="shared" si="320"/>
        <v/>
      </c>
      <c r="BB311" s="23" t="str">
        <f t="shared" si="320"/>
        <v/>
      </c>
      <c r="BC311" s="23" t="str">
        <f t="shared" si="320"/>
        <v/>
      </c>
      <c r="BD311" s="23" t="str">
        <f t="shared" si="320"/>
        <v/>
      </c>
      <c r="BE311" s="23" t="str">
        <f t="shared" si="320"/>
        <v/>
      </c>
      <c r="BF311" s="23" t="str">
        <f t="shared" si="320"/>
        <v/>
      </c>
      <c r="BG311" s="23" t="str">
        <f t="shared" si="320"/>
        <v/>
      </c>
      <c r="BH311" s="23" t="str">
        <f t="shared" si="320"/>
        <v/>
      </c>
      <c r="BI311" s="23" t="str">
        <f t="shared" si="321"/>
        <v/>
      </c>
      <c r="BJ311" s="23" t="str">
        <f t="shared" si="321"/>
        <v/>
      </c>
      <c r="BK311" s="23" t="str">
        <f t="shared" si="321"/>
        <v/>
      </c>
      <c r="BL311" s="23" t="str">
        <f t="shared" si="321"/>
        <v/>
      </c>
      <c r="BM311" s="23" t="str">
        <f t="shared" si="321"/>
        <v/>
      </c>
      <c r="BN311" s="23" t="str">
        <f t="shared" si="321"/>
        <v/>
      </c>
      <c r="BO311" s="23" t="str">
        <f t="shared" si="321"/>
        <v/>
      </c>
      <c r="BP311" s="23" t="str">
        <f t="shared" si="321"/>
        <v/>
      </c>
      <c r="BQ311" s="23" t="str">
        <f t="shared" si="321"/>
        <v/>
      </c>
      <c r="BR311" s="23" t="str">
        <f t="shared" si="321"/>
        <v/>
      </c>
      <c r="BS311" s="23" t="str">
        <f t="shared" si="321"/>
        <v/>
      </c>
      <c r="BU311" s="29" t="s">
        <v>818</v>
      </c>
    </row>
    <row r="312" spans="1:73" x14ac:dyDescent="0.2">
      <c r="BU312" s="30"/>
    </row>
    <row r="313" spans="1:73" ht="17" x14ac:dyDescent="0.2">
      <c r="A313" s="19" t="s">
        <v>872</v>
      </c>
      <c r="B313" s="20" t="s">
        <v>873</v>
      </c>
      <c r="C313" s="19" t="s">
        <v>55</v>
      </c>
      <c r="D313" s="21" t="s">
        <v>128</v>
      </c>
      <c r="E313" s="19" t="s">
        <v>73</v>
      </c>
      <c r="F313" s="19" t="s">
        <v>850</v>
      </c>
      <c r="G313" s="22">
        <v>13</v>
      </c>
      <c r="H313" s="22">
        <v>10</v>
      </c>
      <c r="I313" s="22">
        <f>MIN(61,IF(G313&lt;=29,ROUND((G313-1)*(29+SlipWeeks)/29,0)+1,G313+SlipWeeks))</f>
        <v>13</v>
      </c>
      <c r="J313" s="22">
        <f>MIN(61,IF(G313+H313-1&lt;=29,MAX(ROUND((G313+H313-1)*(29+SlipWeeks)/29,0),I313),G313+H313-1+SlipWeeks))</f>
        <v>22</v>
      </c>
      <c r="K313" s="23" t="str">
        <f t="shared" ref="K313:T318" si="322">IF(AND(K$4&gt;=$I313,K$4&lt;=$J313),1,"")</f>
        <v/>
      </c>
      <c r="L313" s="23" t="str">
        <f t="shared" si="322"/>
        <v/>
      </c>
      <c r="M313" s="23" t="str">
        <f t="shared" si="322"/>
        <v/>
      </c>
      <c r="N313" s="23" t="str">
        <f t="shared" si="322"/>
        <v/>
      </c>
      <c r="O313" s="23" t="str">
        <f t="shared" si="322"/>
        <v/>
      </c>
      <c r="P313" s="23" t="str">
        <f t="shared" si="322"/>
        <v/>
      </c>
      <c r="Q313" s="23" t="str">
        <f t="shared" si="322"/>
        <v/>
      </c>
      <c r="R313" s="23" t="str">
        <f t="shared" si="322"/>
        <v/>
      </c>
      <c r="S313" s="23" t="str">
        <f t="shared" si="322"/>
        <v/>
      </c>
      <c r="T313" s="23" t="str">
        <f t="shared" si="322"/>
        <v/>
      </c>
      <c r="U313" s="23" t="str">
        <f t="shared" ref="U313:AD318" si="323">IF(AND(U$4&gt;=$I313,U$4&lt;=$J313),1,"")</f>
        <v/>
      </c>
      <c r="V313" s="23" t="str">
        <f t="shared" si="323"/>
        <v/>
      </c>
      <c r="W313" s="23">
        <f t="shared" si="323"/>
        <v>1</v>
      </c>
      <c r="X313" s="23">
        <f t="shared" si="323"/>
        <v>1</v>
      </c>
      <c r="Y313" s="23">
        <f t="shared" si="323"/>
        <v>1</v>
      </c>
      <c r="Z313" s="23">
        <f t="shared" si="323"/>
        <v>1</v>
      </c>
      <c r="AA313" s="23">
        <f t="shared" si="323"/>
        <v>1</v>
      </c>
      <c r="AB313" s="23">
        <f t="shared" si="323"/>
        <v>1</v>
      </c>
      <c r="AC313" s="23">
        <f t="shared" si="323"/>
        <v>1</v>
      </c>
      <c r="AD313" s="23">
        <f t="shared" si="323"/>
        <v>1</v>
      </c>
      <c r="AE313" s="23">
        <f t="shared" ref="AE313:AN318" si="324">IF(AND(AE$4&gt;=$I313,AE$4&lt;=$J313),1,"")</f>
        <v>1</v>
      </c>
      <c r="AF313" s="23">
        <f t="shared" si="324"/>
        <v>1</v>
      </c>
      <c r="AG313" s="23" t="str">
        <f t="shared" si="324"/>
        <v/>
      </c>
      <c r="AH313" s="23" t="str">
        <f t="shared" si="324"/>
        <v/>
      </c>
      <c r="AI313" s="23" t="str">
        <f t="shared" si="324"/>
        <v/>
      </c>
      <c r="AJ313" s="23" t="str">
        <f t="shared" si="324"/>
        <v/>
      </c>
      <c r="AK313" s="23" t="str">
        <f t="shared" si="324"/>
        <v/>
      </c>
      <c r="AL313" s="23" t="str">
        <f t="shared" si="324"/>
        <v/>
      </c>
      <c r="AM313" s="23" t="str">
        <f t="shared" si="324"/>
        <v/>
      </c>
      <c r="AN313" s="23" t="str">
        <f t="shared" si="324"/>
        <v/>
      </c>
      <c r="AO313" s="23" t="str">
        <f t="shared" ref="AO313:AX318" si="325">IF(AND(AO$4&gt;=$I313,AO$4&lt;=$J313),1,"")</f>
        <v/>
      </c>
      <c r="AP313" s="23" t="str">
        <f t="shared" si="325"/>
        <v/>
      </c>
      <c r="AQ313" s="23" t="str">
        <f t="shared" si="325"/>
        <v/>
      </c>
      <c r="AR313" s="23" t="str">
        <f t="shared" si="325"/>
        <v/>
      </c>
      <c r="AS313" s="23" t="str">
        <f t="shared" si="325"/>
        <v/>
      </c>
      <c r="AT313" s="23" t="str">
        <f t="shared" si="325"/>
        <v/>
      </c>
      <c r="AU313" s="23" t="str">
        <f t="shared" si="325"/>
        <v/>
      </c>
      <c r="AV313" s="23" t="str">
        <f t="shared" si="325"/>
        <v/>
      </c>
      <c r="AW313" s="23" t="str">
        <f t="shared" si="325"/>
        <v/>
      </c>
      <c r="AX313" s="23" t="str">
        <f t="shared" si="325"/>
        <v/>
      </c>
      <c r="AY313" s="23" t="str">
        <f t="shared" ref="AY313:BH318" si="326">IF(AND(AY$4&gt;=$I313,AY$4&lt;=$J313),1,"")</f>
        <v/>
      </c>
      <c r="AZ313" s="23" t="str">
        <f t="shared" si="326"/>
        <v/>
      </c>
      <c r="BA313" s="23" t="str">
        <f t="shared" si="326"/>
        <v/>
      </c>
      <c r="BB313" s="23" t="str">
        <f t="shared" si="326"/>
        <v/>
      </c>
      <c r="BC313" s="23" t="str">
        <f t="shared" si="326"/>
        <v/>
      </c>
      <c r="BD313" s="23" t="str">
        <f t="shared" si="326"/>
        <v/>
      </c>
      <c r="BE313" s="23" t="str">
        <f t="shared" si="326"/>
        <v/>
      </c>
      <c r="BF313" s="23" t="str">
        <f t="shared" si="326"/>
        <v/>
      </c>
      <c r="BG313" s="23" t="str">
        <f t="shared" si="326"/>
        <v/>
      </c>
      <c r="BH313" s="23" t="str">
        <f t="shared" si="326"/>
        <v/>
      </c>
      <c r="BI313" s="23" t="str">
        <f t="shared" ref="BI313:BS318" si="327">IF(AND(BI$4&gt;=$I313,BI$4&lt;=$J313),1,"")</f>
        <v/>
      </c>
      <c r="BJ313" s="23" t="str">
        <f t="shared" si="327"/>
        <v/>
      </c>
      <c r="BK313" s="23" t="str">
        <f t="shared" si="327"/>
        <v/>
      </c>
      <c r="BL313" s="23" t="str">
        <f t="shared" si="327"/>
        <v/>
      </c>
      <c r="BM313" s="23" t="str">
        <f t="shared" si="327"/>
        <v/>
      </c>
      <c r="BN313" s="23" t="str">
        <f t="shared" si="327"/>
        <v/>
      </c>
      <c r="BO313" s="23" t="str">
        <f t="shared" si="327"/>
        <v/>
      </c>
      <c r="BP313" s="23" t="str">
        <f t="shared" si="327"/>
        <v/>
      </c>
      <c r="BQ313" s="23" t="str">
        <f t="shared" si="327"/>
        <v/>
      </c>
      <c r="BR313" s="23" t="str">
        <f t="shared" si="327"/>
        <v/>
      </c>
      <c r="BS313" s="23" t="str">
        <f t="shared" si="327"/>
        <v/>
      </c>
      <c r="BT313" s="24" t="str">
        <f>IF(IF(G313+H313-1&lt;=29,MAX(ROUND((G313+H313-1)*(29+SlipWeeks)/29,0),$I313),G313+H313-1+SlipWeeks)&gt;61,"▶ clipped","")</f>
        <v/>
      </c>
      <c r="BU313" s="29" t="s">
        <v>874</v>
      </c>
    </row>
    <row r="314" spans="1:73" ht="17" outlineLevel="1" x14ac:dyDescent="0.2">
      <c r="A314" s="6" t="s">
        <v>875</v>
      </c>
      <c r="B314" s="25" t="s">
        <v>876</v>
      </c>
      <c r="C314" s="6" t="s">
        <v>55</v>
      </c>
      <c r="D314" s="24" t="s">
        <v>128</v>
      </c>
      <c r="F314" s="6"/>
      <c r="G314" s="22">
        <v>13</v>
      </c>
      <c r="H314" s="22">
        <v>2</v>
      </c>
      <c r="I314" s="22">
        <f>MEDIAN($I$313,$J$313,$I$313+ROUND((G314-$G$313)/$H$313*($J$313-$I$313+1),0))</f>
        <v>13</v>
      </c>
      <c r="J314" s="22">
        <f>MEDIAN(I314,$J$313,$I$313+ROUND((G314+H314-$G$313)/$H$313*($J$313-$I$313+1),0)-1)</f>
        <v>14</v>
      </c>
      <c r="K314" s="23" t="str">
        <f t="shared" si="322"/>
        <v/>
      </c>
      <c r="L314" s="23" t="str">
        <f t="shared" si="322"/>
        <v/>
      </c>
      <c r="M314" s="23" t="str">
        <f t="shared" si="322"/>
        <v/>
      </c>
      <c r="N314" s="23" t="str">
        <f t="shared" si="322"/>
        <v/>
      </c>
      <c r="O314" s="23" t="str">
        <f t="shared" si="322"/>
        <v/>
      </c>
      <c r="P314" s="23" t="str">
        <f t="shared" si="322"/>
        <v/>
      </c>
      <c r="Q314" s="23" t="str">
        <f t="shared" si="322"/>
        <v/>
      </c>
      <c r="R314" s="23" t="str">
        <f t="shared" si="322"/>
        <v/>
      </c>
      <c r="S314" s="23" t="str">
        <f t="shared" si="322"/>
        <v/>
      </c>
      <c r="T314" s="23" t="str">
        <f t="shared" si="322"/>
        <v/>
      </c>
      <c r="U314" s="23" t="str">
        <f t="shared" si="323"/>
        <v/>
      </c>
      <c r="V314" s="23" t="str">
        <f t="shared" si="323"/>
        <v/>
      </c>
      <c r="W314" s="23">
        <f t="shared" si="323"/>
        <v>1</v>
      </c>
      <c r="X314" s="23">
        <f t="shared" si="323"/>
        <v>1</v>
      </c>
      <c r="Y314" s="23" t="str">
        <f t="shared" si="323"/>
        <v/>
      </c>
      <c r="Z314" s="23" t="str">
        <f t="shared" si="323"/>
        <v/>
      </c>
      <c r="AA314" s="23" t="str">
        <f t="shared" si="323"/>
        <v/>
      </c>
      <c r="AB314" s="23" t="str">
        <f t="shared" si="323"/>
        <v/>
      </c>
      <c r="AC314" s="23" t="str">
        <f t="shared" si="323"/>
        <v/>
      </c>
      <c r="AD314" s="23" t="str">
        <f t="shared" si="323"/>
        <v/>
      </c>
      <c r="AE314" s="23" t="str">
        <f t="shared" si="324"/>
        <v/>
      </c>
      <c r="AF314" s="23" t="str">
        <f t="shared" si="324"/>
        <v/>
      </c>
      <c r="AG314" s="23" t="str">
        <f t="shared" si="324"/>
        <v/>
      </c>
      <c r="AH314" s="23" t="str">
        <f t="shared" si="324"/>
        <v/>
      </c>
      <c r="AI314" s="23" t="str">
        <f t="shared" si="324"/>
        <v/>
      </c>
      <c r="AJ314" s="23" t="str">
        <f t="shared" si="324"/>
        <v/>
      </c>
      <c r="AK314" s="23" t="str">
        <f t="shared" si="324"/>
        <v/>
      </c>
      <c r="AL314" s="23" t="str">
        <f t="shared" si="324"/>
        <v/>
      </c>
      <c r="AM314" s="23" t="str">
        <f t="shared" si="324"/>
        <v/>
      </c>
      <c r="AN314" s="23" t="str">
        <f t="shared" si="324"/>
        <v/>
      </c>
      <c r="AO314" s="23" t="str">
        <f t="shared" si="325"/>
        <v/>
      </c>
      <c r="AP314" s="23" t="str">
        <f t="shared" si="325"/>
        <v/>
      </c>
      <c r="AQ314" s="23" t="str">
        <f t="shared" si="325"/>
        <v/>
      </c>
      <c r="AR314" s="23" t="str">
        <f t="shared" si="325"/>
        <v/>
      </c>
      <c r="AS314" s="23" t="str">
        <f t="shared" si="325"/>
        <v/>
      </c>
      <c r="AT314" s="23" t="str">
        <f t="shared" si="325"/>
        <v/>
      </c>
      <c r="AU314" s="23" t="str">
        <f t="shared" si="325"/>
        <v/>
      </c>
      <c r="AV314" s="23" t="str">
        <f t="shared" si="325"/>
        <v/>
      </c>
      <c r="AW314" s="23" t="str">
        <f t="shared" si="325"/>
        <v/>
      </c>
      <c r="AX314" s="23" t="str">
        <f t="shared" si="325"/>
        <v/>
      </c>
      <c r="AY314" s="23" t="str">
        <f t="shared" si="326"/>
        <v/>
      </c>
      <c r="AZ314" s="23" t="str">
        <f t="shared" si="326"/>
        <v/>
      </c>
      <c r="BA314" s="23" t="str">
        <f t="shared" si="326"/>
        <v/>
      </c>
      <c r="BB314" s="23" t="str">
        <f t="shared" si="326"/>
        <v/>
      </c>
      <c r="BC314" s="23" t="str">
        <f t="shared" si="326"/>
        <v/>
      </c>
      <c r="BD314" s="23" t="str">
        <f t="shared" si="326"/>
        <v/>
      </c>
      <c r="BE314" s="23" t="str">
        <f t="shared" si="326"/>
        <v/>
      </c>
      <c r="BF314" s="23" t="str">
        <f t="shared" si="326"/>
        <v/>
      </c>
      <c r="BG314" s="23" t="str">
        <f t="shared" si="326"/>
        <v/>
      </c>
      <c r="BH314" s="23" t="str">
        <f t="shared" si="326"/>
        <v/>
      </c>
      <c r="BI314" s="23" t="str">
        <f t="shared" si="327"/>
        <v/>
      </c>
      <c r="BJ314" s="23" t="str">
        <f t="shared" si="327"/>
        <v/>
      </c>
      <c r="BK314" s="23" t="str">
        <f t="shared" si="327"/>
        <v/>
      </c>
      <c r="BL314" s="23" t="str">
        <f t="shared" si="327"/>
        <v/>
      </c>
      <c r="BM314" s="23" t="str">
        <f t="shared" si="327"/>
        <v/>
      </c>
      <c r="BN314" s="23" t="str">
        <f t="shared" si="327"/>
        <v/>
      </c>
      <c r="BO314" s="23" t="str">
        <f t="shared" si="327"/>
        <v/>
      </c>
      <c r="BP314" s="23" t="str">
        <f t="shared" si="327"/>
        <v/>
      </c>
      <c r="BQ314" s="23" t="str">
        <f t="shared" si="327"/>
        <v/>
      </c>
      <c r="BR314" s="23" t="str">
        <f t="shared" si="327"/>
        <v/>
      </c>
      <c r="BS314" s="23" t="str">
        <f t="shared" si="327"/>
        <v/>
      </c>
      <c r="BU314" s="29" t="s">
        <v>818</v>
      </c>
    </row>
    <row r="315" spans="1:73" ht="17" outlineLevel="1" x14ac:dyDescent="0.2">
      <c r="A315" s="6" t="s">
        <v>877</v>
      </c>
      <c r="B315" s="25" t="s">
        <v>878</v>
      </c>
      <c r="C315" s="6" t="s">
        <v>55</v>
      </c>
      <c r="D315" s="24" t="s">
        <v>128</v>
      </c>
      <c r="F315" s="6"/>
      <c r="G315" s="22">
        <v>15</v>
      </c>
      <c r="H315" s="22">
        <v>2</v>
      </c>
      <c r="I315" s="22">
        <f>MEDIAN($I$313,$J$313,$I$313+ROUND((G315-$G$313)/$H$313*($J$313-$I$313+1),0))</f>
        <v>15</v>
      </c>
      <c r="J315" s="22">
        <f>MEDIAN(I315,$J$313,$I$313+ROUND((G315+H315-$G$313)/$H$313*($J$313-$I$313+1),0)-1)</f>
        <v>16</v>
      </c>
      <c r="K315" s="23" t="str">
        <f t="shared" si="322"/>
        <v/>
      </c>
      <c r="L315" s="23" t="str">
        <f t="shared" si="322"/>
        <v/>
      </c>
      <c r="M315" s="23" t="str">
        <f t="shared" si="322"/>
        <v/>
      </c>
      <c r="N315" s="23" t="str">
        <f t="shared" si="322"/>
        <v/>
      </c>
      <c r="O315" s="23" t="str">
        <f t="shared" si="322"/>
        <v/>
      </c>
      <c r="P315" s="23" t="str">
        <f t="shared" si="322"/>
        <v/>
      </c>
      <c r="Q315" s="23" t="str">
        <f t="shared" si="322"/>
        <v/>
      </c>
      <c r="R315" s="23" t="str">
        <f t="shared" si="322"/>
        <v/>
      </c>
      <c r="S315" s="23" t="str">
        <f t="shared" si="322"/>
        <v/>
      </c>
      <c r="T315" s="23" t="str">
        <f t="shared" si="322"/>
        <v/>
      </c>
      <c r="U315" s="23" t="str">
        <f t="shared" si="323"/>
        <v/>
      </c>
      <c r="V315" s="23" t="str">
        <f t="shared" si="323"/>
        <v/>
      </c>
      <c r="W315" s="23" t="str">
        <f t="shared" si="323"/>
        <v/>
      </c>
      <c r="X315" s="23" t="str">
        <f t="shared" si="323"/>
        <v/>
      </c>
      <c r="Y315" s="23">
        <f t="shared" si="323"/>
        <v>1</v>
      </c>
      <c r="Z315" s="23">
        <f t="shared" si="323"/>
        <v>1</v>
      </c>
      <c r="AA315" s="23" t="str">
        <f t="shared" si="323"/>
        <v/>
      </c>
      <c r="AB315" s="23" t="str">
        <f t="shared" si="323"/>
        <v/>
      </c>
      <c r="AC315" s="23" t="str">
        <f t="shared" si="323"/>
        <v/>
      </c>
      <c r="AD315" s="23" t="str">
        <f t="shared" si="323"/>
        <v/>
      </c>
      <c r="AE315" s="23" t="str">
        <f t="shared" si="324"/>
        <v/>
      </c>
      <c r="AF315" s="23" t="str">
        <f t="shared" si="324"/>
        <v/>
      </c>
      <c r="AG315" s="23" t="str">
        <f t="shared" si="324"/>
        <v/>
      </c>
      <c r="AH315" s="23" t="str">
        <f t="shared" si="324"/>
        <v/>
      </c>
      <c r="AI315" s="23" t="str">
        <f t="shared" si="324"/>
        <v/>
      </c>
      <c r="AJ315" s="23" t="str">
        <f t="shared" si="324"/>
        <v/>
      </c>
      <c r="AK315" s="23" t="str">
        <f t="shared" si="324"/>
        <v/>
      </c>
      <c r="AL315" s="23" t="str">
        <f t="shared" si="324"/>
        <v/>
      </c>
      <c r="AM315" s="23" t="str">
        <f t="shared" si="324"/>
        <v/>
      </c>
      <c r="AN315" s="23" t="str">
        <f t="shared" si="324"/>
        <v/>
      </c>
      <c r="AO315" s="23" t="str">
        <f t="shared" si="325"/>
        <v/>
      </c>
      <c r="AP315" s="23" t="str">
        <f t="shared" si="325"/>
        <v/>
      </c>
      <c r="AQ315" s="23" t="str">
        <f t="shared" si="325"/>
        <v/>
      </c>
      <c r="AR315" s="23" t="str">
        <f t="shared" si="325"/>
        <v/>
      </c>
      <c r="AS315" s="23" t="str">
        <f t="shared" si="325"/>
        <v/>
      </c>
      <c r="AT315" s="23" t="str">
        <f t="shared" si="325"/>
        <v/>
      </c>
      <c r="AU315" s="23" t="str">
        <f t="shared" si="325"/>
        <v/>
      </c>
      <c r="AV315" s="23" t="str">
        <f t="shared" si="325"/>
        <v/>
      </c>
      <c r="AW315" s="23" t="str">
        <f t="shared" si="325"/>
        <v/>
      </c>
      <c r="AX315" s="23" t="str">
        <f t="shared" si="325"/>
        <v/>
      </c>
      <c r="AY315" s="23" t="str">
        <f t="shared" si="326"/>
        <v/>
      </c>
      <c r="AZ315" s="23" t="str">
        <f t="shared" si="326"/>
        <v/>
      </c>
      <c r="BA315" s="23" t="str">
        <f t="shared" si="326"/>
        <v/>
      </c>
      <c r="BB315" s="23" t="str">
        <f t="shared" si="326"/>
        <v/>
      </c>
      <c r="BC315" s="23" t="str">
        <f t="shared" si="326"/>
        <v/>
      </c>
      <c r="BD315" s="23" t="str">
        <f t="shared" si="326"/>
        <v/>
      </c>
      <c r="BE315" s="23" t="str">
        <f t="shared" si="326"/>
        <v/>
      </c>
      <c r="BF315" s="23" t="str">
        <f t="shared" si="326"/>
        <v/>
      </c>
      <c r="BG315" s="23" t="str">
        <f t="shared" si="326"/>
        <v/>
      </c>
      <c r="BH315" s="23" t="str">
        <f t="shared" si="326"/>
        <v/>
      </c>
      <c r="BI315" s="23" t="str">
        <f t="shared" si="327"/>
        <v/>
      </c>
      <c r="BJ315" s="23" t="str">
        <f t="shared" si="327"/>
        <v/>
      </c>
      <c r="BK315" s="23" t="str">
        <f t="shared" si="327"/>
        <v/>
      </c>
      <c r="BL315" s="23" t="str">
        <f t="shared" si="327"/>
        <v/>
      </c>
      <c r="BM315" s="23" t="str">
        <f t="shared" si="327"/>
        <v/>
      </c>
      <c r="BN315" s="23" t="str">
        <f t="shared" si="327"/>
        <v/>
      </c>
      <c r="BO315" s="23" t="str">
        <f t="shared" si="327"/>
        <v/>
      </c>
      <c r="BP315" s="23" t="str">
        <f t="shared" si="327"/>
        <v/>
      </c>
      <c r="BQ315" s="23" t="str">
        <f t="shared" si="327"/>
        <v/>
      </c>
      <c r="BR315" s="23" t="str">
        <f t="shared" si="327"/>
        <v/>
      </c>
      <c r="BS315" s="23" t="str">
        <f t="shared" si="327"/>
        <v/>
      </c>
      <c r="BU315" s="29" t="s">
        <v>818</v>
      </c>
    </row>
    <row r="316" spans="1:73" ht="17" outlineLevel="1" x14ac:dyDescent="0.2">
      <c r="A316" s="6" t="s">
        <v>879</v>
      </c>
      <c r="B316" s="25" t="s">
        <v>880</v>
      </c>
      <c r="C316" s="6" t="s">
        <v>55</v>
      </c>
      <c r="D316" s="24" t="s">
        <v>128</v>
      </c>
      <c r="F316" s="6"/>
      <c r="G316" s="22">
        <v>17</v>
      </c>
      <c r="H316" s="22">
        <v>2</v>
      </c>
      <c r="I316" s="22">
        <f>MEDIAN($I$313,$J$313,$I$313+ROUND((G316-$G$313)/$H$313*($J$313-$I$313+1),0))</f>
        <v>17</v>
      </c>
      <c r="J316" s="22">
        <f>MEDIAN(I316,$J$313,$I$313+ROUND((G316+H316-$G$313)/$H$313*($J$313-$I$313+1),0)-1)</f>
        <v>18</v>
      </c>
      <c r="K316" s="23" t="str">
        <f t="shared" si="322"/>
        <v/>
      </c>
      <c r="L316" s="23" t="str">
        <f t="shared" si="322"/>
        <v/>
      </c>
      <c r="M316" s="23" t="str">
        <f t="shared" si="322"/>
        <v/>
      </c>
      <c r="N316" s="23" t="str">
        <f t="shared" si="322"/>
        <v/>
      </c>
      <c r="O316" s="23" t="str">
        <f t="shared" si="322"/>
        <v/>
      </c>
      <c r="P316" s="23" t="str">
        <f t="shared" si="322"/>
        <v/>
      </c>
      <c r="Q316" s="23" t="str">
        <f t="shared" si="322"/>
        <v/>
      </c>
      <c r="R316" s="23" t="str">
        <f t="shared" si="322"/>
        <v/>
      </c>
      <c r="S316" s="23" t="str">
        <f t="shared" si="322"/>
        <v/>
      </c>
      <c r="T316" s="23" t="str">
        <f t="shared" si="322"/>
        <v/>
      </c>
      <c r="U316" s="23" t="str">
        <f t="shared" si="323"/>
        <v/>
      </c>
      <c r="V316" s="23" t="str">
        <f t="shared" si="323"/>
        <v/>
      </c>
      <c r="W316" s="23" t="str">
        <f t="shared" si="323"/>
        <v/>
      </c>
      <c r="X316" s="23" t="str">
        <f t="shared" si="323"/>
        <v/>
      </c>
      <c r="Y316" s="23" t="str">
        <f t="shared" si="323"/>
        <v/>
      </c>
      <c r="Z316" s="23" t="str">
        <f t="shared" si="323"/>
        <v/>
      </c>
      <c r="AA316" s="23">
        <f t="shared" si="323"/>
        <v>1</v>
      </c>
      <c r="AB316" s="23">
        <f t="shared" si="323"/>
        <v>1</v>
      </c>
      <c r="AC316" s="23" t="str">
        <f t="shared" si="323"/>
        <v/>
      </c>
      <c r="AD316" s="23" t="str">
        <f t="shared" si="323"/>
        <v/>
      </c>
      <c r="AE316" s="23" t="str">
        <f t="shared" si="324"/>
        <v/>
      </c>
      <c r="AF316" s="23" t="str">
        <f t="shared" si="324"/>
        <v/>
      </c>
      <c r="AG316" s="23" t="str">
        <f t="shared" si="324"/>
        <v/>
      </c>
      <c r="AH316" s="23" t="str">
        <f t="shared" si="324"/>
        <v/>
      </c>
      <c r="AI316" s="23" t="str">
        <f t="shared" si="324"/>
        <v/>
      </c>
      <c r="AJ316" s="23" t="str">
        <f t="shared" si="324"/>
        <v/>
      </c>
      <c r="AK316" s="23" t="str">
        <f t="shared" si="324"/>
        <v/>
      </c>
      <c r="AL316" s="23" t="str">
        <f t="shared" si="324"/>
        <v/>
      </c>
      <c r="AM316" s="23" t="str">
        <f t="shared" si="324"/>
        <v/>
      </c>
      <c r="AN316" s="23" t="str">
        <f t="shared" si="324"/>
        <v/>
      </c>
      <c r="AO316" s="23" t="str">
        <f t="shared" si="325"/>
        <v/>
      </c>
      <c r="AP316" s="23" t="str">
        <f t="shared" si="325"/>
        <v/>
      </c>
      <c r="AQ316" s="23" t="str">
        <f t="shared" si="325"/>
        <v/>
      </c>
      <c r="AR316" s="23" t="str">
        <f t="shared" si="325"/>
        <v/>
      </c>
      <c r="AS316" s="23" t="str">
        <f t="shared" si="325"/>
        <v/>
      </c>
      <c r="AT316" s="23" t="str">
        <f t="shared" si="325"/>
        <v/>
      </c>
      <c r="AU316" s="23" t="str">
        <f t="shared" si="325"/>
        <v/>
      </c>
      <c r="AV316" s="23" t="str">
        <f t="shared" si="325"/>
        <v/>
      </c>
      <c r="AW316" s="23" t="str">
        <f t="shared" si="325"/>
        <v/>
      </c>
      <c r="AX316" s="23" t="str">
        <f t="shared" si="325"/>
        <v/>
      </c>
      <c r="AY316" s="23" t="str">
        <f t="shared" si="326"/>
        <v/>
      </c>
      <c r="AZ316" s="23" t="str">
        <f t="shared" si="326"/>
        <v/>
      </c>
      <c r="BA316" s="23" t="str">
        <f t="shared" si="326"/>
        <v/>
      </c>
      <c r="BB316" s="23" t="str">
        <f t="shared" si="326"/>
        <v/>
      </c>
      <c r="BC316" s="23" t="str">
        <f t="shared" si="326"/>
        <v/>
      </c>
      <c r="BD316" s="23" t="str">
        <f t="shared" si="326"/>
        <v/>
      </c>
      <c r="BE316" s="23" t="str">
        <f t="shared" si="326"/>
        <v/>
      </c>
      <c r="BF316" s="23" t="str">
        <f t="shared" si="326"/>
        <v/>
      </c>
      <c r="BG316" s="23" t="str">
        <f t="shared" si="326"/>
        <v/>
      </c>
      <c r="BH316" s="23" t="str">
        <f t="shared" si="326"/>
        <v/>
      </c>
      <c r="BI316" s="23" t="str">
        <f t="shared" si="327"/>
        <v/>
      </c>
      <c r="BJ316" s="23" t="str">
        <f t="shared" si="327"/>
        <v/>
      </c>
      <c r="BK316" s="23" t="str">
        <f t="shared" si="327"/>
        <v/>
      </c>
      <c r="BL316" s="23" t="str">
        <f t="shared" si="327"/>
        <v/>
      </c>
      <c r="BM316" s="23" t="str">
        <f t="shared" si="327"/>
        <v/>
      </c>
      <c r="BN316" s="23" t="str">
        <f t="shared" si="327"/>
        <v/>
      </c>
      <c r="BO316" s="23" t="str">
        <f t="shared" si="327"/>
        <v/>
      </c>
      <c r="BP316" s="23" t="str">
        <f t="shared" si="327"/>
        <v/>
      </c>
      <c r="BQ316" s="23" t="str">
        <f t="shared" si="327"/>
        <v/>
      </c>
      <c r="BR316" s="23" t="str">
        <f t="shared" si="327"/>
        <v/>
      </c>
      <c r="BS316" s="23" t="str">
        <f t="shared" si="327"/>
        <v/>
      </c>
      <c r="BU316" s="29" t="s">
        <v>818</v>
      </c>
    </row>
    <row r="317" spans="1:73" ht="17" outlineLevel="1" x14ac:dyDescent="0.2">
      <c r="A317" s="6" t="s">
        <v>881</v>
      </c>
      <c r="B317" s="25" t="s">
        <v>882</v>
      </c>
      <c r="C317" s="6" t="s">
        <v>55</v>
      </c>
      <c r="D317" s="24" t="s">
        <v>128</v>
      </c>
      <c r="F317" s="6"/>
      <c r="G317" s="22">
        <v>19</v>
      </c>
      <c r="H317" s="22">
        <v>2</v>
      </c>
      <c r="I317" s="22">
        <f>MEDIAN($I$313,$J$313,$I$313+ROUND((G317-$G$313)/$H$313*($J$313-$I$313+1),0))</f>
        <v>19</v>
      </c>
      <c r="J317" s="22">
        <f>MEDIAN(I317,$J$313,$I$313+ROUND((G317+H317-$G$313)/$H$313*($J$313-$I$313+1),0)-1)</f>
        <v>20</v>
      </c>
      <c r="K317" s="23" t="str">
        <f t="shared" si="322"/>
        <v/>
      </c>
      <c r="L317" s="23" t="str">
        <f t="shared" si="322"/>
        <v/>
      </c>
      <c r="M317" s="23" t="str">
        <f t="shared" si="322"/>
        <v/>
      </c>
      <c r="N317" s="23" t="str">
        <f t="shared" si="322"/>
        <v/>
      </c>
      <c r="O317" s="23" t="str">
        <f t="shared" si="322"/>
        <v/>
      </c>
      <c r="P317" s="23" t="str">
        <f t="shared" si="322"/>
        <v/>
      </c>
      <c r="Q317" s="23" t="str">
        <f t="shared" si="322"/>
        <v/>
      </c>
      <c r="R317" s="23" t="str">
        <f t="shared" si="322"/>
        <v/>
      </c>
      <c r="S317" s="23" t="str">
        <f t="shared" si="322"/>
        <v/>
      </c>
      <c r="T317" s="23" t="str">
        <f t="shared" si="322"/>
        <v/>
      </c>
      <c r="U317" s="23" t="str">
        <f t="shared" si="323"/>
        <v/>
      </c>
      <c r="V317" s="23" t="str">
        <f t="shared" si="323"/>
        <v/>
      </c>
      <c r="W317" s="23" t="str">
        <f t="shared" si="323"/>
        <v/>
      </c>
      <c r="X317" s="23" t="str">
        <f t="shared" si="323"/>
        <v/>
      </c>
      <c r="Y317" s="23" t="str">
        <f t="shared" si="323"/>
        <v/>
      </c>
      <c r="Z317" s="23" t="str">
        <f t="shared" si="323"/>
        <v/>
      </c>
      <c r="AA317" s="23" t="str">
        <f t="shared" si="323"/>
        <v/>
      </c>
      <c r="AB317" s="23" t="str">
        <f t="shared" si="323"/>
        <v/>
      </c>
      <c r="AC317" s="23">
        <f t="shared" si="323"/>
        <v>1</v>
      </c>
      <c r="AD317" s="23">
        <f t="shared" si="323"/>
        <v>1</v>
      </c>
      <c r="AE317" s="23" t="str">
        <f t="shared" si="324"/>
        <v/>
      </c>
      <c r="AF317" s="23" t="str">
        <f t="shared" si="324"/>
        <v/>
      </c>
      <c r="AG317" s="23" t="str">
        <f t="shared" si="324"/>
        <v/>
      </c>
      <c r="AH317" s="23" t="str">
        <f t="shared" si="324"/>
        <v/>
      </c>
      <c r="AI317" s="23" t="str">
        <f t="shared" si="324"/>
        <v/>
      </c>
      <c r="AJ317" s="23" t="str">
        <f t="shared" si="324"/>
        <v/>
      </c>
      <c r="AK317" s="23" t="str">
        <f t="shared" si="324"/>
        <v/>
      </c>
      <c r="AL317" s="23" t="str">
        <f t="shared" si="324"/>
        <v/>
      </c>
      <c r="AM317" s="23" t="str">
        <f t="shared" si="324"/>
        <v/>
      </c>
      <c r="AN317" s="23" t="str">
        <f t="shared" si="324"/>
        <v/>
      </c>
      <c r="AO317" s="23" t="str">
        <f t="shared" si="325"/>
        <v/>
      </c>
      <c r="AP317" s="23" t="str">
        <f t="shared" si="325"/>
        <v/>
      </c>
      <c r="AQ317" s="23" t="str">
        <f t="shared" si="325"/>
        <v/>
      </c>
      <c r="AR317" s="23" t="str">
        <f t="shared" si="325"/>
        <v/>
      </c>
      <c r="AS317" s="23" t="str">
        <f t="shared" si="325"/>
        <v/>
      </c>
      <c r="AT317" s="23" t="str">
        <f t="shared" si="325"/>
        <v/>
      </c>
      <c r="AU317" s="23" t="str">
        <f t="shared" si="325"/>
        <v/>
      </c>
      <c r="AV317" s="23" t="str">
        <f t="shared" si="325"/>
        <v/>
      </c>
      <c r="AW317" s="23" t="str">
        <f t="shared" si="325"/>
        <v/>
      </c>
      <c r="AX317" s="23" t="str">
        <f t="shared" si="325"/>
        <v/>
      </c>
      <c r="AY317" s="23" t="str">
        <f t="shared" si="326"/>
        <v/>
      </c>
      <c r="AZ317" s="23" t="str">
        <f t="shared" si="326"/>
        <v/>
      </c>
      <c r="BA317" s="23" t="str">
        <f t="shared" si="326"/>
        <v/>
      </c>
      <c r="BB317" s="23" t="str">
        <f t="shared" si="326"/>
        <v/>
      </c>
      <c r="BC317" s="23" t="str">
        <f t="shared" si="326"/>
        <v/>
      </c>
      <c r="BD317" s="23" t="str">
        <f t="shared" si="326"/>
        <v/>
      </c>
      <c r="BE317" s="23" t="str">
        <f t="shared" si="326"/>
        <v/>
      </c>
      <c r="BF317" s="23" t="str">
        <f t="shared" si="326"/>
        <v/>
      </c>
      <c r="BG317" s="23" t="str">
        <f t="shared" si="326"/>
        <v/>
      </c>
      <c r="BH317" s="23" t="str">
        <f t="shared" si="326"/>
        <v/>
      </c>
      <c r="BI317" s="23" t="str">
        <f t="shared" si="327"/>
        <v/>
      </c>
      <c r="BJ317" s="23" t="str">
        <f t="shared" si="327"/>
        <v/>
      </c>
      <c r="BK317" s="23" t="str">
        <f t="shared" si="327"/>
        <v/>
      </c>
      <c r="BL317" s="23" t="str">
        <f t="shared" si="327"/>
        <v/>
      </c>
      <c r="BM317" s="23" t="str">
        <f t="shared" si="327"/>
        <v/>
      </c>
      <c r="BN317" s="23" t="str">
        <f t="shared" si="327"/>
        <v/>
      </c>
      <c r="BO317" s="23" t="str">
        <f t="shared" si="327"/>
        <v/>
      </c>
      <c r="BP317" s="23" t="str">
        <f t="shared" si="327"/>
        <v/>
      </c>
      <c r="BQ317" s="23" t="str">
        <f t="shared" si="327"/>
        <v/>
      </c>
      <c r="BR317" s="23" t="str">
        <f t="shared" si="327"/>
        <v/>
      </c>
      <c r="BS317" s="23" t="str">
        <f t="shared" si="327"/>
        <v/>
      </c>
      <c r="BU317" s="29" t="s">
        <v>818</v>
      </c>
    </row>
    <row r="318" spans="1:73" ht="17" outlineLevel="1" x14ac:dyDescent="0.2">
      <c r="A318" s="6" t="s">
        <v>883</v>
      </c>
      <c r="B318" s="25" t="s">
        <v>884</v>
      </c>
      <c r="C318" s="6" t="s">
        <v>55</v>
      </c>
      <c r="D318" s="24" t="s">
        <v>128</v>
      </c>
      <c r="F318" s="6"/>
      <c r="G318" s="22">
        <v>21</v>
      </c>
      <c r="H318" s="22">
        <v>2</v>
      </c>
      <c r="I318" s="22">
        <f>MEDIAN($I$313,$J$313,$I$313+ROUND((G318-$G$313)/$H$313*($J$313-$I$313+1),0))</f>
        <v>21</v>
      </c>
      <c r="J318" s="22">
        <f>MEDIAN(I318,$J$313,$I$313+ROUND((G318+H318-$G$313)/$H$313*($J$313-$I$313+1),0)-1)</f>
        <v>22</v>
      </c>
      <c r="K318" s="23" t="str">
        <f t="shared" si="322"/>
        <v/>
      </c>
      <c r="L318" s="23" t="str">
        <f t="shared" si="322"/>
        <v/>
      </c>
      <c r="M318" s="23" t="str">
        <f t="shared" si="322"/>
        <v/>
      </c>
      <c r="N318" s="23" t="str">
        <f t="shared" si="322"/>
        <v/>
      </c>
      <c r="O318" s="23" t="str">
        <f t="shared" si="322"/>
        <v/>
      </c>
      <c r="P318" s="23" t="str">
        <f t="shared" si="322"/>
        <v/>
      </c>
      <c r="Q318" s="23" t="str">
        <f t="shared" si="322"/>
        <v/>
      </c>
      <c r="R318" s="23" t="str">
        <f t="shared" si="322"/>
        <v/>
      </c>
      <c r="S318" s="23" t="str">
        <f t="shared" si="322"/>
        <v/>
      </c>
      <c r="T318" s="23" t="str">
        <f t="shared" si="322"/>
        <v/>
      </c>
      <c r="U318" s="23" t="str">
        <f t="shared" si="323"/>
        <v/>
      </c>
      <c r="V318" s="23" t="str">
        <f t="shared" si="323"/>
        <v/>
      </c>
      <c r="W318" s="23" t="str">
        <f t="shared" si="323"/>
        <v/>
      </c>
      <c r="X318" s="23" t="str">
        <f t="shared" si="323"/>
        <v/>
      </c>
      <c r="Y318" s="23" t="str">
        <f t="shared" si="323"/>
        <v/>
      </c>
      <c r="Z318" s="23" t="str">
        <f t="shared" si="323"/>
        <v/>
      </c>
      <c r="AA318" s="23" t="str">
        <f t="shared" si="323"/>
        <v/>
      </c>
      <c r="AB318" s="23" t="str">
        <f t="shared" si="323"/>
        <v/>
      </c>
      <c r="AC318" s="23" t="str">
        <f t="shared" si="323"/>
        <v/>
      </c>
      <c r="AD318" s="23" t="str">
        <f t="shared" si="323"/>
        <v/>
      </c>
      <c r="AE318" s="23">
        <f t="shared" si="324"/>
        <v>1</v>
      </c>
      <c r="AF318" s="23">
        <f t="shared" si="324"/>
        <v>1</v>
      </c>
      <c r="AG318" s="23" t="str">
        <f t="shared" si="324"/>
        <v/>
      </c>
      <c r="AH318" s="23" t="str">
        <f t="shared" si="324"/>
        <v/>
      </c>
      <c r="AI318" s="23" t="str">
        <f t="shared" si="324"/>
        <v/>
      </c>
      <c r="AJ318" s="23" t="str">
        <f t="shared" si="324"/>
        <v/>
      </c>
      <c r="AK318" s="23" t="str">
        <f t="shared" si="324"/>
        <v/>
      </c>
      <c r="AL318" s="23" t="str">
        <f t="shared" si="324"/>
        <v/>
      </c>
      <c r="AM318" s="23" t="str">
        <f t="shared" si="324"/>
        <v/>
      </c>
      <c r="AN318" s="23" t="str">
        <f t="shared" si="324"/>
        <v/>
      </c>
      <c r="AO318" s="23" t="str">
        <f t="shared" si="325"/>
        <v/>
      </c>
      <c r="AP318" s="23" t="str">
        <f t="shared" si="325"/>
        <v/>
      </c>
      <c r="AQ318" s="23" t="str">
        <f t="shared" si="325"/>
        <v/>
      </c>
      <c r="AR318" s="23" t="str">
        <f t="shared" si="325"/>
        <v/>
      </c>
      <c r="AS318" s="23" t="str">
        <f t="shared" si="325"/>
        <v/>
      </c>
      <c r="AT318" s="23" t="str">
        <f t="shared" si="325"/>
        <v/>
      </c>
      <c r="AU318" s="23" t="str">
        <f t="shared" si="325"/>
        <v/>
      </c>
      <c r="AV318" s="23" t="str">
        <f t="shared" si="325"/>
        <v/>
      </c>
      <c r="AW318" s="23" t="str">
        <f t="shared" si="325"/>
        <v/>
      </c>
      <c r="AX318" s="23" t="str">
        <f t="shared" si="325"/>
        <v/>
      </c>
      <c r="AY318" s="23" t="str">
        <f t="shared" si="326"/>
        <v/>
      </c>
      <c r="AZ318" s="23" t="str">
        <f t="shared" si="326"/>
        <v/>
      </c>
      <c r="BA318" s="23" t="str">
        <f t="shared" si="326"/>
        <v/>
      </c>
      <c r="BB318" s="23" t="str">
        <f t="shared" si="326"/>
        <v/>
      </c>
      <c r="BC318" s="23" t="str">
        <f t="shared" si="326"/>
        <v/>
      </c>
      <c r="BD318" s="23" t="str">
        <f t="shared" si="326"/>
        <v/>
      </c>
      <c r="BE318" s="23" t="str">
        <f t="shared" si="326"/>
        <v/>
      </c>
      <c r="BF318" s="23" t="str">
        <f t="shared" si="326"/>
        <v/>
      </c>
      <c r="BG318" s="23" t="str">
        <f t="shared" si="326"/>
        <v/>
      </c>
      <c r="BH318" s="23" t="str">
        <f t="shared" si="326"/>
        <v/>
      </c>
      <c r="BI318" s="23" t="str">
        <f t="shared" si="327"/>
        <v/>
      </c>
      <c r="BJ318" s="23" t="str">
        <f t="shared" si="327"/>
        <v/>
      </c>
      <c r="BK318" s="23" t="str">
        <f t="shared" si="327"/>
        <v/>
      </c>
      <c r="BL318" s="23" t="str">
        <f t="shared" si="327"/>
        <v/>
      </c>
      <c r="BM318" s="23" t="str">
        <f t="shared" si="327"/>
        <v/>
      </c>
      <c r="BN318" s="23" t="str">
        <f t="shared" si="327"/>
        <v/>
      </c>
      <c r="BO318" s="23" t="str">
        <f t="shared" si="327"/>
        <v/>
      </c>
      <c r="BP318" s="23" t="str">
        <f t="shared" si="327"/>
        <v/>
      </c>
      <c r="BQ318" s="23" t="str">
        <f t="shared" si="327"/>
        <v/>
      </c>
      <c r="BR318" s="23" t="str">
        <f t="shared" si="327"/>
        <v/>
      </c>
      <c r="BS318" s="23" t="str">
        <f t="shared" si="327"/>
        <v/>
      </c>
      <c r="BU318" s="29" t="s">
        <v>818</v>
      </c>
    </row>
    <row r="319" spans="1:73" x14ac:dyDescent="0.2">
      <c r="BU319" s="30"/>
    </row>
    <row r="320" spans="1:73" ht="17" x14ac:dyDescent="0.2">
      <c r="A320" s="19" t="s">
        <v>885</v>
      </c>
      <c r="B320" s="20" t="s">
        <v>886</v>
      </c>
      <c r="C320" s="19" t="s">
        <v>55</v>
      </c>
      <c r="D320" s="21" t="s">
        <v>128</v>
      </c>
      <c r="E320" s="19" t="s">
        <v>73</v>
      </c>
      <c r="F320" s="19" t="s">
        <v>850</v>
      </c>
      <c r="G320" s="22">
        <v>14</v>
      </c>
      <c r="H320" s="22">
        <v>10</v>
      </c>
      <c r="I320" s="22">
        <f>MIN(61,IF(G320&lt;=29,ROUND((G320-1)*(29+SlipWeeks)/29,0)+1,G320+SlipWeeks))</f>
        <v>14</v>
      </c>
      <c r="J320" s="22">
        <f>MIN(61,IF(G320+H320-1&lt;=29,MAX(ROUND((G320+H320-1)*(29+SlipWeeks)/29,0),I320),G320+H320-1+SlipWeeks))</f>
        <v>23</v>
      </c>
      <c r="K320" s="23" t="str">
        <f t="shared" ref="K320:T325" si="328">IF(AND(K$4&gt;=$I320,K$4&lt;=$J320),1,"")</f>
        <v/>
      </c>
      <c r="L320" s="23" t="str">
        <f t="shared" si="328"/>
        <v/>
      </c>
      <c r="M320" s="23" t="str">
        <f t="shared" si="328"/>
        <v/>
      </c>
      <c r="N320" s="23" t="str">
        <f t="shared" si="328"/>
        <v/>
      </c>
      <c r="O320" s="23" t="str">
        <f t="shared" si="328"/>
        <v/>
      </c>
      <c r="P320" s="23" t="str">
        <f t="shared" si="328"/>
        <v/>
      </c>
      <c r="Q320" s="23" t="str">
        <f t="shared" si="328"/>
        <v/>
      </c>
      <c r="R320" s="23" t="str">
        <f t="shared" si="328"/>
        <v/>
      </c>
      <c r="S320" s="23" t="str">
        <f t="shared" si="328"/>
        <v/>
      </c>
      <c r="T320" s="23" t="str">
        <f t="shared" si="328"/>
        <v/>
      </c>
      <c r="U320" s="23" t="str">
        <f t="shared" ref="U320:AD325" si="329">IF(AND(U$4&gt;=$I320,U$4&lt;=$J320),1,"")</f>
        <v/>
      </c>
      <c r="V320" s="23" t="str">
        <f t="shared" si="329"/>
        <v/>
      </c>
      <c r="W320" s="23" t="str">
        <f t="shared" si="329"/>
        <v/>
      </c>
      <c r="X320" s="23">
        <f t="shared" si="329"/>
        <v>1</v>
      </c>
      <c r="Y320" s="23">
        <f t="shared" si="329"/>
        <v>1</v>
      </c>
      <c r="Z320" s="23">
        <f t="shared" si="329"/>
        <v>1</v>
      </c>
      <c r="AA320" s="23">
        <f t="shared" si="329"/>
        <v>1</v>
      </c>
      <c r="AB320" s="23">
        <f t="shared" si="329"/>
        <v>1</v>
      </c>
      <c r="AC320" s="23">
        <f t="shared" si="329"/>
        <v>1</v>
      </c>
      <c r="AD320" s="23">
        <f t="shared" si="329"/>
        <v>1</v>
      </c>
      <c r="AE320" s="23">
        <f t="shared" ref="AE320:AN325" si="330">IF(AND(AE$4&gt;=$I320,AE$4&lt;=$J320),1,"")</f>
        <v>1</v>
      </c>
      <c r="AF320" s="23">
        <f t="shared" si="330"/>
        <v>1</v>
      </c>
      <c r="AG320" s="23">
        <f t="shared" si="330"/>
        <v>1</v>
      </c>
      <c r="AH320" s="23" t="str">
        <f t="shared" si="330"/>
        <v/>
      </c>
      <c r="AI320" s="23" t="str">
        <f t="shared" si="330"/>
        <v/>
      </c>
      <c r="AJ320" s="23" t="str">
        <f t="shared" si="330"/>
        <v/>
      </c>
      <c r="AK320" s="23" t="str">
        <f t="shared" si="330"/>
        <v/>
      </c>
      <c r="AL320" s="23" t="str">
        <f t="shared" si="330"/>
        <v/>
      </c>
      <c r="AM320" s="23" t="str">
        <f t="shared" si="330"/>
        <v/>
      </c>
      <c r="AN320" s="23" t="str">
        <f t="shared" si="330"/>
        <v/>
      </c>
      <c r="AO320" s="23" t="str">
        <f t="shared" ref="AO320:AX325" si="331">IF(AND(AO$4&gt;=$I320,AO$4&lt;=$J320),1,"")</f>
        <v/>
      </c>
      <c r="AP320" s="23" t="str">
        <f t="shared" si="331"/>
        <v/>
      </c>
      <c r="AQ320" s="23" t="str">
        <f t="shared" si="331"/>
        <v/>
      </c>
      <c r="AR320" s="23" t="str">
        <f t="shared" si="331"/>
        <v/>
      </c>
      <c r="AS320" s="23" t="str">
        <f t="shared" si="331"/>
        <v/>
      </c>
      <c r="AT320" s="23" t="str">
        <f t="shared" si="331"/>
        <v/>
      </c>
      <c r="AU320" s="23" t="str">
        <f t="shared" si="331"/>
        <v/>
      </c>
      <c r="AV320" s="23" t="str">
        <f t="shared" si="331"/>
        <v/>
      </c>
      <c r="AW320" s="23" t="str">
        <f t="shared" si="331"/>
        <v/>
      </c>
      <c r="AX320" s="23" t="str">
        <f t="shared" si="331"/>
        <v/>
      </c>
      <c r="AY320" s="23" t="str">
        <f t="shared" ref="AY320:BH325" si="332">IF(AND(AY$4&gt;=$I320,AY$4&lt;=$J320),1,"")</f>
        <v/>
      </c>
      <c r="AZ320" s="23" t="str">
        <f t="shared" si="332"/>
        <v/>
      </c>
      <c r="BA320" s="23" t="str">
        <f t="shared" si="332"/>
        <v/>
      </c>
      <c r="BB320" s="23" t="str">
        <f t="shared" si="332"/>
        <v/>
      </c>
      <c r="BC320" s="23" t="str">
        <f t="shared" si="332"/>
        <v/>
      </c>
      <c r="BD320" s="23" t="str">
        <f t="shared" si="332"/>
        <v/>
      </c>
      <c r="BE320" s="23" t="str">
        <f t="shared" si="332"/>
        <v/>
      </c>
      <c r="BF320" s="23" t="str">
        <f t="shared" si="332"/>
        <v/>
      </c>
      <c r="BG320" s="23" t="str">
        <f t="shared" si="332"/>
        <v/>
      </c>
      <c r="BH320" s="23" t="str">
        <f t="shared" si="332"/>
        <v/>
      </c>
      <c r="BI320" s="23" t="str">
        <f t="shared" ref="BI320:BS325" si="333">IF(AND(BI$4&gt;=$I320,BI$4&lt;=$J320),1,"")</f>
        <v/>
      </c>
      <c r="BJ320" s="23" t="str">
        <f t="shared" si="333"/>
        <v/>
      </c>
      <c r="BK320" s="23" t="str">
        <f t="shared" si="333"/>
        <v/>
      </c>
      <c r="BL320" s="23" t="str">
        <f t="shared" si="333"/>
        <v/>
      </c>
      <c r="BM320" s="23" t="str">
        <f t="shared" si="333"/>
        <v/>
      </c>
      <c r="BN320" s="23" t="str">
        <f t="shared" si="333"/>
        <v/>
      </c>
      <c r="BO320" s="23" t="str">
        <f t="shared" si="333"/>
        <v/>
      </c>
      <c r="BP320" s="23" t="str">
        <f t="shared" si="333"/>
        <v/>
      </c>
      <c r="BQ320" s="23" t="str">
        <f t="shared" si="333"/>
        <v/>
      </c>
      <c r="BR320" s="23" t="str">
        <f t="shared" si="333"/>
        <v/>
      </c>
      <c r="BS320" s="23" t="str">
        <f t="shared" si="333"/>
        <v/>
      </c>
      <c r="BT320" s="24" t="str">
        <f>IF(IF(G320+H320-1&lt;=29,MAX(ROUND((G320+H320-1)*(29+SlipWeeks)/29,0),$I320),G320+H320-1+SlipWeeks)&gt;61,"▶ clipped","")</f>
        <v/>
      </c>
      <c r="BU320" s="29" t="s">
        <v>887</v>
      </c>
    </row>
    <row r="321" spans="1:73" ht="34" outlineLevel="1" x14ac:dyDescent="0.2">
      <c r="A321" s="6" t="s">
        <v>888</v>
      </c>
      <c r="B321" s="25" t="s">
        <v>889</v>
      </c>
      <c r="C321" s="6" t="s">
        <v>55</v>
      </c>
      <c r="D321" s="24" t="s">
        <v>128</v>
      </c>
      <c r="F321" s="6"/>
      <c r="G321" s="22">
        <v>14</v>
      </c>
      <c r="H321" s="22">
        <v>2</v>
      </c>
      <c r="I321" s="22">
        <f>MEDIAN($I$320,$J$320,$I$320+ROUND((G321-$G$320)/$H$320*($J$320-$I$320+1),0))</f>
        <v>14</v>
      </c>
      <c r="J321" s="22">
        <f>MEDIAN(I321,$J$320,$I$320+ROUND((G321+H321-$G$320)/$H$320*($J$320-$I$320+1),0)-1)</f>
        <v>15</v>
      </c>
      <c r="K321" s="23" t="str">
        <f t="shared" si="328"/>
        <v/>
      </c>
      <c r="L321" s="23" t="str">
        <f t="shared" si="328"/>
        <v/>
      </c>
      <c r="M321" s="23" t="str">
        <f t="shared" si="328"/>
        <v/>
      </c>
      <c r="N321" s="23" t="str">
        <f t="shared" si="328"/>
        <v/>
      </c>
      <c r="O321" s="23" t="str">
        <f t="shared" si="328"/>
        <v/>
      </c>
      <c r="P321" s="23" t="str">
        <f t="shared" si="328"/>
        <v/>
      </c>
      <c r="Q321" s="23" t="str">
        <f t="shared" si="328"/>
        <v/>
      </c>
      <c r="R321" s="23" t="str">
        <f t="shared" si="328"/>
        <v/>
      </c>
      <c r="S321" s="23" t="str">
        <f t="shared" si="328"/>
        <v/>
      </c>
      <c r="T321" s="23" t="str">
        <f t="shared" si="328"/>
        <v/>
      </c>
      <c r="U321" s="23" t="str">
        <f t="shared" si="329"/>
        <v/>
      </c>
      <c r="V321" s="23" t="str">
        <f t="shared" si="329"/>
        <v/>
      </c>
      <c r="W321" s="23" t="str">
        <f t="shared" si="329"/>
        <v/>
      </c>
      <c r="X321" s="23">
        <f t="shared" si="329"/>
        <v>1</v>
      </c>
      <c r="Y321" s="23">
        <f t="shared" si="329"/>
        <v>1</v>
      </c>
      <c r="Z321" s="23" t="str">
        <f t="shared" si="329"/>
        <v/>
      </c>
      <c r="AA321" s="23" t="str">
        <f t="shared" si="329"/>
        <v/>
      </c>
      <c r="AB321" s="23" t="str">
        <f t="shared" si="329"/>
        <v/>
      </c>
      <c r="AC321" s="23" t="str">
        <f t="shared" si="329"/>
        <v/>
      </c>
      <c r="AD321" s="23" t="str">
        <f t="shared" si="329"/>
        <v/>
      </c>
      <c r="AE321" s="23" t="str">
        <f t="shared" si="330"/>
        <v/>
      </c>
      <c r="AF321" s="23" t="str">
        <f t="shared" si="330"/>
        <v/>
      </c>
      <c r="AG321" s="23" t="str">
        <f t="shared" si="330"/>
        <v/>
      </c>
      <c r="AH321" s="23" t="str">
        <f t="shared" si="330"/>
        <v/>
      </c>
      <c r="AI321" s="23" t="str">
        <f t="shared" si="330"/>
        <v/>
      </c>
      <c r="AJ321" s="23" t="str">
        <f t="shared" si="330"/>
        <v/>
      </c>
      <c r="AK321" s="23" t="str">
        <f t="shared" si="330"/>
        <v/>
      </c>
      <c r="AL321" s="23" t="str">
        <f t="shared" si="330"/>
        <v/>
      </c>
      <c r="AM321" s="23" t="str">
        <f t="shared" si="330"/>
        <v/>
      </c>
      <c r="AN321" s="23" t="str">
        <f t="shared" si="330"/>
        <v/>
      </c>
      <c r="AO321" s="23" t="str">
        <f t="shared" si="331"/>
        <v/>
      </c>
      <c r="AP321" s="23" t="str">
        <f t="shared" si="331"/>
        <v/>
      </c>
      <c r="AQ321" s="23" t="str">
        <f t="shared" si="331"/>
        <v/>
      </c>
      <c r="AR321" s="23" t="str">
        <f t="shared" si="331"/>
        <v/>
      </c>
      <c r="AS321" s="23" t="str">
        <f t="shared" si="331"/>
        <v/>
      </c>
      <c r="AT321" s="23" t="str">
        <f t="shared" si="331"/>
        <v/>
      </c>
      <c r="AU321" s="23" t="str">
        <f t="shared" si="331"/>
        <v/>
      </c>
      <c r="AV321" s="23" t="str">
        <f t="shared" si="331"/>
        <v/>
      </c>
      <c r="AW321" s="23" t="str">
        <f t="shared" si="331"/>
        <v/>
      </c>
      <c r="AX321" s="23" t="str">
        <f t="shared" si="331"/>
        <v/>
      </c>
      <c r="AY321" s="23" t="str">
        <f t="shared" si="332"/>
        <v/>
      </c>
      <c r="AZ321" s="23" t="str">
        <f t="shared" si="332"/>
        <v/>
      </c>
      <c r="BA321" s="23" t="str">
        <f t="shared" si="332"/>
        <v/>
      </c>
      <c r="BB321" s="23" t="str">
        <f t="shared" si="332"/>
        <v/>
      </c>
      <c r="BC321" s="23" t="str">
        <f t="shared" si="332"/>
        <v/>
      </c>
      <c r="BD321" s="23" t="str">
        <f t="shared" si="332"/>
        <v/>
      </c>
      <c r="BE321" s="23" t="str">
        <f t="shared" si="332"/>
        <v/>
      </c>
      <c r="BF321" s="23" t="str">
        <f t="shared" si="332"/>
        <v/>
      </c>
      <c r="BG321" s="23" t="str">
        <f t="shared" si="332"/>
        <v/>
      </c>
      <c r="BH321" s="23" t="str">
        <f t="shared" si="332"/>
        <v/>
      </c>
      <c r="BI321" s="23" t="str">
        <f t="shared" si="333"/>
        <v/>
      </c>
      <c r="BJ321" s="23" t="str">
        <f t="shared" si="333"/>
        <v/>
      </c>
      <c r="BK321" s="23" t="str">
        <f t="shared" si="333"/>
        <v/>
      </c>
      <c r="BL321" s="23" t="str">
        <f t="shared" si="333"/>
        <v/>
      </c>
      <c r="BM321" s="23" t="str">
        <f t="shared" si="333"/>
        <v/>
      </c>
      <c r="BN321" s="23" t="str">
        <f t="shared" si="333"/>
        <v/>
      </c>
      <c r="BO321" s="23" t="str">
        <f t="shared" si="333"/>
        <v/>
      </c>
      <c r="BP321" s="23" t="str">
        <f t="shared" si="333"/>
        <v/>
      </c>
      <c r="BQ321" s="23" t="str">
        <f t="shared" si="333"/>
        <v/>
      </c>
      <c r="BR321" s="23" t="str">
        <f t="shared" si="333"/>
        <v/>
      </c>
      <c r="BS321" s="23" t="str">
        <f t="shared" si="333"/>
        <v/>
      </c>
      <c r="BU321" s="29" t="s">
        <v>818</v>
      </c>
    </row>
    <row r="322" spans="1:73" ht="17" outlineLevel="1" x14ac:dyDescent="0.2">
      <c r="A322" s="6" t="s">
        <v>890</v>
      </c>
      <c r="B322" s="25" t="s">
        <v>891</v>
      </c>
      <c r="C322" s="6" t="s">
        <v>55</v>
      </c>
      <c r="D322" s="24" t="s">
        <v>128</v>
      </c>
      <c r="F322" s="6"/>
      <c r="G322" s="22">
        <v>16</v>
      </c>
      <c r="H322" s="22">
        <v>2</v>
      </c>
      <c r="I322" s="22">
        <f>MEDIAN($I$320,$J$320,$I$320+ROUND((G322-$G$320)/$H$320*($J$320-$I$320+1),0))</f>
        <v>16</v>
      </c>
      <c r="J322" s="22">
        <f>MEDIAN(I322,$J$320,$I$320+ROUND((G322+H322-$G$320)/$H$320*($J$320-$I$320+1),0)-1)</f>
        <v>17</v>
      </c>
      <c r="K322" s="23" t="str">
        <f t="shared" si="328"/>
        <v/>
      </c>
      <c r="L322" s="23" t="str">
        <f t="shared" si="328"/>
        <v/>
      </c>
      <c r="M322" s="23" t="str">
        <f t="shared" si="328"/>
        <v/>
      </c>
      <c r="N322" s="23" t="str">
        <f t="shared" si="328"/>
        <v/>
      </c>
      <c r="O322" s="23" t="str">
        <f t="shared" si="328"/>
        <v/>
      </c>
      <c r="P322" s="23" t="str">
        <f t="shared" si="328"/>
        <v/>
      </c>
      <c r="Q322" s="23" t="str">
        <f t="shared" si="328"/>
        <v/>
      </c>
      <c r="R322" s="23" t="str">
        <f t="shared" si="328"/>
        <v/>
      </c>
      <c r="S322" s="23" t="str">
        <f t="shared" si="328"/>
        <v/>
      </c>
      <c r="T322" s="23" t="str">
        <f t="shared" si="328"/>
        <v/>
      </c>
      <c r="U322" s="23" t="str">
        <f t="shared" si="329"/>
        <v/>
      </c>
      <c r="V322" s="23" t="str">
        <f t="shared" si="329"/>
        <v/>
      </c>
      <c r="W322" s="23" t="str">
        <f t="shared" si="329"/>
        <v/>
      </c>
      <c r="X322" s="23" t="str">
        <f t="shared" si="329"/>
        <v/>
      </c>
      <c r="Y322" s="23" t="str">
        <f t="shared" si="329"/>
        <v/>
      </c>
      <c r="Z322" s="23">
        <f t="shared" si="329"/>
        <v>1</v>
      </c>
      <c r="AA322" s="23">
        <f t="shared" si="329"/>
        <v>1</v>
      </c>
      <c r="AB322" s="23" t="str">
        <f t="shared" si="329"/>
        <v/>
      </c>
      <c r="AC322" s="23" t="str">
        <f t="shared" si="329"/>
        <v/>
      </c>
      <c r="AD322" s="23" t="str">
        <f t="shared" si="329"/>
        <v/>
      </c>
      <c r="AE322" s="23" t="str">
        <f t="shared" si="330"/>
        <v/>
      </c>
      <c r="AF322" s="23" t="str">
        <f t="shared" si="330"/>
        <v/>
      </c>
      <c r="AG322" s="23" t="str">
        <f t="shared" si="330"/>
        <v/>
      </c>
      <c r="AH322" s="23" t="str">
        <f t="shared" si="330"/>
        <v/>
      </c>
      <c r="AI322" s="23" t="str">
        <f t="shared" si="330"/>
        <v/>
      </c>
      <c r="AJ322" s="23" t="str">
        <f t="shared" si="330"/>
        <v/>
      </c>
      <c r="AK322" s="23" t="str">
        <f t="shared" si="330"/>
        <v/>
      </c>
      <c r="AL322" s="23" t="str">
        <f t="shared" si="330"/>
        <v/>
      </c>
      <c r="AM322" s="23" t="str">
        <f t="shared" si="330"/>
        <v/>
      </c>
      <c r="AN322" s="23" t="str">
        <f t="shared" si="330"/>
        <v/>
      </c>
      <c r="AO322" s="23" t="str">
        <f t="shared" si="331"/>
        <v/>
      </c>
      <c r="AP322" s="23" t="str">
        <f t="shared" si="331"/>
        <v/>
      </c>
      <c r="AQ322" s="23" t="str">
        <f t="shared" si="331"/>
        <v/>
      </c>
      <c r="AR322" s="23" t="str">
        <f t="shared" si="331"/>
        <v/>
      </c>
      <c r="AS322" s="23" t="str">
        <f t="shared" si="331"/>
        <v/>
      </c>
      <c r="AT322" s="23" t="str">
        <f t="shared" si="331"/>
        <v/>
      </c>
      <c r="AU322" s="23" t="str">
        <f t="shared" si="331"/>
        <v/>
      </c>
      <c r="AV322" s="23" t="str">
        <f t="shared" si="331"/>
        <v/>
      </c>
      <c r="AW322" s="23" t="str">
        <f t="shared" si="331"/>
        <v/>
      </c>
      <c r="AX322" s="23" t="str">
        <f t="shared" si="331"/>
        <v/>
      </c>
      <c r="AY322" s="23" t="str">
        <f t="shared" si="332"/>
        <v/>
      </c>
      <c r="AZ322" s="23" t="str">
        <f t="shared" si="332"/>
        <v/>
      </c>
      <c r="BA322" s="23" t="str">
        <f t="shared" si="332"/>
        <v/>
      </c>
      <c r="BB322" s="23" t="str">
        <f t="shared" si="332"/>
        <v/>
      </c>
      <c r="BC322" s="23" t="str">
        <f t="shared" si="332"/>
        <v/>
      </c>
      <c r="BD322" s="23" t="str">
        <f t="shared" si="332"/>
        <v/>
      </c>
      <c r="BE322" s="23" t="str">
        <f t="shared" si="332"/>
        <v/>
      </c>
      <c r="BF322" s="23" t="str">
        <f t="shared" si="332"/>
        <v/>
      </c>
      <c r="BG322" s="23" t="str">
        <f t="shared" si="332"/>
        <v/>
      </c>
      <c r="BH322" s="23" t="str">
        <f t="shared" si="332"/>
        <v/>
      </c>
      <c r="BI322" s="23" t="str">
        <f t="shared" si="333"/>
        <v/>
      </c>
      <c r="BJ322" s="23" t="str">
        <f t="shared" si="333"/>
        <v/>
      </c>
      <c r="BK322" s="23" t="str">
        <f t="shared" si="333"/>
        <v/>
      </c>
      <c r="BL322" s="23" t="str">
        <f t="shared" si="333"/>
        <v/>
      </c>
      <c r="BM322" s="23" t="str">
        <f t="shared" si="333"/>
        <v/>
      </c>
      <c r="BN322" s="23" t="str">
        <f t="shared" si="333"/>
        <v/>
      </c>
      <c r="BO322" s="23" t="str">
        <f t="shared" si="333"/>
        <v/>
      </c>
      <c r="BP322" s="23" t="str">
        <f t="shared" si="333"/>
        <v/>
      </c>
      <c r="BQ322" s="23" t="str">
        <f t="shared" si="333"/>
        <v/>
      </c>
      <c r="BR322" s="23" t="str">
        <f t="shared" si="333"/>
        <v/>
      </c>
      <c r="BS322" s="23" t="str">
        <f t="shared" si="333"/>
        <v/>
      </c>
      <c r="BU322" s="29" t="s">
        <v>818</v>
      </c>
    </row>
    <row r="323" spans="1:73" ht="34" outlineLevel="1" x14ac:dyDescent="0.2">
      <c r="A323" s="6" t="s">
        <v>892</v>
      </c>
      <c r="B323" s="25" t="s">
        <v>893</v>
      </c>
      <c r="C323" s="6" t="s">
        <v>55</v>
      </c>
      <c r="D323" s="24" t="s">
        <v>128</v>
      </c>
      <c r="F323" s="6"/>
      <c r="G323" s="22">
        <v>18</v>
      </c>
      <c r="H323" s="22">
        <v>2</v>
      </c>
      <c r="I323" s="22">
        <f>MEDIAN($I$320,$J$320,$I$320+ROUND((G323-$G$320)/$H$320*($J$320-$I$320+1),0))</f>
        <v>18</v>
      </c>
      <c r="J323" s="22">
        <f>MEDIAN(I323,$J$320,$I$320+ROUND((G323+H323-$G$320)/$H$320*($J$320-$I$320+1),0)-1)</f>
        <v>19</v>
      </c>
      <c r="K323" s="23" t="str">
        <f t="shared" si="328"/>
        <v/>
      </c>
      <c r="L323" s="23" t="str">
        <f t="shared" si="328"/>
        <v/>
      </c>
      <c r="M323" s="23" t="str">
        <f t="shared" si="328"/>
        <v/>
      </c>
      <c r="N323" s="23" t="str">
        <f t="shared" si="328"/>
        <v/>
      </c>
      <c r="O323" s="23" t="str">
        <f t="shared" si="328"/>
        <v/>
      </c>
      <c r="P323" s="23" t="str">
        <f t="shared" si="328"/>
        <v/>
      </c>
      <c r="Q323" s="23" t="str">
        <f t="shared" si="328"/>
        <v/>
      </c>
      <c r="R323" s="23" t="str">
        <f t="shared" si="328"/>
        <v/>
      </c>
      <c r="S323" s="23" t="str">
        <f t="shared" si="328"/>
        <v/>
      </c>
      <c r="T323" s="23" t="str">
        <f t="shared" si="328"/>
        <v/>
      </c>
      <c r="U323" s="23" t="str">
        <f t="shared" si="329"/>
        <v/>
      </c>
      <c r="V323" s="23" t="str">
        <f t="shared" si="329"/>
        <v/>
      </c>
      <c r="W323" s="23" t="str">
        <f t="shared" si="329"/>
        <v/>
      </c>
      <c r="X323" s="23" t="str">
        <f t="shared" si="329"/>
        <v/>
      </c>
      <c r="Y323" s="23" t="str">
        <f t="shared" si="329"/>
        <v/>
      </c>
      <c r="Z323" s="23" t="str">
        <f t="shared" si="329"/>
        <v/>
      </c>
      <c r="AA323" s="23" t="str">
        <f t="shared" si="329"/>
        <v/>
      </c>
      <c r="AB323" s="23">
        <f t="shared" si="329"/>
        <v>1</v>
      </c>
      <c r="AC323" s="23">
        <f t="shared" si="329"/>
        <v>1</v>
      </c>
      <c r="AD323" s="23" t="str">
        <f t="shared" si="329"/>
        <v/>
      </c>
      <c r="AE323" s="23" t="str">
        <f t="shared" si="330"/>
        <v/>
      </c>
      <c r="AF323" s="23" t="str">
        <f t="shared" si="330"/>
        <v/>
      </c>
      <c r="AG323" s="23" t="str">
        <f t="shared" si="330"/>
        <v/>
      </c>
      <c r="AH323" s="23" t="str">
        <f t="shared" si="330"/>
        <v/>
      </c>
      <c r="AI323" s="23" t="str">
        <f t="shared" si="330"/>
        <v/>
      </c>
      <c r="AJ323" s="23" t="str">
        <f t="shared" si="330"/>
        <v/>
      </c>
      <c r="AK323" s="23" t="str">
        <f t="shared" si="330"/>
        <v/>
      </c>
      <c r="AL323" s="23" t="str">
        <f t="shared" si="330"/>
        <v/>
      </c>
      <c r="AM323" s="23" t="str">
        <f t="shared" si="330"/>
        <v/>
      </c>
      <c r="AN323" s="23" t="str">
        <f t="shared" si="330"/>
        <v/>
      </c>
      <c r="AO323" s="23" t="str">
        <f t="shared" si="331"/>
        <v/>
      </c>
      <c r="AP323" s="23" t="str">
        <f t="shared" si="331"/>
        <v/>
      </c>
      <c r="AQ323" s="23" t="str">
        <f t="shared" si="331"/>
        <v/>
      </c>
      <c r="AR323" s="23" t="str">
        <f t="shared" si="331"/>
        <v/>
      </c>
      <c r="AS323" s="23" t="str">
        <f t="shared" si="331"/>
        <v/>
      </c>
      <c r="AT323" s="23" t="str">
        <f t="shared" si="331"/>
        <v/>
      </c>
      <c r="AU323" s="23" t="str">
        <f t="shared" si="331"/>
        <v/>
      </c>
      <c r="AV323" s="23" t="str">
        <f t="shared" si="331"/>
        <v/>
      </c>
      <c r="AW323" s="23" t="str">
        <f t="shared" si="331"/>
        <v/>
      </c>
      <c r="AX323" s="23" t="str">
        <f t="shared" si="331"/>
        <v/>
      </c>
      <c r="AY323" s="23" t="str">
        <f t="shared" si="332"/>
        <v/>
      </c>
      <c r="AZ323" s="23" t="str">
        <f t="shared" si="332"/>
        <v/>
      </c>
      <c r="BA323" s="23" t="str">
        <f t="shared" si="332"/>
        <v/>
      </c>
      <c r="BB323" s="23" t="str">
        <f t="shared" si="332"/>
        <v/>
      </c>
      <c r="BC323" s="23" t="str">
        <f t="shared" si="332"/>
        <v/>
      </c>
      <c r="BD323" s="23" t="str">
        <f t="shared" si="332"/>
        <v/>
      </c>
      <c r="BE323" s="23" t="str">
        <f t="shared" si="332"/>
        <v/>
      </c>
      <c r="BF323" s="23" t="str">
        <f t="shared" si="332"/>
        <v/>
      </c>
      <c r="BG323" s="23" t="str">
        <f t="shared" si="332"/>
        <v/>
      </c>
      <c r="BH323" s="23" t="str">
        <f t="shared" si="332"/>
        <v/>
      </c>
      <c r="BI323" s="23" t="str">
        <f t="shared" si="333"/>
        <v/>
      </c>
      <c r="BJ323" s="23" t="str">
        <f t="shared" si="333"/>
        <v/>
      </c>
      <c r="BK323" s="23" t="str">
        <f t="shared" si="333"/>
        <v/>
      </c>
      <c r="BL323" s="23" t="str">
        <f t="shared" si="333"/>
        <v/>
      </c>
      <c r="BM323" s="23" t="str">
        <f t="shared" si="333"/>
        <v/>
      </c>
      <c r="BN323" s="23" t="str">
        <f t="shared" si="333"/>
        <v/>
      </c>
      <c r="BO323" s="23" t="str">
        <f t="shared" si="333"/>
        <v/>
      </c>
      <c r="BP323" s="23" t="str">
        <f t="shared" si="333"/>
        <v/>
      </c>
      <c r="BQ323" s="23" t="str">
        <f t="shared" si="333"/>
        <v/>
      </c>
      <c r="BR323" s="23" t="str">
        <f t="shared" si="333"/>
        <v/>
      </c>
      <c r="BS323" s="23" t="str">
        <f t="shared" si="333"/>
        <v/>
      </c>
      <c r="BU323" s="29" t="s">
        <v>818</v>
      </c>
    </row>
    <row r="324" spans="1:73" ht="34" outlineLevel="1" x14ac:dyDescent="0.2">
      <c r="A324" s="6" t="s">
        <v>894</v>
      </c>
      <c r="B324" s="25" t="s">
        <v>895</v>
      </c>
      <c r="C324" s="6" t="s">
        <v>55</v>
      </c>
      <c r="D324" s="24" t="s">
        <v>128</v>
      </c>
      <c r="F324" s="6"/>
      <c r="G324" s="22">
        <v>20</v>
      </c>
      <c r="H324" s="22">
        <v>2</v>
      </c>
      <c r="I324" s="22">
        <f>MEDIAN($I$320,$J$320,$I$320+ROUND((G324-$G$320)/$H$320*($J$320-$I$320+1),0))</f>
        <v>20</v>
      </c>
      <c r="J324" s="22">
        <f>MEDIAN(I324,$J$320,$I$320+ROUND((G324+H324-$G$320)/$H$320*($J$320-$I$320+1),0)-1)</f>
        <v>21</v>
      </c>
      <c r="K324" s="23" t="str">
        <f t="shared" si="328"/>
        <v/>
      </c>
      <c r="L324" s="23" t="str">
        <f t="shared" si="328"/>
        <v/>
      </c>
      <c r="M324" s="23" t="str">
        <f t="shared" si="328"/>
        <v/>
      </c>
      <c r="N324" s="23" t="str">
        <f t="shared" si="328"/>
        <v/>
      </c>
      <c r="O324" s="23" t="str">
        <f t="shared" si="328"/>
        <v/>
      </c>
      <c r="P324" s="23" t="str">
        <f t="shared" si="328"/>
        <v/>
      </c>
      <c r="Q324" s="23" t="str">
        <f t="shared" si="328"/>
        <v/>
      </c>
      <c r="R324" s="23" t="str">
        <f t="shared" si="328"/>
        <v/>
      </c>
      <c r="S324" s="23" t="str">
        <f t="shared" si="328"/>
        <v/>
      </c>
      <c r="T324" s="23" t="str">
        <f t="shared" si="328"/>
        <v/>
      </c>
      <c r="U324" s="23" t="str">
        <f t="shared" si="329"/>
        <v/>
      </c>
      <c r="V324" s="23" t="str">
        <f t="shared" si="329"/>
        <v/>
      </c>
      <c r="W324" s="23" t="str">
        <f t="shared" si="329"/>
        <v/>
      </c>
      <c r="X324" s="23" t="str">
        <f t="shared" si="329"/>
        <v/>
      </c>
      <c r="Y324" s="23" t="str">
        <f t="shared" si="329"/>
        <v/>
      </c>
      <c r="Z324" s="23" t="str">
        <f t="shared" si="329"/>
        <v/>
      </c>
      <c r="AA324" s="23" t="str">
        <f t="shared" si="329"/>
        <v/>
      </c>
      <c r="AB324" s="23" t="str">
        <f t="shared" si="329"/>
        <v/>
      </c>
      <c r="AC324" s="23" t="str">
        <f t="shared" si="329"/>
        <v/>
      </c>
      <c r="AD324" s="23">
        <f t="shared" si="329"/>
        <v>1</v>
      </c>
      <c r="AE324" s="23">
        <f t="shared" si="330"/>
        <v>1</v>
      </c>
      <c r="AF324" s="23" t="str">
        <f t="shared" si="330"/>
        <v/>
      </c>
      <c r="AG324" s="23" t="str">
        <f t="shared" si="330"/>
        <v/>
      </c>
      <c r="AH324" s="23" t="str">
        <f t="shared" si="330"/>
        <v/>
      </c>
      <c r="AI324" s="23" t="str">
        <f t="shared" si="330"/>
        <v/>
      </c>
      <c r="AJ324" s="23" t="str">
        <f t="shared" si="330"/>
        <v/>
      </c>
      <c r="AK324" s="23" t="str">
        <f t="shared" si="330"/>
        <v/>
      </c>
      <c r="AL324" s="23" t="str">
        <f t="shared" si="330"/>
        <v/>
      </c>
      <c r="AM324" s="23" t="str">
        <f t="shared" si="330"/>
        <v/>
      </c>
      <c r="AN324" s="23" t="str">
        <f t="shared" si="330"/>
        <v/>
      </c>
      <c r="AO324" s="23" t="str">
        <f t="shared" si="331"/>
        <v/>
      </c>
      <c r="AP324" s="23" t="str">
        <f t="shared" si="331"/>
        <v/>
      </c>
      <c r="AQ324" s="23" t="str">
        <f t="shared" si="331"/>
        <v/>
      </c>
      <c r="AR324" s="23" t="str">
        <f t="shared" si="331"/>
        <v/>
      </c>
      <c r="AS324" s="23" t="str">
        <f t="shared" si="331"/>
        <v/>
      </c>
      <c r="AT324" s="23" t="str">
        <f t="shared" si="331"/>
        <v/>
      </c>
      <c r="AU324" s="23" t="str">
        <f t="shared" si="331"/>
        <v/>
      </c>
      <c r="AV324" s="23" t="str">
        <f t="shared" si="331"/>
        <v/>
      </c>
      <c r="AW324" s="23" t="str">
        <f t="shared" si="331"/>
        <v/>
      </c>
      <c r="AX324" s="23" t="str">
        <f t="shared" si="331"/>
        <v/>
      </c>
      <c r="AY324" s="23" t="str">
        <f t="shared" si="332"/>
        <v/>
      </c>
      <c r="AZ324" s="23" t="str">
        <f t="shared" si="332"/>
        <v/>
      </c>
      <c r="BA324" s="23" t="str">
        <f t="shared" si="332"/>
        <v/>
      </c>
      <c r="BB324" s="23" t="str">
        <f t="shared" si="332"/>
        <v/>
      </c>
      <c r="BC324" s="23" t="str">
        <f t="shared" si="332"/>
        <v/>
      </c>
      <c r="BD324" s="23" t="str">
        <f t="shared" si="332"/>
        <v/>
      </c>
      <c r="BE324" s="23" t="str">
        <f t="shared" si="332"/>
        <v/>
      </c>
      <c r="BF324" s="23" t="str">
        <f t="shared" si="332"/>
        <v/>
      </c>
      <c r="BG324" s="23" t="str">
        <f t="shared" si="332"/>
        <v/>
      </c>
      <c r="BH324" s="23" t="str">
        <f t="shared" si="332"/>
        <v/>
      </c>
      <c r="BI324" s="23" t="str">
        <f t="shared" si="333"/>
        <v/>
      </c>
      <c r="BJ324" s="23" t="str">
        <f t="shared" si="333"/>
        <v/>
      </c>
      <c r="BK324" s="23" t="str">
        <f t="shared" si="333"/>
        <v/>
      </c>
      <c r="BL324" s="23" t="str">
        <f t="shared" si="333"/>
        <v/>
      </c>
      <c r="BM324" s="23" t="str">
        <f t="shared" si="333"/>
        <v/>
      </c>
      <c r="BN324" s="23" t="str">
        <f t="shared" si="333"/>
        <v/>
      </c>
      <c r="BO324" s="23" t="str">
        <f t="shared" si="333"/>
        <v/>
      </c>
      <c r="BP324" s="23" t="str">
        <f t="shared" si="333"/>
        <v/>
      </c>
      <c r="BQ324" s="23" t="str">
        <f t="shared" si="333"/>
        <v/>
      </c>
      <c r="BR324" s="23" t="str">
        <f t="shared" si="333"/>
        <v/>
      </c>
      <c r="BS324" s="23" t="str">
        <f t="shared" si="333"/>
        <v/>
      </c>
      <c r="BU324" s="29" t="s">
        <v>818</v>
      </c>
    </row>
    <row r="325" spans="1:73" ht="34" outlineLevel="1" x14ac:dyDescent="0.2">
      <c r="A325" s="6" t="s">
        <v>896</v>
      </c>
      <c r="B325" s="25" t="s">
        <v>897</v>
      </c>
      <c r="C325" s="6" t="s">
        <v>55</v>
      </c>
      <c r="D325" s="24" t="s">
        <v>128</v>
      </c>
      <c r="F325" s="6"/>
      <c r="G325" s="22">
        <v>22</v>
      </c>
      <c r="H325" s="22">
        <v>2</v>
      </c>
      <c r="I325" s="22">
        <f>MEDIAN($I$320,$J$320,$I$320+ROUND((G325-$G$320)/$H$320*($J$320-$I$320+1),0))</f>
        <v>22</v>
      </c>
      <c r="J325" s="22">
        <f>MEDIAN(I325,$J$320,$I$320+ROUND((G325+H325-$G$320)/$H$320*($J$320-$I$320+1),0)-1)</f>
        <v>23</v>
      </c>
      <c r="K325" s="23" t="str">
        <f t="shared" si="328"/>
        <v/>
      </c>
      <c r="L325" s="23" t="str">
        <f t="shared" si="328"/>
        <v/>
      </c>
      <c r="M325" s="23" t="str">
        <f t="shared" si="328"/>
        <v/>
      </c>
      <c r="N325" s="23" t="str">
        <f t="shared" si="328"/>
        <v/>
      </c>
      <c r="O325" s="23" t="str">
        <f t="shared" si="328"/>
        <v/>
      </c>
      <c r="P325" s="23" t="str">
        <f t="shared" si="328"/>
        <v/>
      </c>
      <c r="Q325" s="23" t="str">
        <f t="shared" si="328"/>
        <v/>
      </c>
      <c r="R325" s="23" t="str">
        <f t="shared" si="328"/>
        <v/>
      </c>
      <c r="S325" s="23" t="str">
        <f t="shared" si="328"/>
        <v/>
      </c>
      <c r="T325" s="23" t="str">
        <f t="shared" si="328"/>
        <v/>
      </c>
      <c r="U325" s="23" t="str">
        <f t="shared" si="329"/>
        <v/>
      </c>
      <c r="V325" s="23" t="str">
        <f t="shared" si="329"/>
        <v/>
      </c>
      <c r="W325" s="23" t="str">
        <f t="shared" si="329"/>
        <v/>
      </c>
      <c r="X325" s="23" t="str">
        <f t="shared" si="329"/>
        <v/>
      </c>
      <c r="Y325" s="23" t="str">
        <f t="shared" si="329"/>
        <v/>
      </c>
      <c r="Z325" s="23" t="str">
        <f t="shared" si="329"/>
        <v/>
      </c>
      <c r="AA325" s="23" t="str">
        <f t="shared" si="329"/>
        <v/>
      </c>
      <c r="AB325" s="23" t="str">
        <f t="shared" si="329"/>
        <v/>
      </c>
      <c r="AC325" s="23" t="str">
        <f t="shared" si="329"/>
        <v/>
      </c>
      <c r="AD325" s="23" t="str">
        <f t="shared" si="329"/>
        <v/>
      </c>
      <c r="AE325" s="23" t="str">
        <f t="shared" si="330"/>
        <v/>
      </c>
      <c r="AF325" s="23">
        <f t="shared" si="330"/>
        <v>1</v>
      </c>
      <c r="AG325" s="23">
        <f t="shared" si="330"/>
        <v>1</v>
      </c>
      <c r="AH325" s="23" t="str">
        <f t="shared" si="330"/>
        <v/>
      </c>
      <c r="AI325" s="23" t="str">
        <f t="shared" si="330"/>
        <v/>
      </c>
      <c r="AJ325" s="23" t="str">
        <f t="shared" si="330"/>
        <v/>
      </c>
      <c r="AK325" s="23" t="str">
        <f t="shared" si="330"/>
        <v/>
      </c>
      <c r="AL325" s="23" t="str">
        <f t="shared" si="330"/>
        <v/>
      </c>
      <c r="AM325" s="23" t="str">
        <f t="shared" si="330"/>
        <v/>
      </c>
      <c r="AN325" s="23" t="str">
        <f t="shared" si="330"/>
        <v/>
      </c>
      <c r="AO325" s="23" t="str">
        <f t="shared" si="331"/>
        <v/>
      </c>
      <c r="AP325" s="23" t="str">
        <f t="shared" si="331"/>
        <v/>
      </c>
      <c r="AQ325" s="23" t="str">
        <f t="shared" si="331"/>
        <v/>
      </c>
      <c r="AR325" s="23" t="str">
        <f t="shared" si="331"/>
        <v/>
      </c>
      <c r="AS325" s="23" t="str">
        <f t="shared" si="331"/>
        <v/>
      </c>
      <c r="AT325" s="23" t="str">
        <f t="shared" si="331"/>
        <v/>
      </c>
      <c r="AU325" s="23" t="str">
        <f t="shared" si="331"/>
        <v/>
      </c>
      <c r="AV325" s="23" t="str">
        <f t="shared" si="331"/>
        <v/>
      </c>
      <c r="AW325" s="23" t="str">
        <f t="shared" si="331"/>
        <v/>
      </c>
      <c r="AX325" s="23" t="str">
        <f t="shared" si="331"/>
        <v/>
      </c>
      <c r="AY325" s="23" t="str">
        <f t="shared" si="332"/>
        <v/>
      </c>
      <c r="AZ325" s="23" t="str">
        <f t="shared" si="332"/>
        <v/>
      </c>
      <c r="BA325" s="23" t="str">
        <f t="shared" si="332"/>
        <v/>
      </c>
      <c r="BB325" s="23" t="str">
        <f t="shared" si="332"/>
        <v/>
      </c>
      <c r="BC325" s="23" t="str">
        <f t="shared" si="332"/>
        <v/>
      </c>
      <c r="BD325" s="23" t="str">
        <f t="shared" si="332"/>
        <v/>
      </c>
      <c r="BE325" s="23" t="str">
        <f t="shared" si="332"/>
        <v/>
      </c>
      <c r="BF325" s="23" t="str">
        <f t="shared" si="332"/>
        <v/>
      </c>
      <c r="BG325" s="23" t="str">
        <f t="shared" si="332"/>
        <v/>
      </c>
      <c r="BH325" s="23" t="str">
        <f t="shared" si="332"/>
        <v/>
      </c>
      <c r="BI325" s="23" t="str">
        <f t="shared" si="333"/>
        <v/>
      </c>
      <c r="BJ325" s="23" t="str">
        <f t="shared" si="333"/>
        <v/>
      </c>
      <c r="BK325" s="23" t="str">
        <f t="shared" si="333"/>
        <v/>
      </c>
      <c r="BL325" s="23" t="str">
        <f t="shared" si="333"/>
        <v/>
      </c>
      <c r="BM325" s="23" t="str">
        <f t="shared" si="333"/>
        <v/>
      </c>
      <c r="BN325" s="23" t="str">
        <f t="shared" si="333"/>
        <v/>
      </c>
      <c r="BO325" s="23" t="str">
        <f t="shared" si="333"/>
        <v/>
      </c>
      <c r="BP325" s="23" t="str">
        <f t="shared" si="333"/>
        <v/>
      </c>
      <c r="BQ325" s="23" t="str">
        <f t="shared" si="333"/>
        <v/>
      </c>
      <c r="BR325" s="23" t="str">
        <f t="shared" si="333"/>
        <v/>
      </c>
      <c r="BS325" s="23" t="str">
        <f t="shared" si="333"/>
        <v/>
      </c>
      <c r="BU325" s="29" t="s">
        <v>818</v>
      </c>
    </row>
    <row r="326" spans="1:73" x14ac:dyDescent="0.2">
      <c r="BU326" s="30"/>
    </row>
    <row r="327" spans="1:73" ht="17" x14ac:dyDescent="0.2">
      <c r="A327" s="19" t="s">
        <v>898</v>
      </c>
      <c r="B327" s="20" t="s">
        <v>899</v>
      </c>
      <c r="C327" s="19" t="s">
        <v>55</v>
      </c>
      <c r="D327" s="21" t="s">
        <v>128</v>
      </c>
      <c r="E327" s="19" t="s">
        <v>73</v>
      </c>
      <c r="F327" s="19" t="s">
        <v>850</v>
      </c>
      <c r="G327" s="22">
        <v>15</v>
      </c>
      <c r="H327" s="22">
        <v>10</v>
      </c>
      <c r="I327" s="22">
        <f>MIN(61,IF(G327&lt;=29,ROUND((G327-1)*(29+SlipWeeks)/29,0)+1,G327+SlipWeeks))</f>
        <v>15</v>
      </c>
      <c r="J327" s="22">
        <f>MIN(61,IF(G327+H327-1&lt;=29,MAX(ROUND((G327+H327-1)*(29+SlipWeeks)/29,0),I327),G327+H327-1+SlipWeeks))</f>
        <v>24</v>
      </c>
      <c r="K327" s="23" t="str">
        <f t="shared" ref="K327:T332" si="334">IF(AND(K$4&gt;=$I327,K$4&lt;=$J327),1,"")</f>
        <v/>
      </c>
      <c r="L327" s="23" t="str">
        <f t="shared" si="334"/>
        <v/>
      </c>
      <c r="M327" s="23" t="str">
        <f t="shared" si="334"/>
        <v/>
      </c>
      <c r="N327" s="23" t="str">
        <f t="shared" si="334"/>
        <v/>
      </c>
      <c r="O327" s="23" t="str">
        <f t="shared" si="334"/>
        <v/>
      </c>
      <c r="P327" s="23" t="str">
        <f t="shared" si="334"/>
        <v/>
      </c>
      <c r="Q327" s="23" t="str">
        <f t="shared" si="334"/>
        <v/>
      </c>
      <c r="R327" s="23" t="str">
        <f t="shared" si="334"/>
        <v/>
      </c>
      <c r="S327" s="23" t="str">
        <f t="shared" si="334"/>
        <v/>
      </c>
      <c r="T327" s="23" t="str">
        <f t="shared" si="334"/>
        <v/>
      </c>
      <c r="U327" s="23" t="str">
        <f t="shared" ref="U327:AD332" si="335">IF(AND(U$4&gt;=$I327,U$4&lt;=$J327),1,"")</f>
        <v/>
      </c>
      <c r="V327" s="23" t="str">
        <f t="shared" si="335"/>
        <v/>
      </c>
      <c r="W327" s="23" t="str">
        <f t="shared" si="335"/>
        <v/>
      </c>
      <c r="X327" s="23" t="str">
        <f t="shared" si="335"/>
        <v/>
      </c>
      <c r="Y327" s="23">
        <f t="shared" si="335"/>
        <v>1</v>
      </c>
      <c r="Z327" s="23">
        <f t="shared" si="335"/>
        <v>1</v>
      </c>
      <c r="AA327" s="23">
        <f t="shared" si="335"/>
        <v>1</v>
      </c>
      <c r="AB327" s="23">
        <f t="shared" si="335"/>
        <v>1</v>
      </c>
      <c r="AC327" s="23">
        <f t="shared" si="335"/>
        <v>1</v>
      </c>
      <c r="AD327" s="23">
        <f t="shared" si="335"/>
        <v>1</v>
      </c>
      <c r="AE327" s="23">
        <f t="shared" ref="AE327:AN332" si="336">IF(AND(AE$4&gt;=$I327,AE$4&lt;=$J327),1,"")</f>
        <v>1</v>
      </c>
      <c r="AF327" s="23">
        <f t="shared" si="336"/>
        <v>1</v>
      </c>
      <c r="AG327" s="23">
        <f t="shared" si="336"/>
        <v>1</v>
      </c>
      <c r="AH327" s="23">
        <f t="shared" si="336"/>
        <v>1</v>
      </c>
      <c r="AI327" s="23" t="str">
        <f t="shared" si="336"/>
        <v/>
      </c>
      <c r="AJ327" s="23" t="str">
        <f t="shared" si="336"/>
        <v/>
      </c>
      <c r="AK327" s="23" t="str">
        <f t="shared" si="336"/>
        <v/>
      </c>
      <c r="AL327" s="23" t="str">
        <f t="shared" si="336"/>
        <v/>
      </c>
      <c r="AM327" s="23" t="str">
        <f t="shared" si="336"/>
        <v/>
      </c>
      <c r="AN327" s="23" t="str">
        <f t="shared" si="336"/>
        <v/>
      </c>
      <c r="AO327" s="23" t="str">
        <f t="shared" ref="AO327:AX332" si="337">IF(AND(AO$4&gt;=$I327,AO$4&lt;=$J327),1,"")</f>
        <v/>
      </c>
      <c r="AP327" s="23" t="str">
        <f t="shared" si="337"/>
        <v/>
      </c>
      <c r="AQ327" s="23" t="str">
        <f t="shared" si="337"/>
        <v/>
      </c>
      <c r="AR327" s="23" t="str">
        <f t="shared" si="337"/>
        <v/>
      </c>
      <c r="AS327" s="23" t="str">
        <f t="shared" si="337"/>
        <v/>
      </c>
      <c r="AT327" s="23" t="str">
        <f t="shared" si="337"/>
        <v/>
      </c>
      <c r="AU327" s="23" t="str">
        <f t="shared" si="337"/>
        <v/>
      </c>
      <c r="AV327" s="23" t="str">
        <f t="shared" si="337"/>
        <v/>
      </c>
      <c r="AW327" s="23" t="str">
        <f t="shared" si="337"/>
        <v/>
      </c>
      <c r="AX327" s="23" t="str">
        <f t="shared" si="337"/>
        <v/>
      </c>
      <c r="AY327" s="23" t="str">
        <f t="shared" ref="AY327:BH332" si="338">IF(AND(AY$4&gt;=$I327,AY$4&lt;=$J327),1,"")</f>
        <v/>
      </c>
      <c r="AZ327" s="23" t="str">
        <f t="shared" si="338"/>
        <v/>
      </c>
      <c r="BA327" s="23" t="str">
        <f t="shared" si="338"/>
        <v/>
      </c>
      <c r="BB327" s="23" t="str">
        <f t="shared" si="338"/>
        <v/>
      </c>
      <c r="BC327" s="23" t="str">
        <f t="shared" si="338"/>
        <v/>
      </c>
      <c r="BD327" s="23" t="str">
        <f t="shared" si="338"/>
        <v/>
      </c>
      <c r="BE327" s="23" t="str">
        <f t="shared" si="338"/>
        <v/>
      </c>
      <c r="BF327" s="23" t="str">
        <f t="shared" si="338"/>
        <v/>
      </c>
      <c r="BG327" s="23" t="str">
        <f t="shared" si="338"/>
        <v/>
      </c>
      <c r="BH327" s="23" t="str">
        <f t="shared" si="338"/>
        <v/>
      </c>
      <c r="BI327" s="23" t="str">
        <f t="shared" ref="BI327:BS332" si="339">IF(AND(BI$4&gt;=$I327,BI$4&lt;=$J327),1,"")</f>
        <v/>
      </c>
      <c r="BJ327" s="23" t="str">
        <f t="shared" si="339"/>
        <v/>
      </c>
      <c r="BK327" s="23" t="str">
        <f t="shared" si="339"/>
        <v/>
      </c>
      <c r="BL327" s="23" t="str">
        <f t="shared" si="339"/>
        <v/>
      </c>
      <c r="BM327" s="23" t="str">
        <f t="shared" si="339"/>
        <v/>
      </c>
      <c r="BN327" s="23" t="str">
        <f t="shared" si="339"/>
        <v/>
      </c>
      <c r="BO327" s="23" t="str">
        <f t="shared" si="339"/>
        <v/>
      </c>
      <c r="BP327" s="23" t="str">
        <f t="shared" si="339"/>
        <v/>
      </c>
      <c r="BQ327" s="23" t="str">
        <f t="shared" si="339"/>
        <v/>
      </c>
      <c r="BR327" s="23" t="str">
        <f t="shared" si="339"/>
        <v/>
      </c>
      <c r="BS327" s="23" t="str">
        <f t="shared" si="339"/>
        <v/>
      </c>
      <c r="BT327" s="24" t="str">
        <f>IF(IF(G327+H327-1&lt;=29,MAX(ROUND((G327+H327-1)*(29+SlipWeeks)/29,0),$I327),G327+H327-1+SlipWeeks)&gt;61,"▶ clipped","")</f>
        <v/>
      </c>
      <c r="BU327" s="29" t="s">
        <v>900</v>
      </c>
    </row>
    <row r="328" spans="1:73" ht="17" outlineLevel="1" x14ac:dyDescent="0.2">
      <c r="A328" s="6" t="s">
        <v>901</v>
      </c>
      <c r="B328" s="25" t="s">
        <v>902</v>
      </c>
      <c r="C328" s="6" t="s">
        <v>55</v>
      </c>
      <c r="D328" s="24" t="s">
        <v>128</v>
      </c>
      <c r="F328" s="6"/>
      <c r="G328" s="22">
        <v>15</v>
      </c>
      <c r="H328" s="22">
        <v>2</v>
      </c>
      <c r="I328" s="22">
        <f>MEDIAN($I$327,$J$327,$I$327+ROUND((G328-$G$327)/$H$327*($J$327-$I$327+1),0))</f>
        <v>15</v>
      </c>
      <c r="J328" s="22">
        <f>MEDIAN(I328,$J$327,$I$327+ROUND((G328+H328-$G$327)/$H$327*($J$327-$I$327+1),0)-1)</f>
        <v>16</v>
      </c>
      <c r="K328" s="23" t="str">
        <f t="shared" si="334"/>
        <v/>
      </c>
      <c r="L328" s="23" t="str">
        <f t="shared" si="334"/>
        <v/>
      </c>
      <c r="M328" s="23" t="str">
        <f t="shared" si="334"/>
        <v/>
      </c>
      <c r="N328" s="23" t="str">
        <f t="shared" si="334"/>
        <v/>
      </c>
      <c r="O328" s="23" t="str">
        <f t="shared" si="334"/>
        <v/>
      </c>
      <c r="P328" s="23" t="str">
        <f t="shared" si="334"/>
        <v/>
      </c>
      <c r="Q328" s="23" t="str">
        <f t="shared" si="334"/>
        <v/>
      </c>
      <c r="R328" s="23" t="str">
        <f t="shared" si="334"/>
        <v/>
      </c>
      <c r="S328" s="23" t="str">
        <f t="shared" si="334"/>
        <v/>
      </c>
      <c r="T328" s="23" t="str">
        <f t="shared" si="334"/>
        <v/>
      </c>
      <c r="U328" s="23" t="str">
        <f t="shared" si="335"/>
        <v/>
      </c>
      <c r="V328" s="23" t="str">
        <f t="shared" si="335"/>
        <v/>
      </c>
      <c r="W328" s="23" t="str">
        <f t="shared" si="335"/>
        <v/>
      </c>
      <c r="X328" s="23" t="str">
        <f t="shared" si="335"/>
        <v/>
      </c>
      <c r="Y328" s="23">
        <f t="shared" si="335"/>
        <v>1</v>
      </c>
      <c r="Z328" s="23">
        <f t="shared" si="335"/>
        <v>1</v>
      </c>
      <c r="AA328" s="23" t="str">
        <f t="shared" si="335"/>
        <v/>
      </c>
      <c r="AB328" s="23" t="str">
        <f t="shared" si="335"/>
        <v/>
      </c>
      <c r="AC328" s="23" t="str">
        <f t="shared" si="335"/>
        <v/>
      </c>
      <c r="AD328" s="23" t="str">
        <f t="shared" si="335"/>
        <v/>
      </c>
      <c r="AE328" s="23" t="str">
        <f t="shared" si="336"/>
        <v/>
      </c>
      <c r="AF328" s="23" t="str">
        <f t="shared" si="336"/>
        <v/>
      </c>
      <c r="AG328" s="23" t="str">
        <f t="shared" si="336"/>
        <v/>
      </c>
      <c r="AH328" s="23" t="str">
        <f t="shared" si="336"/>
        <v/>
      </c>
      <c r="AI328" s="23" t="str">
        <f t="shared" si="336"/>
        <v/>
      </c>
      <c r="AJ328" s="23" t="str">
        <f t="shared" si="336"/>
        <v/>
      </c>
      <c r="AK328" s="23" t="str">
        <f t="shared" si="336"/>
        <v/>
      </c>
      <c r="AL328" s="23" t="str">
        <f t="shared" si="336"/>
        <v/>
      </c>
      <c r="AM328" s="23" t="str">
        <f t="shared" si="336"/>
        <v/>
      </c>
      <c r="AN328" s="23" t="str">
        <f t="shared" si="336"/>
        <v/>
      </c>
      <c r="AO328" s="23" t="str">
        <f t="shared" si="337"/>
        <v/>
      </c>
      <c r="AP328" s="23" t="str">
        <f t="shared" si="337"/>
        <v/>
      </c>
      <c r="AQ328" s="23" t="str">
        <f t="shared" si="337"/>
        <v/>
      </c>
      <c r="AR328" s="23" t="str">
        <f t="shared" si="337"/>
        <v/>
      </c>
      <c r="AS328" s="23" t="str">
        <f t="shared" si="337"/>
        <v/>
      </c>
      <c r="AT328" s="23" t="str">
        <f t="shared" si="337"/>
        <v/>
      </c>
      <c r="AU328" s="23" t="str">
        <f t="shared" si="337"/>
        <v/>
      </c>
      <c r="AV328" s="23" t="str">
        <f t="shared" si="337"/>
        <v/>
      </c>
      <c r="AW328" s="23" t="str">
        <f t="shared" si="337"/>
        <v/>
      </c>
      <c r="AX328" s="23" t="str">
        <f t="shared" si="337"/>
        <v/>
      </c>
      <c r="AY328" s="23" t="str">
        <f t="shared" si="338"/>
        <v/>
      </c>
      <c r="AZ328" s="23" t="str">
        <f t="shared" si="338"/>
        <v/>
      </c>
      <c r="BA328" s="23" t="str">
        <f t="shared" si="338"/>
        <v/>
      </c>
      <c r="BB328" s="23" t="str">
        <f t="shared" si="338"/>
        <v/>
      </c>
      <c r="BC328" s="23" t="str">
        <f t="shared" si="338"/>
        <v/>
      </c>
      <c r="BD328" s="23" t="str">
        <f t="shared" si="338"/>
        <v/>
      </c>
      <c r="BE328" s="23" t="str">
        <f t="shared" si="338"/>
        <v/>
      </c>
      <c r="BF328" s="23" t="str">
        <f t="shared" si="338"/>
        <v/>
      </c>
      <c r="BG328" s="23" t="str">
        <f t="shared" si="338"/>
        <v/>
      </c>
      <c r="BH328" s="23" t="str">
        <f t="shared" si="338"/>
        <v/>
      </c>
      <c r="BI328" s="23" t="str">
        <f t="shared" si="339"/>
        <v/>
      </c>
      <c r="BJ328" s="23" t="str">
        <f t="shared" si="339"/>
        <v/>
      </c>
      <c r="BK328" s="23" t="str">
        <f t="shared" si="339"/>
        <v/>
      </c>
      <c r="BL328" s="23" t="str">
        <f t="shared" si="339"/>
        <v/>
      </c>
      <c r="BM328" s="23" t="str">
        <f t="shared" si="339"/>
        <v/>
      </c>
      <c r="BN328" s="23" t="str">
        <f t="shared" si="339"/>
        <v/>
      </c>
      <c r="BO328" s="23" t="str">
        <f t="shared" si="339"/>
        <v/>
      </c>
      <c r="BP328" s="23" t="str">
        <f t="shared" si="339"/>
        <v/>
      </c>
      <c r="BQ328" s="23" t="str">
        <f t="shared" si="339"/>
        <v/>
      </c>
      <c r="BR328" s="23" t="str">
        <f t="shared" si="339"/>
        <v/>
      </c>
      <c r="BS328" s="23" t="str">
        <f t="shared" si="339"/>
        <v/>
      </c>
      <c r="BU328" s="29" t="s">
        <v>818</v>
      </c>
    </row>
    <row r="329" spans="1:73" ht="17" outlineLevel="1" x14ac:dyDescent="0.2">
      <c r="A329" s="6" t="s">
        <v>903</v>
      </c>
      <c r="B329" s="25" t="s">
        <v>904</v>
      </c>
      <c r="C329" s="6" t="s">
        <v>55</v>
      </c>
      <c r="D329" s="24" t="s">
        <v>128</v>
      </c>
      <c r="F329" s="6"/>
      <c r="G329" s="22">
        <v>17</v>
      </c>
      <c r="H329" s="22">
        <v>2</v>
      </c>
      <c r="I329" s="22">
        <f>MEDIAN($I$327,$J$327,$I$327+ROUND((G329-$G$327)/$H$327*($J$327-$I$327+1),0))</f>
        <v>17</v>
      </c>
      <c r="J329" s="22">
        <f>MEDIAN(I329,$J$327,$I$327+ROUND((G329+H329-$G$327)/$H$327*($J$327-$I$327+1),0)-1)</f>
        <v>18</v>
      </c>
      <c r="K329" s="23" t="str">
        <f t="shared" si="334"/>
        <v/>
      </c>
      <c r="L329" s="23" t="str">
        <f t="shared" si="334"/>
        <v/>
      </c>
      <c r="M329" s="23" t="str">
        <f t="shared" si="334"/>
        <v/>
      </c>
      <c r="N329" s="23" t="str">
        <f t="shared" si="334"/>
        <v/>
      </c>
      <c r="O329" s="23" t="str">
        <f t="shared" si="334"/>
        <v/>
      </c>
      <c r="P329" s="23" t="str">
        <f t="shared" si="334"/>
        <v/>
      </c>
      <c r="Q329" s="23" t="str">
        <f t="shared" si="334"/>
        <v/>
      </c>
      <c r="R329" s="23" t="str">
        <f t="shared" si="334"/>
        <v/>
      </c>
      <c r="S329" s="23" t="str">
        <f t="shared" si="334"/>
        <v/>
      </c>
      <c r="T329" s="23" t="str">
        <f t="shared" si="334"/>
        <v/>
      </c>
      <c r="U329" s="23" t="str">
        <f t="shared" si="335"/>
        <v/>
      </c>
      <c r="V329" s="23" t="str">
        <f t="shared" si="335"/>
        <v/>
      </c>
      <c r="W329" s="23" t="str">
        <f t="shared" si="335"/>
        <v/>
      </c>
      <c r="X329" s="23" t="str">
        <f t="shared" si="335"/>
        <v/>
      </c>
      <c r="Y329" s="23" t="str">
        <f t="shared" si="335"/>
        <v/>
      </c>
      <c r="Z329" s="23" t="str">
        <f t="shared" si="335"/>
        <v/>
      </c>
      <c r="AA329" s="23">
        <f t="shared" si="335"/>
        <v>1</v>
      </c>
      <c r="AB329" s="23">
        <f t="shared" si="335"/>
        <v>1</v>
      </c>
      <c r="AC329" s="23" t="str">
        <f t="shared" si="335"/>
        <v/>
      </c>
      <c r="AD329" s="23" t="str">
        <f t="shared" si="335"/>
        <v/>
      </c>
      <c r="AE329" s="23" t="str">
        <f t="shared" si="336"/>
        <v/>
      </c>
      <c r="AF329" s="23" t="str">
        <f t="shared" si="336"/>
        <v/>
      </c>
      <c r="AG329" s="23" t="str">
        <f t="shared" si="336"/>
        <v/>
      </c>
      <c r="AH329" s="23" t="str">
        <f t="shared" si="336"/>
        <v/>
      </c>
      <c r="AI329" s="23" t="str">
        <f t="shared" si="336"/>
        <v/>
      </c>
      <c r="AJ329" s="23" t="str">
        <f t="shared" si="336"/>
        <v/>
      </c>
      <c r="AK329" s="23" t="str">
        <f t="shared" si="336"/>
        <v/>
      </c>
      <c r="AL329" s="23" t="str">
        <f t="shared" si="336"/>
        <v/>
      </c>
      <c r="AM329" s="23" t="str">
        <f t="shared" si="336"/>
        <v/>
      </c>
      <c r="AN329" s="23" t="str">
        <f t="shared" si="336"/>
        <v/>
      </c>
      <c r="AO329" s="23" t="str">
        <f t="shared" si="337"/>
        <v/>
      </c>
      <c r="AP329" s="23" t="str">
        <f t="shared" si="337"/>
        <v/>
      </c>
      <c r="AQ329" s="23" t="str">
        <f t="shared" si="337"/>
        <v/>
      </c>
      <c r="AR329" s="23" t="str">
        <f t="shared" si="337"/>
        <v/>
      </c>
      <c r="AS329" s="23" t="str">
        <f t="shared" si="337"/>
        <v/>
      </c>
      <c r="AT329" s="23" t="str">
        <f t="shared" si="337"/>
        <v/>
      </c>
      <c r="AU329" s="23" t="str">
        <f t="shared" si="337"/>
        <v/>
      </c>
      <c r="AV329" s="23" t="str">
        <f t="shared" si="337"/>
        <v/>
      </c>
      <c r="AW329" s="23" t="str">
        <f t="shared" si="337"/>
        <v/>
      </c>
      <c r="AX329" s="23" t="str">
        <f t="shared" si="337"/>
        <v/>
      </c>
      <c r="AY329" s="23" t="str">
        <f t="shared" si="338"/>
        <v/>
      </c>
      <c r="AZ329" s="23" t="str">
        <f t="shared" si="338"/>
        <v/>
      </c>
      <c r="BA329" s="23" t="str">
        <f t="shared" si="338"/>
        <v/>
      </c>
      <c r="BB329" s="23" t="str">
        <f t="shared" si="338"/>
        <v/>
      </c>
      <c r="BC329" s="23" t="str">
        <f t="shared" si="338"/>
        <v/>
      </c>
      <c r="BD329" s="23" t="str">
        <f t="shared" si="338"/>
        <v/>
      </c>
      <c r="BE329" s="23" t="str">
        <f t="shared" si="338"/>
        <v/>
      </c>
      <c r="BF329" s="23" t="str">
        <f t="shared" si="338"/>
        <v/>
      </c>
      <c r="BG329" s="23" t="str">
        <f t="shared" si="338"/>
        <v/>
      </c>
      <c r="BH329" s="23" t="str">
        <f t="shared" si="338"/>
        <v/>
      </c>
      <c r="BI329" s="23" t="str">
        <f t="shared" si="339"/>
        <v/>
      </c>
      <c r="BJ329" s="23" t="str">
        <f t="shared" si="339"/>
        <v/>
      </c>
      <c r="BK329" s="23" t="str">
        <f t="shared" si="339"/>
        <v/>
      </c>
      <c r="BL329" s="23" t="str">
        <f t="shared" si="339"/>
        <v/>
      </c>
      <c r="BM329" s="23" t="str">
        <f t="shared" si="339"/>
        <v/>
      </c>
      <c r="BN329" s="23" t="str">
        <f t="shared" si="339"/>
        <v/>
      </c>
      <c r="BO329" s="23" t="str">
        <f t="shared" si="339"/>
        <v/>
      </c>
      <c r="BP329" s="23" t="str">
        <f t="shared" si="339"/>
        <v/>
      </c>
      <c r="BQ329" s="23" t="str">
        <f t="shared" si="339"/>
        <v/>
      </c>
      <c r="BR329" s="23" t="str">
        <f t="shared" si="339"/>
        <v/>
      </c>
      <c r="BS329" s="23" t="str">
        <f t="shared" si="339"/>
        <v/>
      </c>
      <c r="BU329" s="29" t="s">
        <v>818</v>
      </c>
    </row>
    <row r="330" spans="1:73" ht="17" outlineLevel="1" x14ac:dyDescent="0.2">
      <c r="A330" s="6" t="s">
        <v>905</v>
      </c>
      <c r="B330" s="25" t="s">
        <v>906</v>
      </c>
      <c r="C330" s="6" t="s">
        <v>55</v>
      </c>
      <c r="D330" s="24" t="s">
        <v>128</v>
      </c>
      <c r="F330" s="6"/>
      <c r="G330" s="22">
        <v>19</v>
      </c>
      <c r="H330" s="22">
        <v>2</v>
      </c>
      <c r="I330" s="22">
        <f>MEDIAN($I$327,$J$327,$I$327+ROUND((G330-$G$327)/$H$327*($J$327-$I$327+1),0))</f>
        <v>19</v>
      </c>
      <c r="J330" s="22">
        <f>MEDIAN(I330,$J$327,$I$327+ROUND((G330+H330-$G$327)/$H$327*($J$327-$I$327+1),0)-1)</f>
        <v>20</v>
      </c>
      <c r="K330" s="23" t="str">
        <f t="shared" si="334"/>
        <v/>
      </c>
      <c r="L330" s="23" t="str">
        <f t="shared" si="334"/>
        <v/>
      </c>
      <c r="M330" s="23" t="str">
        <f t="shared" si="334"/>
        <v/>
      </c>
      <c r="N330" s="23" t="str">
        <f t="shared" si="334"/>
        <v/>
      </c>
      <c r="O330" s="23" t="str">
        <f t="shared" si="334"/>
        <v/>
      </c>
      <c r="P330" s="23" t="str">
        <f t="shared" si="334"/>
        <v/>
      </c>
      <c r="Q330" s="23" t="str">
        <f t="shared" si="334"/>
        <v/>
      </c>
      <c r="R330" s="23" t="str">
        <f t="shared" si="334"/>
        <v/>
      </c>
      <c r="S330" s="23" t="str">
        <f t="shared" si="334"/>
        <v/>
      </c>
      <c r="T330" s="23" t="str">
        <f t="shared" si="334"/>
        <v/>
      </c>
      <c r="U330" s="23" t="str">
        <f t="shared" si="335"/>
        <v/>
      </c>
      <c r="V330" s="23" t="str">
        <f t="shared" si="335"/>
        <v/>
      </c>
      <c r="W330" s="23" t="str">
        <f t="shared" si="335"/>
        <v/>
      </c>
      <c r="X330" s="23" t="str">
        <f t="shared" si="335"/>
        <v/>
      </c>
      <c r="Y330" s="23" t="str">
        <f t="shared" si="335"/>
        <v/>
      </c>
      <c r="Z330" s="23" t="str">
        <f t="shared" si="335"/>
        <v/>
      </c>
      <c r="AA330" s="23" t="str">
        <f t="shared" si="335"/>
        <v/>
      </c>
      <c r="AB330" s="23" t="str">
        <f t="shared" si="335"/>
        <v/>
      </c>
      <c r="AC330" s="23">
        <f t="shared" si="335"/>
        <v>1</v>
      </c>
      <c r="AD330" s="23">
        <f t="shared" si="335"/>
        <v>1</v>
      </c>
      <c r="AE330" s="23" t="str">
        <f t="shared" si="336"/>
        <v/>
      </c>
      <c r="AF330" s="23" t="str">
        <f t="shared" si="336"/>
        <v/>
      </c>
      <c r="AG330" s="23" t="str">
        <f t="shared" si="336"/>
        <v/>
      </c>
      <c r="AH330" s="23" t="str">
        <f t="shared" si="336"/>
        <v/>
      </c>
      <c r="AI330" s="23" t="str">
        <f t="shared" si="336"/>
        <v/>
      </c>
      <c r="AJ330" s="23" t="str">
        <f t="shared" si="336"/>
        <v/>
      </c>
      <c r="AK330" s="23" t="str">
        <f t="shared" si="336"/>
        <v/>
      </c>
      <c r="AL330" s="23" t="str">
        <f t="shared" si="336"/>
        <v/>
      </c>
      <c r="AM330" s="23" t="str">
        <f t="shared" si="336"/>
        <v/>
      </c>
      <c r="AN330" s="23" t="str">
        <f t="shared" si="336"/>
        <v/>
      </c>
      <c r="AO330" s="23" t="str">
        <f t="shared" si="337"/>
        <v/>
      </c>
      <c r="AP330" s="23" t="str">
        <f t="shared" si="337"/>
        <v/>
      </c>
      <c r="AQ330" s="23" t="str">
        <f t="shared" si="337"/>
        <v/>
      </c>
      <c r="AR330" s="23" t="str">
        <f t="shared" si="337"/>
        <v/>
      </c>
      <c r="AS330" s="23" t="str">
        <f t="shared" si="337"/>
        <v/>
      </c>
      <c r="AT330" s="23" t="str">
        <f t="shared" si="337"/>
        <v/>
      </c>
      <c r="AU330" s="23" t="str">
        <f t="shared" si="337"/>
        <v/>
      </c>
      <c r="AV330" s="23" t="str">
        <f t="shared" si="337"/>
        <v/>
      </c>
      <c r="AW330" s="23" t="str">
        <f t="shared" si="337"/>
        <v/>
      </c>
      <c r="AX330" s="23" t="str">
        <f t="shared" si="337"/>
        <v/>
      </c>
      <c r="AY330" s="23" t="str">
        <f t="shared" si="338"/>
        <v/>
      </c>
      <c r="AZ330" s="23" t="str">
        <f t="shared" si="338"/>
        <v/>
      </c>
      <c r="BA330" s="23" t="str">
        <f t="shared" si="338"/>
        <v/>
      </c>
      <c r="BB330" s="23" t="str">
        <f t="shared" si="338"/>
        <v/>
      </c>
      <c r="BC330" s="23" t="str">
        <f t="shared" si="338"/>
        <v/>
      </c>
      <c r="BD330" s="23" t="str">
        <f t="shared" si="338"/>
        <v/>
      </c>
      <c r="BE330" s="23" t="str">
        <f t="shared" si="338"/>
        <v/>
      </c>
      <c r="BF330" s="23" t="str">
        <f t="shared" si="338"/>
        <v/>
      </c>
      <c r="BG330" s="23" t="str">
        <f t="shared" si="338"/>
        <v/>
      </c>
      <c r="BH330" s="23" t="str">
        <f t="shared" si="338"/>
        <v/>
      </c>
      <c r="BI330" s="23" t="str">
        <f t="shared" si="339"/>
        <v/>
      </c>
      <c r="BJ330" s="23" t="str">
        <f t="shared" si="339"/>
        <v/>
      </c>
      <c r="BK330" s="23" t="str">
        <f t="shared" si="339"/>
        <v/>
      </c>
      <c r="BL330" s="23" t="str">
        <f t="shared" si="339"/>
        <v/>
      </c>
      <c r="BM330" s="23" t="str">
        <f t="shared" si="339"/>
        <v/>
      </c>
      <c r="BN330" s="23" t="str">
        <f t="shared" si="339"/>
        <v/>
      </c>
      <c r="BO330" s="23" t="str">
        <f t="shared" si="339"/>
        <v/>
      </c>
      <c r="BP330" s="23" t="str">
        <f t="shared" si="339"/>
        <v/>
      </c>
      <c r="BQ330" s="23" t="str">
        <f t="shared" si="339"/>
        <v/>
      </c>
      <c r="BR330" s="23" t="str">
        <f t="shared" si="339"/>
        <v/>
      </c>
      <c r="BS330" s="23" t="str">
        <f t="shared" si="339"/>
        <v/>
      </c>
      <c r="BU330" s="29" t="s">
        <v>818</v>
      </c>
    </row>
    <row r="331" spans="1:73" ht="34" outlineLevel="1" x14ac:dyDescent="0.2">
      <c r="A331" s="6" t="s">
        <v>907</v>
      </c>
      <c r="B331" s="25" t="s">
        <v>908</v>
      </c>
      <c r="C331" s="6" t="s">
        <v>55</v>
      </c>
      <c r="D331" s="24" t="s">
        <v>128</v>
      </c>
      <c r="F331" s="6"/>
      <c r="G331" s="22">
        <v>21</v>
      </c>
      <c r="H331" s="22">
        <v>2</v>
      </c>
      <c r="I331" s="22">
        <f>MEDIAN($I$327,$J$327,$I$327+ROUND((G331-$G$327)/$H$327*($J$327-$I$327+1),0))</f>
        <v>21</v>
      </c>
      <c r="J331" s="22">
        <f>MEDIAN(I331,$J$327,$I$327+ROUND((G331+H331-$G$327)/$H$327*($J$327-$I$327+1),0)-1)</f>
        <v>22</v>
      </c>
      <c r="K331" s="23" t="str">
        <f t="shared" si="334"/>
        <v/>
      </c>
      <c r="L331" s="23" t="str">
        <f t="shared" si="334"/>
        <v/>
      </c>
      <c r="M331" s="23" t="str">
        <f t="shared" si="334"/>
        <v/>
      </c>
      <c r="N331" s="23" t="str">
        <f t="shared" si="334"/>
        <v/>
      </c>
      <c r="O331" s="23" t="str">
        <f t="shared" si="334"/>
        <v/>
      </c>
      <c r="P331" s="23" t="str">
        <f t="shared" si="334"/>
        <v/>
      </c>
      <c r="Q331" s="23" t="str">
        <f t="shared" si="334"/>
        <v/>
      </c>
      <c r="R331" s="23" t="str">
        <f t="shared" si="334"/>
        <v/>
      </c>
      <c r="S331" s="23" t="str">
        <f t="shared" si="334"/>
        <v/>
      </c>
      <c r="T331" s="23" t="str">
        <f t="shared" si="334"/>
        <v/>
      </c>
      <c r="U331" s="23" t="str">
        <f t="shared" si="335"/>
        <v/>
      </c>
      <c r="V331" s="23" t="str">
        <f t="shared" si="335"/>
        <v/>
      </c>
      <c r="W331" s="23" t="str">
        <f t="shared" si="335"/>
        <v/>
      </c>
      <c r="X331" s="23" t="str">
        <f t="shared" si="335"/>
        <v/>
      </c>
      <c r="Y331" s="23" t="str">
        <f t="shared" si="335"/>
        <v/>
      </c>
      <c r="Z331" s="23" t="str">
        <f t="shared" si="335"/>
        <v/>
      </c>
      <c r="AA331" s="23" t="str">
        <f t="shared" si="335"/>
        <v/>
      </c>
      <c r="AB331" s="23" t="str">
        <f t="shared" si="335"/>
        <v/>
      </c>
      <c r="AC331" s="23" t="str">
        <f t="shared" si="335"/>
        <v/>
      </c>
      <c r="AD331" s="23" t="str">
        <f t="shared" si="335"/>
        <v/>
      </c>
      <c r="AE331" s="23">
        <f t="shared" si="336"/>
        <v>1</v>
      </c>
      <c r="AF331" s="23">
        <f t="shared" si="336"/>
        <v>1</v>
      </c>
      <c r="AG331" s="23" t="str">
        <f t="shared" si="336"/>
        <v/>
      </c>
      <c r="AH331" s="23" t="str">
        <f t="shared" si="336"/>
        <v/>
      </c>
      <c r="AI331" s="23" t="str">
        <f t="shared" si="336"/>
        <v/>
      </c>
      <c r="AJ331" s="23" t="str">
        <f t="shared" si="336"/>
        <v/>
      </c>
      <c r="AK331" s="23" t="str">
        <f t="shared" si="336"/>
        <v/>
      </c>
      <c r="AL331" s="23" t="str">
        <f t="shared" si="336"/>
        <v/>
      </c>
      <c r="AM331" s="23" t="str">
        <f t="shared" si="336"/>
        <v/>
      </c>
      <c r="AN331" s="23" t="str">
        <f t="shared" si="336"/>
        <v/>
      </c>
      <c r="AO331" s="23" t="str">
        <f t="shared" si="337"/>
        <v/>
      </c>
      <c r="AP331" s="23" t="str">
        <f t="shared" si="337"/>
        <v/>
      </c>
      <c r="AQ331" s="23" t="str">
        <f t="shared" si="337"/>
        <v/>
      </c>
      <c r="AR331" s="23" t="str">
        <f t="shared" si="337"/>
        <v/>
      </c>
      <c r="AS331" s="23" t="str">
        <f t="shared" si="337"/>
        <v/>
      </c>
      <c r="AT331" s="23" t="str">
        <f t="shared" si="337"/>
        <v/>
      </c>
      <c r="AU331" s="23" t="str">
        <f t="shared" si="337"/>
        <v/>
      </c>
      <c r="AV331" s="23" t="str">
        <f t="shared" si="337"/>
        <v/>
      </c>
      <c r="AW331" s="23" t="str">
        <f t="shared" si="337"/>
        <v/>
      </c>
      <c r="AX331" s="23" t="str">
        <f t="shared" si="337"/>
        <v/>
      </c>
      <c r="AY331" s="23" t="str">
        <f t="shared" si="338"/>
        <v/>
      </c>
      <c r="AZ331" s="23" t="str">
        <f t="shared" si="338"/>
        <v/>
      </c>
      <c r="BA331" s="23" t="str">
        <f t="shared" si="338"/>
        <v/>
      </c>
      <c r="BB331" s="23" t="str">
        <f t="shared" si="338"/>
        <v/>
      </c>
      <c r="BC331" s="23" t="str">
        <f t="shared" si="338"/>
        <v/>
      </c>
      <c r="BD331" s="23" t="str">
        <f t="shared" si="338"/>
        <v/>
      </c>
      <c r="BE331" s="23" t="str">
        <f t="shared" si="338"/>
        <v/>
      </c>
      <c r="BF331" s="23" t="str">
        <f t="shared" si="338"/>
        <v/>
      </c>
      <c r="BG331" s="23" t="str">
        <f t="shared" si="338"/>
        <v/>
      </c>
      <c r="BH331" s="23" t="str">
        <f t="shared" si="338"/>
        <v/>
      </c>
      <c r="BI331" s="23" t="str">
        <f t="shared" si="339"/>
        <v/>
      </c>
      <c r="BJ331" s="23" t="str">
        <f t="shared" si="339"/>
        <v/>
      </c>
      <c r="BK331" s="23" t="str">
        <f t="shared" si="339"/>
        <v/>
      </c>
      <c r="BL331" s="23" t="str">
        <f t="shared" si="339"/>
        <v/>
      </c>
      <c r="BM331" s="23" t="str">
        <f t="shared" si="339"/>
        <v/>
      </c>
      <c r="BN331" s="23" t="str">
        <f t="shared" si="339"/>
        <v/>
      </c>
      <c r="BO331" s="23" t="str">
        <f t="shared" si="339"/>
        <v/>
      </c>
      <c r="BP331" s="23" t="str">
        <f t="shared" si="339"/>
        <v/>
      </c>
      <c r="BQ331" s="23" t="str">
        <f t="shared" si="339"/>
        <v/>
      </c>
      <c r="BR331" s="23" t="str">
        <f t="shared" si="339"/>
        <v/>
      </c>
      <c r="BS331" s="23" t="str">
        <f t="shared" si="339"/>
        <v/>
      </c>
      <c r="BU331" s="29" t="s">
        <v>818</v>
      </c>
    </row>
    <row r="332" spans="1:73" ht="17" outlineLevel="1" x14ac:dyDescent="0.2">
      <c r="A332" s="6" t="s">
        <v>909</v>
      </c>
      <c r="B332" s="25" t="s">
        <v>910</v>
      </c>
      <c r="C332" s="6" t="s">
        <v>55</v>
      </c>
      <c r="D332" s="24" t="s">
        <v>128</v>
      </c>
      <c r="F332" s="6"/>
      <c r="G332" s="22">
        <v>23</v>
      </c>
      <c r="H332" s="22">
        <v>2</v>
      </c>
      <c r="I332" s="22">
        <f>MEDIAN($I$327,$J$327,$I$327+ROUND((G332-$G$327)/$H$327*($J$327-$I$327+1),0))</f>
        <v>23</v>
      </c>
      <c r="J332" s="22">
        <f>MEDIAN(I332,$J$327,$I$327+ROUND((G332+H332-$G$327)/$H$327*($J$327-$I$327+1),0)-1)</f>
        <v>24</v>
      </c>
      <c r="K332" s="23" t="str">
        <f t="shared" si="334"/>
        <v/>
      </c>
      <c r="L332" s="23" t="str">
        <f t="shared" si="334"/>
        <v/>
      </c>
      <c r="M332" s="23" t="str">
        <f t="shared" si="334"/>
        <v/>
      </c>
      <c r="N332" s="23" t="str">
        <f t="shared" si="334"/>
        <v/>
      </c>
      <c r="O332" s="23" t="str">
        <f t="shared" si="334"/>
        <v/>
      </c>
      <c r="P332" s="23" t="str">
        <f t="shared" si="334"/>
        <v/>
      </c>
      <c r="Q332" s="23" t="str">
        <f t="shared" si="334"/>
        <v/>
      </c>
      <c r="R332" s="23" t="str">
        <f t="shared" si="334"/>
        <v/>
      </c>
      <c r="S332" s="23" t="str">
        <f t="shared" si="334"/>
        <v/>
      </c>
      <c r="T332" s="23" t="str">
        <f t="shared" si="334"/>
        <v/>
      </c>
      <c r="U332" s="23" t="str">
        <f t="shared" si="335"/>
        <v/>
      </c>
      <c r="V332" s="23" t="str">
        <f t="shared" si="335"/>
        <v/>
      </c>
      <c r="W332" s="23" t="str">
        <f t="shared" si="335"/>
        <v/>
      </c>
      <c r="X332" s="23" t="str">
        <f t="shared" si="335"/>
        <v/>
      </c>
      <c r="Y332" s="23" t="str">
        <f t="shared" si="335"/>
        <v/>
      </c>
      <c r="Z332" s="23" t="str">
        <f t="shared" si="335"/>
        <v/>
      </c>
      <c r="AA332" s="23" t="str">
        <f t="shared" si="335"/>
        <v/>
      </c>
      <c r="AB332" s="23" t="str">
        <f t="shared" si="335"/>
        <v/>
      </c>
      <c r="AC332" s="23" t="str">
        <f t="shared" si="335"/>
        <v/>
      </c>
      <c r="AD332" s="23" t="str">
        <f t="shared" si="335"/>
        <v/>
      </c>
      <c r="AE332" s="23" t="str">
        <f t="shared" si="336"/>
        <v/>
      </c>
      <c r="AF332" s="23" t="str">
        <f t="shared" si="336"/>
        <v/>
      </c>
      <c r="AG332" s="23">
        <f t="shared" si="336"/>
        <v>1</v>
      </c>
      <c r="AH332" s="23">
        <f t="shared" si="336"/>
        <v>1</v>
      </c>
      <c r="AI332" s="23" t="str">
        <f t="shared" si="336"/>
        <v/>
      </c>
      <c r="AJ332" s="23" t="str">
        <f t="shared" si="336"/>
        <v/>
      </c>
      <c r="AK332" s="23" t="str">
        <f t="shared" si="336"/>
        <v/>
      </c>
      <c r="AL332" s="23" t="str">
        <f t="shared" si="336"/>
        <v/>
      </c>
      <c r="AM332" s="23" t="str">
        <f t="shared" si="336"/>
        <v/>
      </c>
      <c r="AN332" s="23" t="str">
        <f t="shared" si="336"/>
        <v/>
      </c>
      <c r="AO332" s="23" t="str">
        <f t="shared" si="337"/>
        <v/>
      </c>
      <c r="AP332" s="23" t="str">
        <f t="shared" si="337"/>
        <v/>
      </c>
      <c r="AQ332" s="23" t="str">
        <f t="shared" si="337"/>
        <v/>
      </c>
      <c r="AR332" s="23" t="str">
        <f t="shared" si="337"/>
        <v/>
      </c>
      <c r="AS332" s="23" t="str">
        <f t="shared" si="337"/>
        <v/>
      </c>
      <c r="AT332" s="23" t="str">
        <f t="shared" si="337"/>
        <v/>
      </c>
      <c r="AU332" s="23" t="str">
        <f t="shared" si="337"/>
        <v/>
      </c>
      <c r="AV332" s="23" t="str">
        <f t="shared" si="337"/>
        <v/>
      </c>
      <c r="AW332" s="23" t="str">
        <f t="shared" si="337"/>
        <v/>
      </c>
      <c r="AX332" s="23" t="str">
        <f t="shared" si="337"/>
        <v/>
      </c>
      <c r="AY332" s="23" t="str">
        <f t="shared" si="338"/>
        <v/>
      </c>
      <c r="AZ332" s="23" t="str">
        <f t="shared" si="338"/>
        <v/>
      </c>
      <c r="BA332" s="23" t="str">
        <f t="shared" si="338"/>
        <v/>
      </c>
      <c r="BB332" s="23" t="str">
        <f t="shared" si="338"/>
        <v/>
      </c>
      <c r="BC332" s="23" t="str">
        <f t="shared" si="338"/>
        <v/>
      </c>
      <c r="BD332" s="23" t="str">
        <f t="shared" si="338"/>
        <v/>
      </c>
      <c r="BE332" s="23" t="str">
        <f t="shared" si="338"/>
        <v/>
      </c>
      <c r="BF332" s="23" t="str">
        <f t="shared" si="338"/>
        <v/>
      </c>
      <c r="BG332" s="23" t="str">
        <f t="shared" si="338"/>
        <v/>
      </c>
      <c r="BH332" s="23" t="str">
        <f t="shared" si="338"/>
        <v/>
      </c>
      <c r="BI332" s="23" t="str">
        <f t="shared" si="339"/>
        <v/>
      </c>
      <c r="BJ332" s="23" t="str">
        <f t="shared" si="339"/>
        <v/>
      </c>
      <c r="BK332" s="23" t="str">
        <f t="shared" si="339"/>
        <v/>
      </c>
      <c r="BL332" s="23" t="str">
        <f t="shared" si="339"/>
        <v/>
      </c>
      <c r="BM332" s="23" t="str">
        <f t="shared" si="339"/>
        <v/>
      </c>
      <c r="BN332" s="23" t="str">
        <f t="shared" si="339"/>
        <v/>
      </c>
      <c r="BO332" s="23" t="str">
        <f t="shared" si="339"/>
        <v/>
      </c>
      <c r="BP332" s="23" t="str">
        <f t="shared" si="339"/>
        <v/>
      </c>
      <c r="BQ332" s="23" t="str">
        <f t="shared" si="339"/>
        <v/>
      </c>
      <c r="BR332" s="23" t="str">
        <f t="shared" si="339"/>
        <v/>
      </c>
      <c r="BS332" s="23" t="str">
        <f t="shared" si="339"/>
        <v/>
      </c>
      <c r="BU332" s="29" t="s">
        <v>818</v>
      </c>
    </row>
    <row r="333" spans="1:73" x14ac:dyDescent="0.2">
      <c r="BU333" s="30"/>
    </row>
    <row r="334" spans="1:73" ht="17" x14ac:dyDescent="0.2">
      <c r="A334" s="19" t="s">
        <v>911</v>
      </c>
      <c r="B334" s="20" t="s">
        <v>912</v>
      </c>
      <c r="C334" s="19" t="s">
        <v>55</v>
      </c>
      <c r="D334" s="21" t="s">
        <v>128</v>
      </c>
      <c r="E334" s="19" t="s">
        <v>73</v>
      </c>
      <c r="F334" s="19" t="s">
        <v>850</v>
      </c>
      <c r="G334" s="22">
        <v>16</v>
      </c>
      <c r="H334" s="22">
        <v>10</v>
      </c>
      <c r="I334" s="22">
        <f>MIN(61,IF(G334&lt;=29,ROUND((G334-1)*(29+SlipWeeks)/29,0)+1,G334+SlipWeeks))</f>
        <v>16</v>
      </c>
      <c r="J334" s="22">
        <f>MIN(61,IF(G334+H334-1&lt;=29,MAX(ROUND((G334+H334-1)*(29+SlipWeeks)/29,0),I334),G334+H334-1+SlipWeeks))</f>
        <v>25</v>
      </c>
      <c r="K334" s="23" t="str">
        <f t="shared" ref="K334:T339" si="340">IF(AND(K$4&gt;=$I334,K$4&lt;=$J334),1,"")</f>
        <v/>
      </c>
      <c r="L334" s="23" t="str">
        <f t="shared" si="340"/>
        <v/>
      </c>
      <c r="M334" s="23" t="str">
        <f t="shared" si="340"/>
        <v/>
      </c>
      <c r="N334" s="23" t="str">
        <f t="shared" si="340"/>
        <v/>
      </c>
      <c r="O334" s="23" t="str">
        <f t="shared" si="340"/>
        <v/>
      </c>
      <c r="P334" s="23" t="str">
        <f t="shared" si="340"/>
        <v/>
      </c>
      <c r="Q334" s="23" t="str">
        <f t="shared" si="340"/>
        <v/>
      </c>
      <c r="R334" s="23" t="str">
        <f t="shared" si="340"/>
        <v/>
      </c>
      <c r="S334" s="23" t="str">
        <f t="shared" si="340"/>
        <v/>
      </c>
      <c r="T334" s="23" t="str">
        <f t="shared" si="340"/>
        <v/>
      </c>
      <c r="U334" s="23" t="str">
        <f t="shared" ref="U334:AD339" si="341">IF(AND(U$4&gt;=$I334,U$4&lt;=$J334),1,"")</f>
        <v/>
      </c>
      <c r="V334" s="23" t="str">
        <f t="shared" si="341"/>
        <v/>
      </c>
      <c r="W334" s="23" t="str">
        <f t="shared" si="341"/>
        <v/>
      </c>
      <c r="X334" s="23" t="str">
        <f t="shared" si="341"/>
        <v/>
      </c>
      <c r="Y334" s="23" t="str">
        <f t="shared" si="341"/>
        <v/>
      </c>
      <c r="Z334" s="23">
        <f t="shared" si="341"/>
        <v>1</v>
      </c>
      <c r="AA334" s="23">
        <f t="shared" si="341"/>
        <v>1</v>
      </c>
      <c r="AB334" s="23">
        <f t="shared" si="341"/>
        <v>1</v>
      </c>
      <c r="AC334" s="23">
        <f t="shared" si="341"/>
        <v>1</v>
      </c>
      <c r="AD334" s="23">
        <f t="shared" si="341"/>
        <v>1</v>
      </c>
      <c r="AE334" s="23">
        <f t="shared" ref="AE334:AN339" si="342">IF(AND(AE$4&gt;=$I334,AE$4&lt;=$J334),1,"")</f>
        <v>1</v>
      </c>
      <c r="AF334" s="23">
        <f t="shared" si="342"/>
        <v>1</v>
      </c>
      <c r="AG334" s="23">
        <f t="shared" si="342"/>
        <v>1</v>
      </c>
      <c r="AH334" s="23">
        <f t="shared" si="342"/>
        <v>1</v>
      </c>
      <c r="AI334" s="23">
        <f t="shared" si="342"/>
        <v>1</v>
      </c>
      <c r="AJ334" s="23" t="str">
        <f t="shared" si="342"/>
        <v/>
      </c>
      <c r="AK334" s="23" t="str">
        <f t="shared" si="342"/>
        <v/>
      </c>
      <c r="AL334" s="23" t="str">
        <f t="shared" si="342"/>
        <v/>
      </c>
      <c r="AM334" s="23" t="str">
        <f t="shared" si="342"/>
        <v/>
      </c>
      <c r="AN334" s="23" t="str">
        <f t="shared" si="342"/>
        <v/>
      </c>
      <c r="AO334" s="23" t="str">
        <f t="shared" ref="AO334:AX339" si="343">IF(AND(AO$4&gt;=$I334,AO$4&lt;=$J334),1,"")</f>
        <v/>
      </c>
      <c r="AP334" s="23" t="str">
        <f t="shared" si="343"/>
        <v/>
      </c>
      <c r="AQ334" s="23" t="str">
        <f t="shared" si="343"/>
        <v/>
      </c>
      <c r="AR334" s="23" t="str">
        <f t="shared" si="343"/>
        <v/>
      </c>
      <c r="AS334" s="23" t="str">
        <f t="shared" si="343"/>
        <v/>
      </c>
      <c r="AT334" s="23" t="str">
        <f t="shared" si="343"/>
        <v/>
      </c>
      <c r="AU334" s="23" t="str">
        <f t="shared" si="343"/>
        <v/>
      </c>
      <c r="AV334" s="23" t="str">
        <f t="shared" si="343"/>
        <v/>
      </c>
      <c r="AW334" s="23" t="str">
        <f t="shared" si="343"/>
        <v/>
      </c>
      <c r="AX334" s="23" t="str">
        <f t="shared" si="343"/>
        <v/>
      </c>
      <c r="AY334" s="23" t="str">
        <f t="shared" ref="AY334:BH339" si="344">IF(AND(AY$4&gt;=$I334,AY$4&lt;=$J334),1,"")</f>
        <v/>
      </c>
      <c r="AZ334" s="23" t="str">
        <f t="shared" si="344"/>
        <v/>
      </c>
      <c r="BA334" s="23" t="str">
        <f t="shared" si="344"/>
        <v/>
      </c>
      <c r="BB334" s="23" t="str">
        <f t="shared" si="344"/>
        <v/>
      </c>
      <c r="BC334" s="23" t="str">
        <f t="shared" si="344"/>
        <v/>
      </c>
      <c r="BD334" s="23" t="str">
        <f t="shared" si="344"/>
        <v/>
      </c>
      <c r="BE334" s="23" t="str">
        <f t="shared" si="344"/>
        <v/>
      </c>
      <c r="BF334" s="23" t="str">
        <f t="shared" si="344"/>
        <v/>
      </c>
      <c r="BG334" s="23" t="str">
        <f t="shared" si="344"/>
        <v/>
      </c>
      <c r="BH334" s="23" t="str">
        <f t="shared" si="344"/>
        <v/>
      </c>
      <c r="BI334" s="23" t="str">
        <f t="shared" ref="BI334:BS339" si="345">IF(AND(BI$4&gt;=$I334,BI$4&lt;=$J334),1,"")</f>
        <v/>
      </c>
      <c r="BJ334" s="23" t="str">
        <f t="shared" si="345"/>
        <v/>
      </c>
      <c r="BK334" s="23" t="str">
        <f t="shared" si="345"/>
        <v/>
      </c>
      <c r="BL334" s="23" t="str">
        <f t="shared" si="345"/>
        <v/>
      </c>
      <c r="BM334" s="23" t="str">
        <f t="shared" si="345"/>
        <v/>
      </c>
      <c r="BN334" s="23" t="str">
        <f t="shared" si="345"/>
        <v/>
      </c>
      <c r="BO334" s="23" t="str">
        <f t="shared" si="345"/>
        <v/>
      </c>
      <c r="BP334" s="23" t="str">
        <f t="shared" si="345"/>
        <v/>
      </c>
      <c r="BQ334" s="23" t="str">
        <f t="shared" si="345"/>
        <v/>
      </c>
      <c r="BR334" s="23" t="str">
        <f t="shared" si="345"/>
        <v/>
      </c>
      <c r="BS334" s="23" t="str">
        <f t="shared" si="345"/>
        <v/>
      </c>
      <c r="BT334" s="24" t="str">
        <f>IF(IF(G334+H334-1&lt;=29,MAX(ROUND((G334+H334-1)*(29+SlipWeeks)/29,0),$I334),G334+H334-1+SlipWeeks)&gt;61,"▶ clipped","")</f>
        <v/>
      </c>
      <c r="BU334" s="29" t="s">
        <v>913</v>
      </c>
    </row>
    <row r="335" spans="1:73" ht="34" outlineLevel="1" x14ac:dyDescent="0.2">
      <c r="A335" s="6" t="s">
        <v>914</v>
      </c>
      <c r="B335" s="25" t="s">
        <v>915</v>
      </c>
      <c r="C335" s="6" t="s">
        <v>55</v>
      </c>
      <c r="D335" s="24" t="s">
        <v>128</v>
      </c>
      <c r="F335" s="6"/>
      <c r="G335" s="22">
        <v>16</v>
      </c>
      <c r="H335" s="22">
        <v>2</v>
      </c>
      <c r="I335" s="22">
        <f>MEDIAN($I$334,$J$334,$I$334+ROUND((G335-$G$334)/$H$334*($J$334-$I$334+1),0))</f>
        <v>16</v>
      </c>
      <c r="J335" s="22">
        <f>MEDIAN(I335,$J$334,$I$334+ROUND((G335+H335-$G$334)/$H$334*($J$334-$I$334+1),0)-1)</f>
        <v>17</v>
      </c>
      <c r="K335" s="23" t="str">
        <f t="shared" si="340"/>
        <v/>
      </c>
      <c r="L335" s="23" t="str">
        <f t="shared" si="340"/>
        <v/>
      </c>
      <c r="M335" s="23" t="str">
        <f t="shared" si="340"/>
        <v/>
      </c>
      <c r="N335" s="23" t="str">
        <f t="shared" si="340"/>
        <v/>
      </c>
      <c r="O335" s="23" t="str">
        <f t="shared" si="340"/>
        <v/>
      </c>
      <c r="P335" s="23" t="str">
        <f t="shared" si="340"/>
        <v/>
      </c>
      <c r="Q335" s="23" t="str">
        <f t="shared" si="340"/>
        <v/>
      </c>
      <c r="R335" s="23" t="str">
        <f t="shared" si="340"/>
        <v/>
      </c>
      <c r="S335" s="23" t="str">
        <f t="shared" si="340"/>
        <v/>
      </c>
      <c r="T335" s="23" t="str">
        <f t="shared" si="340"/>
        <v/>
      </c>
      <c r="U335" s="23" t="str">
        <f t="shared" si="341"/>
        <v/>
      </c>
      <c r="V335" s="23" t="str">
        <f t="shared" si="341"/>
        <v/>
      </c>
      <c r="W335" s="23" t="str">
        <f t="shared" si="341"/>
        <v/>
      </c>
      <c r="X335" s="23" t="str">
        <f t="shared" si="341"/>
        <v/>
      </c>
      <c r="Y335" s="23" t="str">
        <f t="shared" si="341"/>
        <v/>
      </c>
      <c r="Z335" s="23">
        <f t="shared" si="341"/>
        <v>1</v>
      </c>
      <c r="AA335" s="23">
        <f t="shared" si="341"/>
        <v>1</v>
      </c>
      <c r="AB335" s="23" t="str">
        <f t="shared" si="341"/>
        <v/>
      </c>
      <c r="AC335" s="23" t="str">
        <f t="shared" si="341"/>
        <v/>
      </c>
      <c r="AD335" s="23" t="str">
        <f t="shared" si="341"/>
        <v/>
      </c>
      <c r="AE335" s="23" t="str">
        <f t="shared" si="342"/>
        <v/>
      </c>
      <c r="AF335" s="23" t="str">
        <f t="shared" si="342"/>
        <v/>
      </c>
      <c r="AG335" s="23" t="str">
        <f t="shared" si="342"/>
        <v/>
      </c>
      <c r="AH335" s="23" t="str">
        <f t="shared" si="342"/>
        <v/>
      </c>
      <c r="AI335" s="23" t="str">
        <f t="shared" si="342"/>
        <v/>
      </c>
      <c r="AJ335" s="23" t="str">
        <f t="shared" si="342"/>
        <v/>
      </c>
      <c r="AK335" s="23" t="str">
        <f t="shared" si="342"/>
        <v/>
      </c>
      <c r="AL335" s="23" t="str">
        <f t="shared" si="342"/>
        <v/>
      </c>
      <c r="AM335" s="23" t="str">
        <f t="shared" si="342"/>
        <v/>
      </c>
      <c r="AN335" s="23" t="str">
        <f t="shared" si="342"/>
        <v/>
      </c>
      <c r="AO335" s="23" t="str">
        <f t="shared" si="343"/>
        <v/>
      </c>
      <c r="AP335" s="23" t="str">
        <f t="shared" si="343"/>
        <v/>
      </c>
      <c r="AQ335" s="23" t="str">
        <f t="shared" si="343"/>
        <v/>
      </c>
      <c r="AR335" s="23" t="str">
        <f t="shared" si="343"/>
        <v/>
      </c>
      <c r="AS335" s="23" t="str">
        <f t="shared" si="343"/>
        <v/>
      </c>
      <c r="AT335" s="23" t="str">
        <f t="shared" si="343"/>
        <v/>
      </c>
      <c r="AU335" s="23" t="str">
        <f t="shared" si="343"/>
        <v/>
      </c>
      <c r="AV335" s="23" t="str">
        <f t="shared" si="343"/>
        <v/>
      </c>
      <c r="AW335" s="23" t="str">
        <f t="shared" si="343"/>
        <v/>
      </c>
      <c r="AX335" s="23" t="str">
        <f t="shared" si="343"/>
        <v/>
      </c>
      <c r="AY335" s="23" t="str">
        <f t="shared" si="344"/>
        <v/>
      </c>
      <c r="AZ335" s="23" t="str">
        <f t="shared" si="344"/>
        <v/>
      </c>
      <c r="BA335" s="23" t="str">
        <f t="shared" si="344"/>
        <v/>
      </c>
      <c r="BB335" s="23" t="str">
        <f t="shared" si="344"/>
        <v/>
      </c>
      <c r="BC335" s="23" t="str">
        <f t="shared" si="344"/>
        <v/>
      </c>
      <c r="BD335" s="23" t="str">
        <f t="shared" si="344"/>
        <v/>
      </c>
      <c r="BE335" s="23" t="str">
        <f t="shared" si="344"/>
        <v/>
      </c>
      <c r="BF335" s="23" t="str">
        <f t="shared" si="344"/>
        <v/>
      </c>
      <c r="BG335" s="23" t="str">
        <f t="shared" si="344"/>
        <v/>
      </c>
      <c r="BH335" s="23" t="str">
        <f t="shared" si="344"/>
        <v/>
      </c>
      <c r="BI335" s="23" t="str">
        <f t="shared" si="345"/>
        <v/>
      </c>
      <c r="BJ335" s="23" t="str">
        <f t="shared" si="345"/>
        <v/>
      </c>
      <c r="BK335" s="23" t="str">
        <f t="shared" si="345"/>
        <v/>
      </c>
      <c r="BL335" s="23" t="str">
        <f t="shared" si="345"/>
        <v/>
      </c>
      <c r="BM335" s="23" t="str">
        <f t="shared" si="345"/>
        <v/>
      </c>
      <c r="BN335" s="23" t="str">
        <f t="shared" si="345"/>
        <v/>
      </c>
      <c r="BO335" s="23" t="str">
        <f t="shared" si="345"/>
        <v/>
      </c>
      <c r="BP335" s="23" t="str">
        <f t="shared" si="345"/>
        <v/>
      </c>
      <c r="BQ335" s="23" t="str">
        <f t="shared" si="345"/>
        <v/>
      </c>
      <c r="BR335" s="23" t="str">
        <f t="shared" si="345"/>
        <v/>
      </c>
      <c r="BS335" s="23" t="str">
        <f t="shared" si="345"/>
        <v/>
      </c>
      <c r="BU335" s="29" t="s">
        <v>818</v>
      </c>
    </row>
    <row r="336" spans="1:73" ht="17" outlineLevel="1" x14ac:dyDescent="0.2">
      <c r="A336" s="6" t="s">
        <v>916</v>
      </c>
      <c r="B336" s="25" t="s">
        <v>917</v>
      </c>
      <c r="C336" s="6" t="s">
        <v>55</v>
      </c>
      <c r="D336" s="24" t="s">
        <v>128</v>
      </c>
      <c r="F336" s="6"/>
      <c r="G336" s="22">
        <v>18</v>
      </c>
      <c r="H336" s="22">
        <v>2</v>
      </c>
      <c r="I336" s="22">
        <f>MEDIAN($I$334,$J$334,$I$334+ROUND((G336-$G$334)/$H$334*($J$334-$I$334+1),0))</f>
        <v>18</v>
      </c>
      <c r="J336" s="22">
        <f>MEDIAN(I336,$J$334,$I$334+ROUND((G336+H336-$G$334)/$H$334*($J$334-$I$334+1),0)-1)</f>
        <v>19</v>
      </c>
      <c r="K336" s="23" t="str">
        <f t="shared" si="340"/>
        <v/>
      </c>
      <c r="L336" s="23" t="str">
        <f t="shared" si="340"/>
        <v/>
      </c>
      <c r="M336" s="23" t="str">
        <f t="shared" si="340"/>
        <v/>
      </c>
      <c r="N336" s="23" t="str">
        <f t="shared" si="340"/>
        <v/>
      </c>
      <c r="O336" s="23" t="str">
        <f t="shared" si="340"/>
        <v/>
      </c>
      <c r="P336" s="23" t="str">
        <f t="shared" si="340"/>
        <v/>
      </c>
      <c r="Q336" s="23" t="str">
        <f t="shared" si="340"/>
        <v/>
      </c>
      <c r="R336" s="23" t="str">
        <f t="shared" si="340"/>
        <v/>
      </c>
      <c r="S336" s="23" t="str">
        <f t="shared" si="340"/>
        <v/>
      </c>
      <c r="T336" s="23" t="str">
        <f t="shared" si="340"/>
        <v/>
      </c>
      <c r="U336" s="23" t="str">
        <f t="shared" si="341"/>
        <v/>
      </c>
      <c r="V336" s="23" t="str">
        <f t="shared" si="341"/>
        <v/>
      </c>
      <c r="W336" s="23" t="str">
        <f t="shared" si="341"/>
        <v/>
      </c>
      <c r="X336" s="23" t="str">
        <f t="shared" si="341"/>
        <v/>
      </c>
      <c r="Y336" s="23" t="str">
        <f t="shared" si="341"/>
        <v/>
      </c>
      <c r="Z336" s="23" t="str">
        <f t="shared" si="341"/>
        <v/>
      </c>
      <c r="AA336" s="23" t="str">
        <f t="shared" si="341"/>
        <v/>
      </c>
      <c r="AB336" s="23">
        <f t="shared" si="341"/>
        <v>1</v>
      </c>
      <c r="AC336" s="23">
        <f t="shared" si="341"/>
        <v>1</v>
      </c>
      <c r="AD336" s="23" t="str">
        <f t="shared" si="341"/>
        <v/>
      </c>
      <c r="AE336" s="23" t="str">
        <f t="shared" si="342"/>
        <v/>
      </c>
      <c r="AF336" s="23" t="str">
        <f t="shared" si="342"/>
        <v/>
      </c>
      <c r="AG336" s="23" t="str">
        <f t="shared" si="342"/>
        <v/>
      </c>
      <c r="AH336" s="23" t="str">
        <f t="shared" si="342"/>
        <v/>
      </c>
      <c r="AI336" s="23" t="str">
        <f t="shared" si="342"/>
        <v/>
      </c>
      <c r="AJ336" s="23" t="str">
        <f t="shared" si="342"/>
        <v/>
      </c>
      <c r="AK336" s="23" t="str">
        <f t="shared" si="342"/>
        <v/>
      </c>
      <c r="AL336" s="23" t="str">
        <f t="shared" si="342"/>
        <v/>
      </c>
      <c r="AM336" s="23" t="str">
        <f t="shared" si="342"/>
        <v/>
      </c>
      <c r="AN336" s="23" t="str">
        <f t="shared" si="342"/>
        <v/>
      </c>
      <c r="AO336" s="23" t="str">
        <f t="shared" si="343"/>
        <v/>
      </c>
      <c r="AP336" s="23" t="str">
        <f t="shared" si="343"/>
        <v/>
      </c>
      <c r="AQ336" s="23" t="str">
        <f t="shared" si="343"/>
        <v/>
      </c>
      <c r="AR336" s="23" t="str">
        <f t="shared" si="343"/>
        <v/>
      </c>
      <c r="AS336" s="23" t="str">
        <f t="shared" si="343"/>
        <v/>
      </c>
      <c r="AT336" s="23" t="str">
        <f t="shared" si="343"/>
        <v/>
      </c>
      <c r="AU336" s="23" t="str">
        <f t="shared" si="343"/>
        <v/>
      </c>
      <c r="AV336" s="23" t="str">
        <f t="shared" si="343"/>
        <v/>
      </c>
      <c r="AW336" s="23" t="str">
        <f t="shared" si="343"/>
        <v/>
      </c>
      <c r="AX336" s="23" t="str">
        <f t="shared" si="343"/>
        <v/>
      </c>
      <c r="AY336" s="23" t="str">
        <f t="shared" si="344"/>
        <v/>
      </c>
      <c r="AZ336" s="23" t="str">
        <f t="shared" si="344"/>
        <v/>
      </c>
      <c r="BA336" s="23" t="str">
        <f t="shared" si="344"/>
        <v/>
      </c>
      <c r="BB336" s="23" t="str">
        <f t="shared" si="344"/>
        <v/>
      </c>
      <c r="BC336" s="23" t="str">
        <f t="shared" si="344"/>
        <v/>
      </c>
      <c r="BD336" s="23" t="str">
        <f t="shared" si="344"/>
        <v/>
      </c>
      <c r="BE336" s="23" t="str">
        <f t="shared" si="344"/>
        <v/>
      </c>
      <c r="BF336" s="23" t="str">
        <f t="shared" si="344"/>
        <v/>
      </c>
      <c r="BG336" s="23" t="str">
        <f t="shared" si="344"/>
        <v/>
      </c>
      <c r="BH336" s="23" t="str">
        <f t="shared" si="344"/>
        <v/>
      </c>
      <c r="BI336" s="23" t="str">
        <f t="shared" si="345"/>
        <v/>
      </c>
      <c r="BJ336" s="23" t="str">
        <f t="shared" si="345"/>
        <v/>
      </c>
      <c r="BK336" s="23" t="str">
        <f t="shared" si="345"/>
        <v/>
      </c>
      <c r="BL336" s="23" t="str">
        <f t="shared" si="345"/>
        <v/>
      </c>
      <c r="BM336" s="23" t="str">
        <f t="shared" si="345"/>
        <v/>
      </c>
      <c r="BN336" s="23" t="str">
        <f t="shared" si="345"/>
        <v/>
      </c>
      <c r="BO336" s="23" t="str">
        <f t="shared" si="345"/>
        <v/>
      </c>
      <c r="BP336" s="23" t="str">
        <f t="shared" si="345"/>
        <v/>
      </c>
      <c r="BQ336" s="23" t="str">
        <f t="shared" si="345"/>
        <v/>
      </c>
      <c r="BR336" s="23" t="str">
        <f t="shared" si="345"/>
        <v/>
      </c>
      <c r="BS336" s="23" t="str">
        <f t="shared" si="345"/>
        <v/>
      </c>
      <c r="BU336" s="29" t="s">
        <v>818</v>
      </c>
    </row>
    <row r="337" spans="1:73" ht="17" outlineLevel="1" x14ac:dyDescent="0.2">
      <c r="A337" s="6" t="s">
        <v>918</v>
      </c>
      <c r="B337" s="25" t="s">
        <v>906</v>
      </c>
      <c r="C337" s="6" t="s">
        <v>55</v>
      </c>
      <c r="D337" s="24" t="s">
        <v>128</v>
      </c>
      <c r="F337" s="6"/>
      <c r="G337" s="22">
        <v>20</v>
      </c>
      <c r="H337" s="22">
        <v>2</v>
      </c>
      <c r="I337" s="22">
        <f>MEDIAN($I$334,$J$334,$I$334+ROUND((G337-$G$334)/$H$334*($J$334-$I$334+1),0))</f>
        <v>20</v>
      </c>
      <c r="J337" s="22">
        <f>MEDIAN(I337,$J$334,$I$334+ROUND((G337+H337-$G$334)/$H$334*($J$334-$I$334+1),0)-1)</f>
        <v>21</v>
      </c>
      <c r="K337" s="23" t="str">
        <f t="shared" si="340"/>
        <v/>
      </c>
      <c r="L337" s="23" t="str">
        <f t="shared" si="340"/>
        <v/>
      </c>
      <c r="M337" s="23" t="str">
        <f t="shared" si="340"/>
        <v/>
      </c>
      <c r="N337" s="23" t="str">
        <f t="shared" si="340"/>
        <v/>
      </c>
      <c r="O337" s="23" t="str">
        <f t="shared" si="340"/>
        <v/>
      </c>
      <c r="P337" s="23" t="str">
        <f t="shared" si="340"/>
        <v/>
      </c>
      <c r="Q337" s="23" t="str">
        <f t="shared" si="340"/>
        <v/>
      </c>
      <c r="R337" s="23" t="str">
        <f t="shared" si="340"/>
        <v/>
      </c>
      <c r="S337" s="23" t="str">
        <f t="shared" si="340"/>
        <v/>
      </c>
      <c r="T337" s="23" t="str">
        <f t="shared" si="340"/>
        <v/>
      </c>
      <c r="U337" s="23" t="str">
        <f t="shared" si="341"/>
        <v/>
      </c>
      <c r="V337" s="23" t="str">
        <f t="shared" si="341"/>
        <v/>
      </c>
      <c r="W337" s="23" t="str">
        <f t="shared" si="341"/>
        <v/>
      </c>
      <c r="X337" s="23" t="str">
        <f t="shared" si="341"/>
        <v/>
      </c>
      <c r="Y337" s="23" t="str">
        <f t="shared" si="341"/>
        <v/>
      </c>
      <c r="Z337" s="23" t="str">
        <f t="shared" si="341"/>
        <v/>
      </c>
      <c r="AA337" s="23" t="str">
        <f t="shared" si="341"/>
        <v/>
      </c>
      <c r="AB337" s="23" t="str">
        <f t="shared" si="341"/>
        <v/>
      </c>
      <c r="AC337" s="23" t="str">
        <f t="shared" si="341"/>
        <v/>
      </c>
      <c r="AD337" s="23">
        <f t="shared" si="341"/>
        <v>1</v>
      </c>
      <c r="AE337" s="23">
        <f t="shared" si="342"/>
        <v>1</v>
      </c>
      <c r="AF337" s="23" t="str">
        <f t="shared" si="342"/>
        <v/>
      </c>
      <c r="AG337" s="23" t="str">
        <f t="shared" si="342"/>
        <v/>
      </c>
      <c r="AH337" s="23" t="str">
        <f t="shared" si="342"/>
        <v/>
      </c>
      <c r="AI337" s="23" t="str">
        <f t="shared" si="342"/>
        <v/>
      </c>
      <c r="AJ337" s="23" t="str">
        <f t="shared" si="342"/>
        <v/>
      </c>
      <c r="AK337" s="23" t="str">
        <f t="shared" si="342"/>
        <v/>
      </c>
      <c r="AL337" s="23" t="str">
        <f t="shared" si="342"/>
        <v/>
      </c>
      <c r="AM337" s="23" t="str">
        <f t="shared" si="342"/>
        <v/>
      </c>
      <c r="AN337" s="23" t="str">
        <f t="shared" si="342"/>
        <v/>
      </c>
      <c r="AO337" s="23" t="str">
        <f t="shared" si="343"/>
        <v/>
      </c>
      <c r="AP337" s="23" t="str">
        <f t="shared" si="343"/>
        <v/>
      </c>
      <c r="AQ337" s="23" t="str">
        <f t="shared" si="343"/>
        <v/>
      </c>
      <c r="AR337" s="23" t="str">
        <f t="shared" si="343"/>
        <v/>
      </c>
      <c r="AS337" s="23" t="str">
        <f t="shared" si="343"/>
        <v/>
      </c>
      <c r="AT337" s="23" t="str">
        <f t="shared" si="343"/>
        <v/>
      </c>
      <c r="AU337" s="23" t="str">
        <f t="shared" si="343"/>
        <v/>
      </c>
      <c r="AV337" s="23" t="str">
        <f t="shared" si="343"/>
        <v/>
      </c>
      <c r="AW337" s="23" t="str">
        <f t="shared" si="343"/>
        <v/>
      </c>
      <c r="AX337" s="23" t="str">
        <f t="shared" si="343"/>
        <v/>
      </c>
      <c r="AY337" s="23" t="str">
        <f t="shared" si="344"/>
        <v/>
      </c>
      <c r="AZ337" s="23" t="str">
        <f t="shared" si="344"/>
        <v/>
      </c>
      <c r="BA337" s="23" t="str">
        <f t="shared" si="344"/>
        <v/>
      </c>
      <c r="BB337" s="23" t="str">
        <f t="shared" si="344"/>
        <v/>
      </c>
      <c r="BC337" s="23" t="str">
        <f t="shared" si="344"/>
        <v/>
      </c>
      <c r="BD337" s="23" t="str">
        <f t="shared" si="344"/>
        <v/>
      </c>
      <c r="BE337" s="23" t="str">
        <f t="shared" si="344"/>
        <v/>
      </c>
      <c r="BF337" s="23" t="str">
        <f t="shared" si="344"/>
        <v/>
      </c>
      <c r="BG337" s="23" t="str">
        <f t="shared" si="344"/>
        <v/>
      </c>
      <c r="BH337" s="23" t="str">
        <f t="shared" si="344"/>
        <v/>
      </c>
      <c r="BI337" s="23" t="str">
        <f t="shared" si="345"/>
        <v/>
      </c>
      <c r="BJ337" s="23" t="str">
        <f t="shared" si="345"/>
        <v/>
      </c>
      <c r="BK337" s="23" t="str">
        <f t="shared" si="345"/>
        <v/>
      </c>
      <c r="BL337" s="23" t="str">
        <f t="shared" si="345"/>
        <v/>
      </c>
      <c r="BM337" s="23" t="str">
        <f t="shared" si="345"/>
        <v/>
      </c>
      <c r="BN337" s="23" t="str">
        <f t="shared" si="345"/>
        <v/>
      </c>
      <c r="BO337" s="23" t="str">
        <f t="shared" si="345"/>
        <v/>
      </c>
      <c r="BP337" s="23" t="str">
        <f t="shared" si="345"/>
        <v/>
      </c>
      <c r="BQ337" s="23" t="str">
        <f t="shared" si="345"/>
        <v/>
      </c>
      <c r="BR337" s="23" t="str">
        <f t="shared" si="345"/>
        <v/>
      </c>
      <c r="BS337" s="23" t="str">
        <f t="shared" si="345"/>
        <v/>
      </c>
      <c r="BU337" s="29" t="s">
        <v>818</v>
      </c>
    </row>
    <row r="338" spans="1:73" ht="34" outlineLevel="1" x14ac:dyDescent="0.2">
      <c r="A338" s="6" t="s">
        <v>919</v>
      </c>
      <c r="B338" s="25" t="s">
        <v>920</v>
      </c>
      <c r="C338" s="6" t="s">
        <v>55</v>
      </c>
      <c r="D338" s="24" t="s">
        <v>128</v>
      </c>
      <c r="F338" s="6"/>
      <c r="G338" s="22">
        <v>22</v>
      </c>
      <c r="H338" s="22">
        <v>2</v>
      </c>
      <c r="I338" s="22">
        <f>MEDIAN($I$334,$J$334,$I$334+ROUND((G338-$G$334)/$H$334*($J$334-$I$334+1),0))</f>
        <v>22</v>
      </c>
      <c r="J338" s="22">
        <f>MEDIAN(I338,$J$334,$I$334+ROUND((G338+H338-$G$334)/$H$334*($J$334-$I$334+1),0)-1)</f>
        <v>23</v>
      </c>
      <c r="K338" s="23" t="str">
        <f t="shared" si="340"/>
        <v/>
      </c>
      <c r="L338" s="23" t="str">
        <f t="shared" si="340"/>
        <v/>
      </c>
      <c r="M338" s="23" t="str">
        <f t="shared" si="340"/>
        <v/>
      </c>
      <c r="N338" s="23" t="str">
        <f t="shared" si="340"/>
        <v/>
      </c>
      <c r="O338" s="23" t="str">
        <f t="shared" si="340"/>
        <v/>
      </c>
      <c r="P338" s="23" t="str">
        <f t="shared" si="340"/>
        <v/>
      </c>
      <c r="Q338" s="23" t="str">
        <f t="shared" si="340"/>
        <v/>
      </c>
      <c r="R338" s="23" t="str">
        <f t="shared" si="340"/>
        <v/>
      </c>
      <c r="S338" s="23" t="str">
        <f t="shared" si="340"/>
        <v/>
      </c>
      <c r="T338" s="23" t="str">
        <f t="shared" si="340"/>
        <v/>
      </c>
      <c r="U338" s="23" t="str">
        <f t="shared" si="341"/>
        <v/>
      </c>
      <c r="V338" s="23" t="str">
        <f t="shared" si="341"/>
        <v/>
      </c>
      <c r="W338" s="23" t="str">
        <f t="shared" si="341"/>
        <v/>
      </c>
      <c r="X338" s="23" t="str">
        <f t="shared" si="341"/>
        <v/>
      </c>
      <c r="Y338" s="23" t="str">
        <f t="shared" si="341"/>
        <v/>
      </c>
      <c r="Z338" s="23" t="str">
        <f t="shared" si="341"/>
        <v/>
      </c>
      <c r="AA338" s="23" t="str">
        <f t="shared" si="341"/>
        <v/>
      </c>
      <c r="AB338" s="23" t="str">
        <f t="shared" si="341"/>
        <v/>
      </c>
      <c r="AC338" s="23" t="str">
        <f t="shared" si="341"/>
        <v/>
      </c>
      <c r="AD338" s="23" t="str">
        <f t="shared" si="341"/>
        <v/>
      </c>
      <c r="AE338" s="23" t="str">
        <f t="shared" si="342"/>
        <v/>
      </c>
      <c r="AF338" s="23">
        <f t="shared" si="342"/>
        <v>1</v>
      </c>
      <c r="AG338" s="23">
        <f t="shared" si="342"/>
        <v>1</v>
      </c>
      <c r="AH338" s="23" t="str">
        <f t="shared" si="342"/>
        <v/>
      </c>
      <c r="AI338" s="23" t="str">
        <f t="shared" si="342"/>
        <v/>
      </c>
      <c r="AJ338" s="23" t="str">
        <f t="shared" si="342"/>
        <v/>
      </c>
      <c r="AK338" s="23" t="str">
        <f t="shared" si="342"/>
        <v/>
      </c>
      <c r="AL338" s="23" t="str">
        <f t="shared" si="342"/>
        <v/>
      </c>
      <c r="AM338" s="23" t="str">
        <f t="shared" si="342"/>
        <v/>
      </c>
      <c r="AN338" s="23" t="str">
        <f t="shared" si="342"/>
        <v/>
      </c>
      <c r="AO338" s="23" t="str">
        <f t="shared" si="343"/>
        <v/>
      </c>
      <c r="AP338" s="23" t="str">
        <f t="shared" si="343"/>
        <v/>
      </c>
      <c r="AQ338" s="23" t="str">
        <f t="shared" si="343"/>
        <v/>
      </c>
      <c r="AR338" s="23" t="str">
        <f t="shared" si="343"/>
        <v/>
      </c>
      <c r="AS338" s="23" t="str">
        <f t="shared" si="343"/>
        <v/>
      </c>
      <c r="AT338" s="23" t="str">
        <f t="shared" si="343"/>
        <v/>
      </c>
      <c r="AU338" s="23" t="str">
        <f t="shared" si="343"/>
        <v/>
      </c>
      <c r="AV338" s="23" t="str">
        <f t="shared" si="343"/>
        <v/>
      </c>
      <c r="AW338" s="23" t="str">
        <f t="shared" si="343"/>
        <v/>
      </c>
      <c r="AX338" s="23" t="str">
        <f t="shared" si="343"/>
        <v/>
      </c>
      <c r="AY338" s="23" t="str">
        <f t="shared" si="344"/>
        <v/>
      </c>
      <c r="AZ338" s="23" t="str">
        <f t="shared" si="344"/>
        <v/>
      </c>
      <c r="BA338" s="23" t="str">
        <f t="shared" si="344"/>
        <v/>
      </c>
      <c r="BB338" s="23" t="str">
        <f t="shared" si="344"/>
        <v/>
      </c>
      <c r="BC338" s="23" t="str">
        <f t="shared" si="344"/>
        <v/>
      </c>
      <c r="BD338" s="23" t="str">
        <f t="shared" si="344"/>
        <v/>
      </c>
      <c r="BE338" s="23" t="str">
        <f t="shared" si="344"/>
        <v/>
      </c>
      <c r="BF338" s="23" t="str">
        <f t="shared" si="344"/>
        <v/>
      </c>
      <c r="BG338" s="23" t="str">
        <f t="shared" si="344"/>
        <v/>
      </c>
      <c r="BH338" s="23" t="str">
        <f t="shared" si="344"/>
        <v/>
      </c>
      <c r="BI338" s="23" t="str">
        <f t="shared" si="345"/>
        <v/>
      </c>
      <c r="BJ338" s="23" t="str">
        <f t="shared" si="345"/>
        <v/>
      </c>
      <c r="BK338" s="23" t="str">
        <f t="shared" si="345"/>
        <v/>
      </c>
      <c r="BL338" s="23" t="str">
        <f t="shared" si="345"/>
        <v/>
      </c>
      <c r="BM338" s="23" t="str">
        <f t="shared" si="345"/>
        <v/>
      </c>
      <c r="BN338" s="23" t="str">
        <f t="shared" si="345"/>
        <v/>
      </c>
      <c r="BO338" s="23" t="str">
        <f t="shared" si="345"/>
        <v/>
      </c>
      <c r="BP338" s="23" t="str">
        <f t="shared" si="345"/>
        <v/>
      </c>
      <c r="BQ338" s="23" t="str">
        <f t="shared" si="345"/>
        <v/>
      </c>
      <c r="BR338" s="23" t="str">
        <f t="shared" si="345"/>
        <v/>
      </c>
      <c r="BS338" s="23" t="str">
        <f t="shared" si="345"/>
        <v/>
      </c>
      <c r="BU338" s="29" t="s">
        <v>818</v>
      </c>
    </row>
    <row r="339" spans="1:73" ht="17" outlineLevel="1" x14ac:dyDescent="0.2">
      <c r="A339" s="6" t="s">
        <v>921</v>
      </c>
      <c r="B339" s="25" t="s">
        <v>922</v>
      </c>
      <c r="C339" s="6" t="s">
        <v>55</v>
      </c>
      <c r="D339" s="24" t="s">
        <v>128</v>
      </c>
      <c r="F339" s="6"/>
      <c r="G339" s="22">
        <v>24</v>
      </c>
      <c r="H339" s="22">
        <v>2</v>
      </c>
      <c r="I339" s="22">
        <f>MEDIAN($I$334,$J$334,$I$334+ROUND((G339-$G$334)/$H$334*($J$334-$I$334+1),0))</f>
        <v>24</v>
      </c>
      <c r="J339" s="22">
        <f>MEDIAN(I339,$J$334,$I$334+ROUND((G339+H339-$G$334)/$H$334*($J$334-$I$334+1),0)-1)</f>
        <v>25</v>
      </c>
      <c r="K339" s="23" t="str">
        <f t="shared" si="340"/>
        <v/>
      </c>
      <c r="L339" s="23" t="str">
        <f t="shared" si="340"/>
        <v/>
      </c>
      <c r="M339" s="23" t="str">
        <f t="shared" si="340"/>
        <v/>
      </c>
      <c r="N339" s="23" t="str">
        <f t="shared" si="340"/>
        <v/>
      </c>
      <c r="O339" s="23" t="str">
        <f t="shared" si="340"/>
        <v/>
      </c>
      <c r="P339" s="23" t="str">
        <f t="shared" si="340"/>
        <v/>
      </c>
      <c r="Q339" s="23" t="str">
        <f t="shared" si="340"/>
        <v/>
      </c>
      <c r="R339" s="23" t="str">
        <f t="shared" si="340"/>
        <v/>
      </c>
      <c r="S339" s="23" t="str">
        <f t="shared" si="340"/>
        <v/>
      </c>
      <c r="T339" s="23" t="str">
        <f t="shared" si="340"/>
        <v/>
      </c>
      <c r="U339" s="23" t="str">
        <f t="shared" si="341"/>
        <v/>
      </c>
      <c r="V339" s="23" t="str">
        <f t="shared" si="341"/>
        <v/>
      </c>
      <c r="W339" s="23" t="str">
        <f t="shared" si="341"/>
        <v/>
      </c>
      <c r="X339" s="23" t="str">
        <f t="shared" si="341"/>
        <v/>
      </c>
      <c r="Y339" s="23" t="str">
        <f t="shared" si="341"/>
        <v/>
      </c>
      <c r="Z339" s="23" t="str">
        <f t="shared" si="341"/>
        <v/>
      </c>
      <c r="AA339" s="23" t="str">
        <f t="shared" si="341"/>
        <v/>
      </c>
      <c r="AB339" s="23" t="str">
        <f t="shared" si="341"/>
        <v/>
      </c>
      <c r="AC339" s="23" t="str">
        <f t="shared" si="341"/>
        <v/>
      </c>
      <c r="AD339" s="23" t="str">
        <f t="shared" si="341"/>
        <v/>
      </c>
      <c r="AE339" s="23" t="str">
        <f t="shared" si="342"/>
        <v/>
      </c>
      <c r="AF339" s="23" t="str">
        <f t="shared" si="342"/>
        <v/>
      </c>
      <c r="AG339" s="23" t="str">
        <f t="shared" si="342"/>
        <v/>
      </c>
      <c r="AH339" s="23">
        <f t="shared" si="342"/>
        <v>1</v>
      </c>
      <c r="AI339" s="23">
        <f t="shared" si="342"/>
        <v>1</v>
      </c>
      <c r="AJ339" s="23" t="str">
        <f t="shared" si="342"/>
        <v/>
      </c>
      <c r="AK339" s="23" t="str">
        <f t="shared" si="342"/>
        <v/>
      </c>
      <c r="AL339" s="23" t="str">
        <f t="shared" si="342"/>
        <v/>
      </c>
      <c r="AM339" s="23" t="str">
        <f t="shared" si="342"/>
        <v/>
      </c>
      <c r="AN339" s="23" t="str">
        <f t="shared" si="342"/>
        <v/>
      </c>
      <c r="AO339" s="23" t="str">
        <f t="shared" si="343"/>
        <v/>
      </c>
      <c r="AP339" s="23" t="str">
        <f t="shared" si="343"/>
        <v/>
      </c>
      <c r="AQ339" s="23" t="str">
        <f t="shared" si="343"/>
        <v/>
      </c>
      <c r="AR339" s="23" t="str">
        <f t="shared" si="343"/>
        <v/>
      </c>
      <c r="AS339" s="23" t="str">
        <f t="shared" si="343"/>
        <v/>
      </c>
      <c r="AT339" s="23" t="str">
        <f t="shared" si="343"/>
        <v/>
      </c>
      <c r="AU339" s="23" t="str">
        <f t="shared" si="343"/>
        <v/>
      </c>
      <c r="AV339" s="23" t="str">
        <f t="shared" si="343"/>
        <v/>
      </c>
      <c r="AW339" s="23" t="str">
        <f t="shared" si="343"/>
        <v/>
      </c>
      <c r="AX339" s="23" t="str">
        <f t="shared" si="343"/>
        <v/>
      </c>
      <c r="AY339" s="23" t="str">
        <f t="shared" si="344"/>
        <v/>
      </c>
      <c r="AZ339" s="23" t="str">
        <f t="shared" si="344"/>
        <v/>
      </c>
      <c r="BA339" s="23" t="str">
        <f t="shared" si="344"/>
        <v/>
      </c>
      <c r="BB339" s="23" t="str">
        <f t="shared" si="344"/>
        <v/>
      </c>
      <c r="BC339" s="23" t="str">
        <f t="shared" si="344"/>
        <v/>
      </c>
      <c r="BD339" s="23" t="str">
        <f t="shared" si="344"/>
        <v/>
      </c>
      <c r="BE339" s="23" t="str">
        <f t="shared" si="344"/>
        <v/>
      </c>
      <c r="BF339" s="23" t="str">
        <f t="shared" si="344"/>
        <v/>
      </c>
      <c r="BG339" s="23" t="str">
        <f t="shared" si="344"/>
        <v/>
      </c>
      <c r="BH339" s="23" t="str">
        <f t="shared" si="344"/>
        <v/>
      </c>
      <c r="BI339" s="23" t="str">
        <f t="shared" si="345"/>
        <v/>
      </c>
      <c r="BJ339" s="23" t="str">
        <f t="shared" si="345"/>
        <v/>
      </c>
      <c r="BK339" s="23" t="str">
        <f t="shared" si="345"/>
        <v/>
      </c>
      <c r="BL339" s="23" t="str">
        <f t="shared" si="345"/>
        <v/>
      </c>
      <c r="BM339" s="23" t="str">
        <f t="shared" si="345"/>
        <v/>
      </c>
      <c r="BN339" s="23" t="str">
        <f t="shared" si="345"/>
        <v/>
      </c>
      <c r="BO339" s="23" t="str">
        <f t="shared" si="345"/>
        <v/>
      </c>
      <c r="BP339" s="23" t="str">
        <f t="shared" si="345"/>
        <v/>
      </c>
      <c r="BQ339" s="23" t="str">
        <f t="shared" si="345"/>
        <v/>
      </c>
      <c r="BR339" s="23" t="str">
        <f t="shared" si="345"/>
        <v/>
      </c>
      <c r="BS339" s="23" t="str">
        <f t="shared" si="345"/>
        <v/>
      </c>
      <c r="BU339" s="29" t="s">
        <v>818</v>
      </c>
    </row>
    <row r="340" spans="1:73" x14ac:dyDescent="0.2">
      <c r="BU340" s="30"/>
    </row>
    <row r="341" spans="1:73" ht="34" x14ac:dyDescent="0.2">
      <c r="A341" s="19" t="s">
        <v>923</v>
      </c>
      <c r="B341" s="20" t="s">
        <v>924</v>
      </c>
      <c r="C341" s="19" t="s">
        <v>55</v>
      </c>
      <c r="D341" s="21" t="s">
        <v>128</v>
      </c>
      <c r="E341" s="19" t="s">
        <v>73</v>
      </c>
      <c r="F341" s="19" t="s">
        <v>850</v>
      </c>
      <c r="G341" s="22">
        <v>10</v>
      </c>
      <c r="H341" s="22">
        <v>8</v>
      </c>
      <c r="I341" s="22">
        <f>MIN(61,IF(G341&lt;=29,ROUND((G341-1)*(29+SlipWeeks)/29,0)+1,G341+SlipWeeks))</f>
        <v>10</v>
      </c>
      <c r="J341" s="22">
        <f>MIN(61,IF(G341+H341-1&lt;=29,MAX(ROUND((G341+H341-1)*(29+SlipWeeks)/29,0),I341),G341+H341-1+SlipWeeks))</f>
        <v>17</v>
      </c>
      <c r="K341" s="23" t="str">
        <f t="shared" ref="K341:T346" si="346">IF(AND(K$4&gt;=$I341,K$4&lt;=$J341),1,"")</f>
        <v/>
      </c>
      <c r="L341" s="23" t="str">
        <f t="shared" si="346"/>
        <v/>
      </c>
      <c r="M341" s="23" t="str">
        <f t="shared" si="346"/>
        <v/>
      </c>
      <c r="N341" s="23" t="str">
        <f t="shared" si="346"/>
        <v/>
      </c>
      <c r="O341" s="23" t="str">
        <f t="shared" si="346"/>
        <v/>
      </c>
      <c r="P341" s="23" t="str">
        <f t="shared" si="346"/>
        <v/>
      </c>
      <c r="Q341" s="23" t="str">
        <f t="shared" si="346"/>
        <v/>
      </c>
      <c r="R341" s="23" t="str">
        <f t="shared" si="346"/>
        <v/>
      </c>
      <c r="S341" s="23" t="str">
        <f t="shared" si="346"/>
        <v/>
      </c>
      <c r="T341" s="23">
        <f t="shared" si="346"/>
        <v>1</v>
      </c>
      <c r="U341" s="23">
        <f t="shared" ref="U341:AD346" si="347">IF(AND(U$4&gt;=$I341,U$4&lt;=$J341),1,"")</f>
        <v>1</v>
      </c>
      <c r="V341" s="23">
        <f t="shared" si="347"/>
        <v>1</v>
      </c>
      <c r="W341" s="23">
        <f t="shared" si="347"/>
        <v>1</v>
      </c>
      <c r="X341" s="23">
        <f t="shared" si="347"/>
        <v>1</v>
      </c>
      <c r="Y341" s="23">
        <f t="shared" si="347"/>
        <v>1</v>
      </c>
      <c r="Z341" s="23">
        <f t="shared" si="347"/>
        <v>1</v>
      </c>
      <c r="AA341" s="23">
        <f t="shared" si="347"/>
        <v>1</v>
      </c>
      <c r="AB341" s="23" t="str">
        <f t="shared" si="347"/>
        <v/>
      </c>
      <c r="AC341" s="23" t="str">
        <f t="shared" si="347"/>
        <v/>
      </c>
      <c r="AD341" s="23" t="str">
        <f t="shared" si="347"/>
        <v/>
      </c>
      <c r="AE341" s="23" t="str">
        <f t="shared" ref="AE341:AN346" si="348">IF(AND(AE$4&gt;=$I341,AE$4&lt;=$J341),1,"")</f>
        <v/>
      </c>
      <c r="AF341" s="23" t="str">
        <f t="shared" si="348"/>
        <v/>
      </c>
      <c r="AG341" s="23" t="str">
        <f t="shared" si="348"/>
        <v/>
      </c>
      <c r="AH341" s="23" t="str">
        <f t="shared" si="348"/>
        <v/>
      </c>
      <c r="AI341" s="23" t="str">
        <f t="shared" si="348"/>
        <v/>
      </c>
      <c r="AJ341" s="23" t="str">
        <f t="shared" si="348"/>
        <v/>
      </c>
      <c r="AK341" s="23" t="str">
        <f t="shared" si="348"/>
        <v/>
      </c>
      <c r="AL341" s="23" t="str">
        <f t="shared" si="348"/>
        <v/>
      </c>
      <c r="AM341" s="23" t="str">
        <f t="shared" si="348"/>
        <v/>
      </c>
      <c r="AN341" s="23" t="str">
        <f t="shared" si="348"/>
        <v/>
      </c>
      <c r="AO341" s="23" t="str">
        <f t="shared" ref="AO341:AX346" si="349">IF(AND(AO$4&gt;=$I341,AO$4&lt;=$J341),1,"")</f>
        <v/>
      </c>
      <c r="AP341" s="23" t="str">
        <f t="shared" si="349"/>
        <v/>
      </c>
      <c r="AQ341" s="23" t="str">
        <f t="shared" si="349"/>
        <v/>
      </c>
      <c r="AR341" s="23" t="str">
        <f t="shared" si="349"/>
        <v/>
      </c>
      <c r="AS341" s="23" t="str">
        <f t="shared" si="349"/>
        <v/>
      </c>
      <c r="AT341" s="23" t="str">
        <f t="shared" si="349"/>
        <v/>
      </c>
      <c r="AU341" s="23" t="str">
        <f t="shared" si="349"/>
        <v/>
      </c>
      <c r="AV341" s="23" t="str">
        <f t="shared" si="349"/>
        <v/>
      </c>
      <c r="AW341" s="23" t="str">
        <f t="shared" si="349"/>
        <v/>
      </c>
      <c r="AX341" s="23" t="str">
        <f t="shared" si="349"/>
        <v/>
      </c>
      <c r="AY341" s="23" t="str">
        <f t="shared" ref="AY341:BH346" si="350">IF(AND(AY$4&gt;=$I341,AY$4&lt;=$J341),1,"")</f>
        <v/>
      </c>
      <c r="AZ341" s="23" t="str">
        <f t="shared" si="350"/>
        <v/>
      </c>
      <c r="BA341" s="23" t="str">
        <f t="shared" si="350"/>
        <v/>
      </c>
      <c r="BB341" s="23" t="str">
        <f t="shared" si="350"/>
        <v/>
      </c>
      <c r="BC341" s="23" t="str">
        <f t="shared" si="350"/>
        <v/>
      </c>
      <c r="BD341" s="23" t="str">
        <f t="shared" si="350"/>
        <v/>
      </c>
      <c r="BE341" s="23" t="str">
        <f t="shared" si="350"/>
        <v/>
      </c>
      <c r="BF341" s="23" t="str">
        <f t="shared" si="350"/>
        <v/>
      </c>
      <c r="BG341" s="23" t="str">
        <f t="shared" si="350"/>
        <v/>
      </c>
      <c r="BH341" s="23" t="str">
        <f t="shared" si="350"/>
        <v/>
      </c>
      <c r="BI341" s="23" t="str">
        <f t="shared" ref="BI341:BS346" si="351">IF(AND(BI$4&gt;=$I341,BI$4&lt;=$J341),1,"")</f>
        <v/>
      </c>
      <c r="BJ341" s="23" t="str">
        <f t="shared" si="351"/>
        <v/>
      </c>
      <c r="BK341" s="23" t="str">
        <f t="shared" si="351"/>
        <v/>
      </c>
      <c r="BL341" s="23" t="str">
        <f t="shared" si="351"/>
        <v/>
      </c>
      <c r="BM341" s="23" t="str">
        <f t="shared" si="351"/>
        <v/>
      </c>
      <c r="BN341" s="23" t="str">
        <f t="shared" si="351"/>
        <v/>
      </c>
      <c r="BO341" s="23" t="str">
        <f t="shared" si="351"/>
        <v/>
      </c>
      <c r="BP341" s="23" t="str">
        <f t="shared" si="351"/>
        <v/>
      </c>
      <c r="BQ341" s="23" t="str">
        <f t="shared" si="351"/>
        <v/>
      </c>
      <c r="BR341" s="23" t="str">
        <f t="shared" si="351"/>
        <v/>
      </c>
      <c r="BS341" s="23" t="str">
        <f t="shared" si="351"/>
        <v/>
      </c>
      <c r="BT341" s="24" t="str">
        <f>IF(IF(G341+H341-1&lt;=29,MAX(ROUND((G341+H341-1)*(29+SlipWeeks)/29,0),$I341),G341+H341-1+SlipWeeks)&gt;61,"▶ clipped","")</f>
        <v/>
      </c>
      <c r="BU341" s="29" t="s">
        <v>925</v>
      </c>
    </row>
    <row r="342" spans="1:73" ht="34" outlineLevel="1" x14ac:dyDescent="0.2">
      <c r="A342" s="6" t="s">
        <v>926</v>
      </c>
      <c r="B342" s="25" t="s">
        <v>927</v>
      </c>
      <c r="C342" s="6" t="s">
        <v>55</v>
      </c>
      <c r="D342" s="24" t="s">
        <v>128</v>
      </c>
      <c r="F342" s="6"/>
      <c r="G342" s="22">
        <v>10</v>
      </c>
      <c r="H342" s="22">
        <v>2</v>
      </c>
      <c r="I342" s="22">
        <f>MEDIAN($I$341,$J$341,$I$341+ROUND((G342-$G$341)/$H$341*($J$341-$I$341+1),0))</f>
        <v>10</v>
      </c>
      <c r="J342" s="22">
        <f>MEDIAN(I342,$J$341,$I$341+ROUND((G342+H342-$G$341)/$H$341*($J$341-$I$341+1),0)-1)</f>
        <v>11</v>
      </c>
      <c r="K342" s="23" t="str">
        <f t="shared" si="346"/>
        <v/>
      </c>
      <c r="L342" s="23" t="str">
        <f t="shared" si="346"/>
        <v/>
      </c>
      <c r="M342" s="23" t="str">
        <f t="shared" si="346"/>
        <v/>
      </c>
      <c r="N342" s="23" t="str">
        <f t="shared" si="346"/>
        <v/>
      </c>
      <c r="O342" s="23" t="str">
        <f t="shared" si="346"/>
        <v/>
      </c>
      <c r="P342" s="23" t="str">
        <f t="shared" si="346"/>
        <v/>
      </c>
      <c r="Q342" s="23" t="str">
        <f t="shared" si="346"/>
        <v/>
      </c>
      <c r="R342" s="23" t="str">
        <f t="shared" si="346"/>
        <v/>
      </c>
      <c r="S342" s="23" t="str">
        <f t="shared" si="346"/>
        <v/>
      </c>
      <c r="T342" s="23">
        <f t="shared" si="346"/>
        <v>1</v>
      </c>
      <c r="U342" s="23">
        <f t="shared" si="347"/>
        <v>1</v>
      </c>
      <c r="V342" s="23" t="str">
        <f t="shared" si="347"/>
        <v/>
      </c>
      <c r="W342" s="23" t="str">
        <f t="shared" si="347"/>
        <v/>
      </c>
      <c r="X342" s="23" t="str">
        <f t="shared" si="347"/>
        <v/>
      </c>
      <c r="Y342" s="23" t="str">
        <f t="shared" si="347"/>
        <v/>
      </c>
      <c r="Z342" s="23" t="str">
        <f t="shared" si="347"/>
        <v/>
      </c>
      <c r="AA342" s="23" t="str">
        <f t="shared" si="347"/>
        <v/>
      </c>
      <c r="AB342" s="23" t="str">
        <f t="shared" si="347"/>
        <v/>
      </c>
      <c r="AC342" s="23" t="str">
        <f t="shared" si="347"/>
        <v/>
      </c>
      <c r="AD342" s="23" t="str">
        <f t="shared" si="347"/>
        <v/>
      </c>
      <c r="AE342" s="23" t="str">
        <f t="shared" si="348"/>
        <v/>
      </c>
      <c r="AF342" s="23" t="str">
        <f t="shared" si="348"/>
        <v/>
      </c>
      <c r="AG342" s="23" t="str">
        <f t="shared" si="348"/>
        <v/>
      </c>
      <c r="AH342" s="23" t="str">
        <f t="shared" si="348"/>
        <v/>
      </c>
      <c r="AI342" s="23" t="str">
        <f t="shared" si="348"/>
        <v/>
      </c>
      <c r="AJ342" s="23" t="str">
        <f t="shared" si="348"/>
        <v/>
      </c>
      <c r="AK342" s="23" t="str">
        <f t="shared" si="348"/>
        <v/>
      </c>
      <c r="AL342" s="23" t="str">
        <f t="shared" si="348"/>
        <v/>
      </c>
      <c r="AM342" s="23" t="str">
        <f t="shared" si="348"/>
        <v/>
      </c>
      <c r="AN342" s="23" t="str">
        <f t="shared" si="348"/>
        <v/>
      </c>
      <c r="AO342" s="23" t="str">
        <f t="shared" si="349"/>
        <v/>
      </c>
      <c r="AP342" s="23" t="str">
        <f t="shared" si="349"/>
        <v/>
      </c>
      <c r="AQ342" s="23" t="str">
        <f t="shared" si="349"/>
        <v/>
      </c>
      <c r="AR342" s="23" t="str">
        <f t="shared" si="349"/>
        <v/>
      </c>
      <c r="AS342" s="23" t="str">
        <f t="shared" si="349"/>
        <v/>
      </c>
      <c r="AT342" s="23" t="str">
        <f t="shared" si="349"/>
        <v/>
      </c>
      <c r="AU342" s="23" t="str">
        <f t="shared" si="349"/>
        <v/>
      </c>
      <c r="AV342" s="23" t="str">
        <f t="shared" si="349"/>
        <v/>
      </c>
      <c r="AW342" s="23" t="str">
        <f t="shared" si="349"/>
        <v/>
      </c>
      <c r="AX342" s="23" t="str">
        <f t="shared" si="349"/>
        <v/>
      </c>
      <c r="AY342" s="23" t="str">
        <f t="shared" si="350"/>
        <v/>
      </c>
      <c r="AZ342" s="23" t="str">
        <f t="shared" si="350"/>
        <v/>
      </c>
      <c r="BA342" s="23" t="str">
        <f t="shared" si="350"/>
        <v/>
      </c>
      <c r="BB342" s="23" t="str">
        <f t="shared" si="350"/>
        <v/>
      </c>
      <c r="BC342" s="23" t="str">
        <f t="shared" si="350"/>
        <v/>
      </c>
      <c r="BD342" s="23" t="str">
        <f t="shared" si="350"/>
        <v/>
      </c>
      <c r="BE342" s="23" t="str">
        <f t="shared" si="350"/>
        <v/>
      </c>
      <c r="BF342" s="23" t="str">
        <f t="shared" si="350"/>
        <v/>
      </c>
      <c r="BG342" s="23" t="str">
        <f t="shared" si="350"/>
        <v/>
      </c>
      <c r="BH342" s="23" t="str">
        <f t="shared" si="350"/>
        <v/>
      </c>
      <c r="BI342" s="23" t="str">
        <f t="shared" si="351"/>
        <v/>
      </c>
      <c r="BJ342" s="23" t="str">
        <f t="shared" si="351"/>
        <v/>
      </c>
      <c r="BK342" s="23" t="str">
        <f t="shared" si="351"/>
        <v/>
      </c>
      <c r="BL342" s="23" t="str">
        <f t="shared" si="351"/>
        <v/>
      </c>
      <c r="BM342" s="23" t="str">
        <f t="shared" si="351"/>
        <v/>
      </c>
      <c r="BN342" s="23" t="str">
        <f t="shared" si="351"/>
        <v/>
      </c>
      <c r="BO342" s="23" t="str">
        <f t="shared" si="351"/>
        <v/>
      </c>
      <c r="BP342" s="23" t="str">
        <f t="shared" si="351"/>
        <v/>
      </c>
      <c r="BQ342" s="23" t="str">
        <f t="shared" si="351"/>
        <v/>
      </c>
      <c r="BR342" s="23" t="str">
        <f t="shared" si="351"/>
        <v/>
      </c>
      <c r="BS342" s="23" t="str">
        <f t="shared" si="351"/>
        <v/>
      </c>
      <c r="BU342" s="29" t="s">
        <v>818</v>
      </c>
    </row>
    <row r="343" spans="1:73" ht="17" outlineLevel="1" x14ac:dyDescent="0.2">
      <c r="A343" s="6" t="s">
        <v>928</v>
      </c>
      <c r="B343" s="25" t="s">
        <v>929</v>
      </c>
      <c r="C343" s="6" t="s">
        <v>55</v>
      </c>
      <c r="D343" s="24" t="s">
        <v>128</v>
      </c>
      <c r="F343" s="6"/>
      <c r="G343" s="22">
        <v>12</v>
      </c>
      <c r="H343" s="22">
        <v>2</v>
      </c>
      <c r="I343" s="22">
        <f>MEDIAN($I$341,$J$341,$I$341+ROUND((G343-$G$341)/$H$341*($J$341-$I$341+1),0))</f>
        <v>12</v>
      </c>
      <c r="J343" s="22">
        <f>MEDIAN(I343,$J$341,$I$341+ROUND((G343+H343-$G$341)/$H$341*($J$341-$I$341+1),0)-1)</f>
        <v>13</v>
      </c>
      <c r="K343" s="23" t="str">
        <f t="shared" si="346"/>
        <v/>
      </c>
      <c r="L343" s="23" t="str">
        <f t="shared" si="346"/>
        <v/>
      </c>
      <c r="M343" s="23" t="str">
        <f t="shared" si="346"/>
        <v/>
      </c>
      <c r="N343" s="23" t="str">
        <f t="shared" si="346"/>
        <v/>
      </c>
      <c r="O343" s="23" t="str">
        <f t="shared" si="346"/>
        <v/>
      </c>
      <c r="P343" s="23" t="str">
        <f t="shared" si="346"/>
        <v/>
      </c>
      <c r="Q343" s="23" t="str">
        <f t="shared" si="346"/>
        <v/>
      </c>
      <c r="R343" s="23" t="str">
        <f t="shared" si="346"/>
        <v/>
      </c>
      <c r="S343" s="23" t="str">
        <f t="shared" si="346"/>
        <v/>
      </c>
      <c r="T343" s="23" t="str">
        <f t="shared" si="346"/>
        <v/>
      </c>
      <c r="U343" s="23" t="str">
        <f t="shared" si="347"/>
        <v/>
      </c>
      <c r="V343" s="23">
        <f t="shared" si="347"/>
        <v>1</v>
      </c>
      <c r="W343" s="23">
        <f t="shared" si="347"/>
        <v>1</v>
      </c>
      <c r="X343" s="23" t="str">
        <f t="shared" si="347"/>
        <v/>
      </c>
      <c r="Y343" s="23" t="str">
        <f t="shared" si="347"/>
        <v/>
      </c>
      <c r="Z343" s="23" t="str">
        <f t="shared" si="347"/>
        <v/>
      </c>
      <c r="AA343" s="23" t="str">
        <f t="shared" si="347"/>
        <v/>
      </c>
      <c r="AB343" s="23" t="str">
        <f t="shared" si="347"/>
        <v/>
      </c>
      <c r="AC343" s="23" t="str">
        <f t="shared" si="347"/>
        <v/>
      </c>
      <c r="AD343" s="23" t="str">
        <f t="shared" si="347"/>
        <v/>
      </c>
      <c r="AE343" s="23" t="str">
        <f t="shared" si="348"/>
        <v/>
      </c>
      <c r="AF343" s="23" t="str">
        <f t="shared" si="348"/>
        <v/>
      </c>
      <c r="AG343" s="23" t="str">
        <f t="shared" si="348"/>
        <v/>
      </c>
      <c r="AH343" s="23" t="str">
        <f t="shared" si="348"/>
        <v/>
      </c>
      <c r="AI343" s="23" t="str">
        <f t="shared" si="348"/>
        <v/>
      </c>
      <c r="AJ343" s="23" t="str">
        <f t="shared" si="348"/>
        <v/>
      </c>
      <c r="AK343" s="23" t="str">
        <f t="shared" si="348"/>
        <v/>
      </c>
      <c r="AL343" s="23" t="str">
        <f t="shared" si="348"/>
        <v/>
      </c>
      <c r="AM343" s="23" t="str">
        <f t="shared" si="348"/>
        <v/>
      </c>
      <c r="AN343" s="23" t="str">
        <f t="shared" si="348"/>
        <v/>
      </c>
      <c r="AO343" s="23" t="str">
        <f t="shared" si="349"/>
        <v/>
      </c>
      <c r="AP343" s="23" t="str">
        <f t="shared" si="349"/>
        <v/>
      </c>
      <c r="AQ343" s="23" t="str">
        <f t="shared" si="349"/>
        <v/>
      </c>
      <c r="AR343" s="23" t="str">
        <f t="shared" si="349"/>
        <v/>
      </c>
      <c r="AS343" s="23" t="str">
        <f t="shared" si="349"/>
        <v/>
      </c>
      <c r="AT343" s="23" t="str">
        <f t="shared" si="349"/>
        <v/>
      </c>
      <c r="AU343" s="23" t="str">
        <f t="shared" si="349"/>
        <v/>
      </c>
      <c r="AV343" s="23" t="str">
        <f t="shared" si="349"/>
        <v/>
      </c>
      <c r="AW343" s="23" t="str">
        <f t="shared" si="349"/>
        <v/>
      </c>
      <c r="AX343" s="23" t="str">
        <f t="shared" si="349"/>
        <v/>
      </c>
      <c r="AY343" s="23" t="str">
        <f t="shared" si="350"/>
        <v/>
      </c>
      <c r="AZ343" s="23" t="str">
        <f t="shared" si="350"/>
        <v/>
      </c>
      <c r="BA343" s="23" t="str">
        <f t="shared" si="350"/>
        <v/>
      </c>
      <c r="BB343" s="23" t="str">
        <f t="shared" si="350"/>
        <v/>
      </c>
      <c r="BC343" s="23" t="str">
        <f t="shared" si="350"/>
        <v/>
      </c>
      <c r="BD343" s="23" t="str">
        <f t="shared" si="350"/>
        <v/>
      </c>
      <c r="BE343" s="23" t="str">
        <f t="shared" si="350"/>
        <v/>
      </c>
      <c r="BF343" s="23" t="str">
        <f t="shared" si="350"/>
        <v/>
      </c>
      <c r="BG343" s="23" t="str">
        <f t="shared" si="350"/>
        <v/>
      </c>
      <c r="BH343" s="23" t="str">
        <f t="shared" si="350"/>
        <v/>
      </c>
      <c r="BI343" s="23" t="str">
        <f t="shared" si="351"/>
        <v/>
      </c>
      <c r="BJ343" s="23" t="str">
        <f t="shared" si="351"/>
        <v/>
      </c>
      <c r="BK343" s="23" t="str">
        <f t="shared" si="351"/>
        <v/>
      </c>
      <c r="BL343" s="23" t="str">
        <f t="shared" si="351"/>
        <v/>
      </c>
      <c r="BM343" s="23" t="str">
        <f t="shared" si="351"/>
        <v/>
      </c>
      <c r="BN343" s="23" t="str">
        <f t="shared" si="351"/>
        <v/>
      </c>
      <c r="BO343" s="23" t="str">
        <f t="shared" si="351"/>
        <v/>
      </c>
      <c r="BP343" s="23" t="str">
        <f t="shared" si="351"/>
        <v/>
      </c>
      <c r="BQ343" s="23" t="str">
        <f t="shared" si="351"/>
        <v/>
      </c>
      <c r="BR343" s="23" t="str">
        <f t="shared" si="351"/>
        <v/>
      </c>
      <c r="BS343" s="23" t="str">
        <f t="shared" si="351"/>
        <v/>
      </c>
      <c r="BU343" s="29" t="s">
        <v>818</v>
      </c>
    </row>
    <row r="344" spans="1:73" ht="17" outlineLevel="1" x14ac:dyDescent="0.2">
      <c r="A344" s="6" t="s">
        <v>930</v>
      </c>
      <c r="B344" s="25" t="s">
        <v>906</v>
      </c>
      <c r="C344" s="6" t="s">
        <v>55</v>
      </c>
      <c r="D344" s="24" t="s">
        <v>128</v>
      </c>
      <c r="F344" s="6"/>
      <c r="G344" s="22">
        <v>14</v>
      </c>
      <c r="H344" s="22">
        <v>2</v>
      </c>
      <c r="I344" s="22">
        <f>MEDIAN($I$341,$J$341,$I$341+ROUND((G344-$G$341)/$H$341*($J$341-$I$341+1),0))</f>
        <v>14</v>
      </c>
      <c r="J344" s="22">
        <f>MEDIAN(I344,$J$341,$I$341+ROUND((G344+H344-$G$341)/$H$341*($J$341-$I$341+1),0)-1)</f>
        <v>15</v>
      </c>
      <c r="K344" s="23" t="str">
        <f t="shared" si="346"/>
        <v/>
      </c>
      <c r="L344" s="23" t="str">
        <f t="shared" si="346"/>
        <v/>
      </c>
      <c r="M344" s="23" t="str">
        <f t="shared" si="346"/>
        <v/>
      </c>
      <c r="N344" s="23" t="str">
        <f t="shared" si="346"/>
        <v/>
      </c>
      <c r="O344" s="23" t="str">
        <f t="shared" si="346"/>
        <v/>
      </c>
      <c r="P344" s="23" t="str">
        <f t="shared" si="346"/>
        <v/>
      </c>
      <c r="Q344" s="23" t="str">
        <f t="shared" si="346"/>
        <v/>
      </c>
      <c r="R344" s="23" t="str">
        <f t="shared" si="346"/>
        <v/>
      </c>
      <c r="S344" s="23" t="str">
        <f t="shared" si="346"/>
        <v/>
      </c>
      <c r="T344" s="23" t="str">
        <f t="shared" si="346"/>
        <v/>
      </c>
      <c r="U344" s="23" t="str">
        <f t="shared" si="347"/>
        <v/>
      </c>
      <c r="V344" s="23" t="str">
        <f t="shared" si="347"/>
        <v/>
      </c>
      <c r="W344" s="23" t="str">
        <f t="shared" si="347"/>
        <v/>
      </c>
      <c r="X344" s="23">
        <f t="shared" si="347"/>
        <v>1</v>
      </c>
      <c r="Y344" s="23">
        <f t="shared" si="347"/>
        <v>1</v>
      </c>
      <c r="Z344" s="23" t="str">
        <f t="shared" si="347"/>
        <v/>
      </c>
      <c r="AA344" s="23" t="str">
        <f t="shared" si="347"/>
        <v/>
      </c>
      <c r="AB344" s="23" t="str">
        <f t="shared" si="347"/>
        <v/>
      </c>
      <c r="AC344" s="23" t="str">
        <f t="shared" si="347"/>
        <v/>
      </c>
      <c r="AD344" s="23" t="str">
        <f t="shared" si="347"/>
        <v/>
      </c>
      <c r="AE344" s="23" t="str">
        <f t="shared" si="348"/>
        <v/>
      </c>
      <c r="AF344" s="23" t="str">
        <f t="shared" si="348"/>
        <v/>
      </c>
      <c r="AG344" s="23" t="str">
        <f t="shared" si="348"/>
        <v/>
      </c>
      <c r="AH344" s="23" t="str">
        <f t="shared" si="348"/>
        <v/>
      </c>
      <c r="AI344" s="23" t="str">
        <f t="shared" si="348"/>
        <v/>
      </c>
      <c r="AJ344" s="23" t="str">
        <f t="shared" si="348"/>
        <v/>
      </c>
      <c r="AK344" s="23" t="str">
        <f t="shared" si="348"/>
        <v/>
      </c>
      <c r="AL344" s="23" t="str">
        <f t="shared" si="348"/>
        <v/>
      </c>
      <c r="AM344" s="23" t="str">
        <f t="shared" si="348"/>
        <v/>
      </c>
      <c r="AN344" s="23" t="str">
        <f t="shared" si="348"/>
        <v/>
      </c>
      <c r="AO344" s="23" t="str">
        <f t="shared" si="349"/>
        <v/>
      </c>
      <c r="AP344" s="23" t="str">
        <f t="shared" si="349"/>
        <v/>
      </c>
      <c r="AQ344" s="23" t="str">
        <f t="shared" si="349"/>
        <v/>
      </c>
      <c r="AR344" s="23" t="str">
        <f t="shared" si="349"/>
        <v/>
      </c>
      <c r="AS344" s="23" t="str">
        <f t="shared" si="349"/>
        <v/>
      </c>
      <c r="AT344" s="23" t="str">
        <f t="shared" si="349"/>
        <v/>
      </c>
      <c r="AU344" s="23" t="str">
        <f t="shared" si="349"/>
        <v/>
      </c>
      <c r="AV344" s="23" t="str">
        <f t="shared" si="349"/>
        <v/>
      </c>
      <c r="AW344" s="23" t="str">
        <f t="shared" si="349"/>
        <v/>
      </c>
      <c r="AX344" s="23" t="str">
        <f t="shared" si="349"/>
        <v/>
      </c>
      <c r="AY344" s="23" t="str">
        <f t="shared" si="350"/>
        <v/>
      </c>
      <c r="AZ344" s="23" t="str">
        <f t="shared" si="350"/>
        <v/>
      </c>
      <c r="BA344" s="23" t="str">
        <f t="shared" si="350"/>
        <v/>
      </c>
      <c r="BB344" s="23" t="str">
        <f t="shared" si="350"/>
        <v/>
      </c>
      <c r="BC344" s="23" t="str">
        <f t="shared" si="350"/>
        <v/>
      </c>
      <c r="BD344" s="23" t="str">
        <f t="shared" si="350"/>
        <v/>
      </c>
      <c r="BE344" s="23" t="str">
        <f t="shared" si="350"/>
        <v/>
      </c>
      <c r="BF344" s="23" t="str">
        <f t="shared" si="350"/>
        <v/>
      </c>
      <c r="BG344" s="23" t="str">
        <f t="shared" si="350"/>
        <v/>
      </c>
      <c r="BH344" s="23" t="str">
        <f t="shared" si="350"/>
        <v/>
      </c>
      <c r="BI344" s="23" t="str">
        <f t="shared" si="351"/>
        <v/>
      </c>
      <c r="BJ344" s="23" t="str">
        <f t="shared" si="351"/>
        <v/>
      </c>
      <c r="BK344" s="23" t="str">
        <f t="shared" si="351"/>
        <v/>
      </c>
      <c r="BL344" s="23" t="str">
        <f t="shared" si="351"/>
        <v/>
      </c>
      <c r="BM344" s="23" t="str">
        <f t="shared" si="351"/>
        <v/>
      </c>
      <c r="BN344" s="23" t="str">
        <f t="shared" si="351"/>
        <v/>
      </c>
      <c r="BO344" s="23" t="str">
        <f t="shared" si="351"/>
        <v/>
      </c>
      <c r="BP344" s="23" t="str">
        <f t="shared" si="351"/>
        <v/>
      </c>
      <c r="BQ344" s="23" t="str">
        <f t="shared" si="351"/>
        <v/>
      </c>
      <c r="BR344" s="23" t="str">
        <f t="shared" si="351"/>
        <v/>
      </c>
      <c r="BS344" s="23" t="str">
        <f t="shared" si="351"/>
        <v/>
      </c>
      <c r="BU344" s="29" t="s">
        <v>818</v>
      </c>
    </row>
    <row r="345" spans="1:73" ht="34" outlineLevel="1" x14ac:dyDescent="0.2">
      <c r="A345" s="6" t="s">
        <v>931</v>
      </c>
      <c r="B345" s="25" t="s">
        <v>932</v>
      </c>
      <c r="C345" s="6" t="s">
        <v>55</v>
      </c>
      <c r="D345" s="24" t="s">
        <v>128</v>
      </c>
      <c r="F345" s="6"/>
      <c r="G345" s="22">
        <v>16</v>
      </c>
      <c r="H345" s="22">
        <v>1</v>
      </c>
      <c r="I345" s="22">
        <f>MEDIAN($I$341,$J$341,$I$341+ROUND((G345-$G$341)/$H$341*($J$341-$I$341+1),0))</f>
        <v>16</v>
      </c>
      <c r="J345" s="22">
        <f>MEDIAN(I345,$J$341,$I$341+ROUND((G345+H345-$G$341)/$H$341*($J$341-$I$341+1),0)-1)</f>
        <v>16</v>
      </c>
      <c r="K345" s="23" t="str">
        <f t="shared" si="346"/>
        <v/>
      </c>
      <c r="L345" s="23" t="str">
        <f t="shared" si="346"/>
        <v/>
      </c>
      <c r="M345" s="23" t="str">
        <f t="shared" si="346"/>
        <v/>
      </c>
      <c r="N345" s="23" t="str">
        <f t="shared" si="346"/>
        <v/>
      </c>
      <c r="O345" s="23" t="str">
        <f t="shared" si="346"/>
        <v/>
      </c>
      <c r="P345" s="23" t="str">
        <f t="shared" si="346"/>
        <v/>
      </c>
      <c r="Q345" s="23" t="str">
        <f t="shared" si="346"/>
        <v/>
      </c>
      <c r="R345" s="23" t="str">
        <f t="shared" si="346"/>
        <v/>
      </c>
      <c r="S345" s="23" t="str">
        <f t="shared" si="346"/>
        <v/>
      </c>
      <c r="T345" s="23" t="str">
        <f t="shared" si="346"/>
        <v/>
      </c>
      <c r="U345" s="23" t="str">
        <f t="shared" si="347"/>
        <v/>
      </c>
      <c r="V345" s="23" t="str">
        <f t="shared" si="347"/>
        <v/>
      </c>
      <c r="W345" s="23" t="str">
        <f t="shared" si="347"/>
        <v/>
      </c>
      <c r="X345" s="23" t="str">
        <f t="shared" si="347"/>
        <v/>
      </c>
      <c r="Y345" s="23" t="str">
        <f t="shared" si="347"/>
        <v/>
      </c>
      <c r="Z345" s="23">
        <f t="shared" si="347"/>
        <v>1</v>
      </c>
      <c r="AA345" s="23" t="str">
        <f t="shared" si="347"/>
        <v/>
      </c>
      <c r="AB345" s="23" t="str">
        <f t="shared" si="347"/>
        <v/>
      </c>
      <c r="AC345" s="23" t="str">
        <f t="shared" si="347"/>
        <v/>
      </c>
      <c r="AD345" s="23" t="str">
        <f t="shared" si="347"/>
        <v/>
      </c>
      <c r="AE345" s="23" t="str">
        <f t="shared" si="348"/>
        <v/>
      </c>
      <c r="AF345" s="23" t="str">
        <f t="shared" si="348"/>
        <v/>
      </c>
      <c r="AG345" s="23" t="str">
        <f t="shared" si="348"/>
        <v/>
      </c>
      <c r="AH345" s="23" t="str">
        <f t="shared" si="348"/>
        <v/>
      </c>
      <c r="AI345" s="23" t="str">
        <f t="shared" si="348"/>
        <v/>
      </c>
      <c r="AJ345" s="23" t="str">
        <f t="shared" si="348"/>
        <v/>
      </c>
      <c r="AK345" s="23" t="str">
        <f t="shared" si="348"/>
        <v/>
      </c>
      <c r="AL345" s="23" t="str">
        <f t="shared" si="348"/>
        <v/>
      </c>
      <c r="AM345" s="23" t="str">
        <f t="shared" si="348"/>
        <v/>
      </c>
      <c r="AN345" s="23" t="str">
        <f t="shared" si="348"/>
        <v/>
      </c>
      <c r="AO345" s="23" t="str">
        <f t="shared" si="349"/>
        <v/>
      </c>
      <c r="AP345" s="23" t="str">
        <f t="shared" si="349"/>
        <v/>
      </c>
      <c r="AQ345" s="23" t="str">
        <f t="shared" si="349"/>
        <v/>
      </c>
      <c r="AR345" s="23" t="str">
        <f t="shared" si="349"/>
        <v/>
      </c>
      <c r="AS345" s="23" t="str">
        <f t="shared" si="349"/>
        <v/>
      </c>
      <c r="AT345" s="23" t="str">
        <f t="shared" si="349"/>
        <v/>
      </c>
      <c r="AU345" s="23" t="str">
        <f t="shared" si="349"/>
        <v/>
      </c>
      <c r="AV345" s="23" t="str">
        <f t="shared" si="349"/>
        <v/>
      </c>
      <c r="AW345" s="23" t="str">
        <f t="shared" si="349"/>
        <v/>
      </c>
      <c r="AX345" s="23" t="str">
        <f t="shared" si="349"/>
        <v/>
      </c>
      <c r="AY345" s="23" t="str">
        <f t="shared" si="350"/>
        <v/>
      </c>
      <c r="AZ345" s="23" t="str">
        <f t="shared" si="350"/>
        <v/>
      </c>
      <c r="BA345" s="23" t="str">
        <f t="shared" si="350"/>
        <v/>
      </c>
      <c r="BB345" s="23" t="str">
        <f t="shared" si="350"/>
        <v/>
      </c>
      <c r="BC345" s="23" t="str">
        <f t="shared" si="350"/>
        <v/>
      </c>
      <c r="BD345" s="23" t="str">
        <f t="shared" si="350"/>
        <v/>
      </c>
      <c r="BE345" s="23" t="str">
        <f t="shared" si="350"/>
        <v/>
      </c>
      <c r="BF345" s="23" t="str">
        <f t="shared" si="350"/>
        <v/>
      </c>
      <c r="BG345" s="23" t="str">
        <f t="shared" si="350"/>
        <v/>
      </c>
      <c r="BH345" s="23" t="str">
        <f t="shared" si="350"/>
        <v/>
      </c>
      <c r="BI345" s="23" t="str">
        <f t="shared" si="351"/>
        <v/>
      </c>
      <c r="BJ345" s="23" t="str">
        <f t="shared" si="351"/>
        <v/>
      </c>
      <c r="BK345" s="23" t="str">
        <f t="shared" si="351"/>
        <v/>
      </c>
      <c r="BL345" s="23" t="str">
        <f t="shared" si="351"/>
        <v/>
      </c>
      <c r="BM345" s="23" t="str">
        <f t="shared" si="351"/>
        <v/>
      </c>
      <c r="BN345" s="23" t="str">
        <f t="shared" si="351"/>
        <v/>
      </c>
      <c r="BO345" s="23" t="str">
        <f t="shared" si="351"/>
        <v/>
      </c>
      <c r="BP345" s="23" t="str">
        <f t="shared" si="351"/>
        <v/>
      </c>
      <c r="BQ345" s="23" t="str">
        <f t="shared" si="351"/>
        <v/>
      </c>
      <c r="BR345" s="23" t="str">
        <f t="shared" si="351"/>
        <v/>
      </c>
      <c r="BS345" s="23" t="str">
        <f t="shared" si="351"/>
        <v/>
      </c>
      <c r="BU345" s="29" t="s">
        <v>818</v>
      </c>
    </row>
    <row r="346" spans="1:73" ht="34" outlineLevel="1" x14ac:dyDescent="0.2">
      <c r="A346" s="6" t="s">
        <v>933</v>
      </c>
      <c r="B346" s="25" t="s">
        <v>934</v>
      </c>
      <c r="C346" s="6" t="s">
        <v>55</v>
      </c>
      <c r="D346" s="24" t="s">
        <v>128</v>
      </c>
      <c r="F346" s="6"/>
      <c r="G346" s="22">
        <v>17</v>
      </c>
      <c r="H346" s="22">
        <v>1</v>
      </c>
      <c r="I346" s="22">
        <f>MEDIAN($I$341,$J$341,$I$341+ROUND((G346-$G$341)/$H$341*($J$341-$I$341+1),0))</f>
        <v>17</v>
      </c>
      <c r="J346" s="22">
        <f>MEDIAN(I346,$J$341,$I$341+ROUND((G346+H346-$G$341)/$H$341*($J$341-$I$341+1),0)-1)</f>
        <v>17</v>
      </c>
      <c r="K346" s="23" t="str">
        <f t="shared" si="346"/>
        <v/>
      </c>
      <c r="L346" s="23" t="str">
        <f t="shared" si="346"/>
        <v/>
      </c>
      <c r="M346" s="23" t="str">
        <f t="shared" si="346"/>
        <v/>
      </c>
      <c r="N346" s="23" t="str">
        <f t="shared" si="346"/>
        <v/>
      </c>
      <c r="O346" s="23" t="str">
        <f t="shared" si="346"/>
        <v/>
      </c>
      <c r="P346" s="23" t="str">
        <f t="shared" si="346"/>
        <v/>
      </c>
      <c r="Q346" s="23" t="str">
        <f t="shared" si="346"/>
        <v/>
      </c>
      <c r="R346" s="23" t="str">
        <f t="shared" si="346"/>
        <v/>
      </c>
      <c r="S346" s="23" t="str">
        <f t="shared" si="346"/>
        <v/>
      </c>
      <c r="T346" s="23" t="str">
        <f t="shared" si="346"/>
        <v/>
      </c>
      <c r="U346" s="23" t="str">
        <f t="shared" si="347"/>
        <v/>
      </c>
      <c r="V346" s="23" t="str">
        <f t="shared" si="347"/>
        <v/>
      </c>
      <c r="W346" s="23" t="str">
        <f t="shared" si="347"/>
        <v/>
      </c>
      <c r="X346" s="23" t="str">
        <f t="shared" si="347"/>
        <v/>
      </c>
      <c r="Y346" s="23" t="str">
        <f t="shared" si="347"/>
        <v/>
      </c>
      <c r="Z346" s="23" t="str">
        <f t="shared" si="347"/>
        <v/>
      </c>
      <c r="AA346" s="23">
        <f t="shared" si="347"/>
        <v>1</v>
      </c>
      <c r="AB346" s="23" t="str">
        <f t="shared" si="347"/>
        <v/>
      </c>
      <c r="AC346" s="23" t="str">
        <f t="shared" si="347"/>
        <v/>
      </c>
      <c r="AD346" s="23" t="str">
        <f t="shared" si="347"/>
        <v/>
      </c>
      <c r="AE346" s="23" t="str">
        <f t="shared" si="348"/>
        <v/>
      </c>
      <c r="AF346" s="23" t="str">
        <f t="shared" si="348"/>
        <v/>
      </c>
      <c r="AG346" s="23" t="str">
        <f t="shared" si="348"/>
        <v/>
      </c>
      <c r="AH346" s="23" t="str">
        <f t="shared" si="348"/>
        <v/>
      </c>
      <c r="AI346" s="23" t="str">
        <f t="shared" si="348"/>
        <v/>
      </c>
      <c r="AJ346" s="23" t="str">
        <f t="shared" si="348"/>
        <v/>
      </c>
      <c r="AK346" s="23" t="str">
        <f t="shared" si="348"/>
        <v/>
      </c>
      <c r="AL346" s="23" t="str">
        <f t="shared" si="348"/>
        <v/>
      </c>
      <c r="AM346" s="23" t="str">
        <f t="shared" si="348"/>
        <v/>
      </c>
      <c r="AN346" s="23" t="str">
        <f t="shared" si="348"/>
        <v/>
      </c>
      <c r="AO346" s="23" t="str">
        <f t="shared" si="349"/>
        <v/>
      </c>
      <c r="AP346" s="23" t="str">
        <f t="shared" si="349"/>
        <v/>
      </c>
      <c r="AQ346" s="23" t="str">
        <f t="shared" si="349"/>
        <v/>
      </c>
      <c r="AR346" s="23" t="str">
        <f t="shared" si="349"/>
        <v/>
      </c>
      <c r="AS346" s="23" t="str">
        <f t="shared" si="349"/>
        <v/>
      </c>
      <c r="AT346" s="23" t="str">
        <f t="shared" si="349"/>
        <v/>
      </c>
      <c r="AU346" s="23" t="str">
        <f t="shared" si="349"/>
        <v/>
      </c>
      <c r="AV346" s="23" t="str">
        <f t="shared" si="349"/>
        <v/>
      </c>
      <c r="AW346" s="23" t="str">
        <f t="shared" si="349"/>
        <v/>
      </c>
      <c r="AX346" s="23" t="str">
        <f t="shared" si="349"/>
        <v/>
      </c>
      <c r="AY346" s="23" t="str">
        <f t="shared" si="350"/>
        <v/>
      </c>
      <c r="AZ346" s="23" t="str">
        <f t="shared" si="350"/>
        <v/>
      </c>
      <c r="BA346" s="23" t="str">
        <f t="shared" si="350"/>
        <v/>
      </c>
      <c r="BB346" s="23" t="str">
        <f t="shared" si="350"/>
        <v/>
      </c>
      <c r="BC346" s="23" t="str">
        <f t="shared" si="350"/>
        <v/>
      </c>
      <c r="BD346" s="23" t="str">
        <f t="shared" si="350"/>
        <v/>
      </c>
      <c r="BE346" s="23" t="str">
        <f t="shared" si="350"/>
        <v/>
      </c>
      <c r="BF346" s="23" t="str">
        <f t="shared" si="350"/>
        <v/>
      </c>
      <c r="BG346" s="23" t="str">
        <f t="shared" si="350"/>
        <v/>
      </c>
      <c r="BH346" s="23" t="str">
        <f t="shared" si="350"/>
        <v/>
      </c>
      <c r="BI346" s="23" t="str">
        <f t="shared" si="351"/>
        <v/>
      </c>
      <c r="BJ346" s="23" t="str">
        <f t="shared" si="351"/>
        <v/>
      </c>
      <c r="BK346" s="23" t="str">
        <f t="shared" si="351"/>
        <v/>
      </c>
      <c r="BL346" s="23" t="str">
        <f t="shared" si="351"/>
        <v/>
      </c>
      <c r="BM346" s="23" t="str">
        <f t="shared" si="351"/>
        <v/>
      </c>
      <c r="BN346" s="23" t="str">
        <f t="shared" si="351"/>
        <v/>
      </c>
      <c r="BO346" s="23" t="str">
        <f t="shared" si="351"/>
        <v/>
      </c>
      <c r="BP346" s="23" t="str">
        <f t="shared" si="351"/>
        <v/>
      </c>
      <c r="BQ346" s="23" t="str">
        <f t="shared" si="351"/>
        <v/>
      </c>
      <c r="BR346" s="23" t="str">
        <f t="shared" si="351"/>
        <v/>
      </c>
      <c r="BS346" s="23" t="str">
        <f t="shared" si="351"/>
        <v/>
      </c>
      <c r="BU346" s="29" t="s">
        <v>818</v>
      </c>
    </row>
    <row r="347" spans="1:73" x14ac:dyDescent="0.2">
      <c r="BU347" s="30"/>
    </row>
    <row r="348" spans="1:73" ht="34" x14ac:dyDescent="0.2">
      <c r="A348" s="19" t="s">
        <v>935</v>
      </c>
      <c r="B348" s="20" t="s">
        <v>936</v>
      </c>
      <c r="C348" s="19" t="s">
        <v>55</v>
      </c>
      <c r="D348" s="21" t="s">
        <v>128</v>
      </c>
      <c r="E348" s="19" t="s">
        <v>73</v>
      </c>
      <c r="F348" s="19" t="s">
        <v>850</v>
      </c>
      <c r="G348" s="22">
        <v>18</v>
      </c>
      <c r="H348" s="22">
        <v>8</v>
      </c>
      <c r="I348" s="22">
        <f>MIN(61,IF(G348&lt;=29,ROUND((G348-1)*(29+SlipWeeks)/29,0)+1,G348+SlipWeeks))</f>
        <v>18</v>
      </c>
      <c r="J348" s="22">
        <f>MIN(61,IF(G348+H348-1&lt;=29,MAX(ROUND((G348+H348-1)*(29+SlipWeeks)/29,0),I348),G348+H348-1+SlipWeeks))</f>
        <v>25</v>
      </c>
      <c r="K348" s="23" t="str">
        <f t="shared" ref="K348:T353" si="352">IF(AND(K$4&gt;=$I348,K$4&lt;=$J348),1,"")</f>
        <v/>
      </c>
      <c r="L348" s="23" t="str">
        <f t="shared" si="352"/>
        <v/>
      </c>
      <c r="M348" s="23" t="str">
        <f t="shared" si="352"/>
        <v/>
      </c>
      <c r="N348" s="23" t="str">
        <f t="shared" si="352"/>
        <v/>
      </c>
      <c r="O348" s="23" t="str">
        <f t="shared" si="352"/>
        <v/>
      </c>
      <c r="P348" s="23" t="str">
        <f t="shared" si="352"/>
        <v/>
      </c>
      <c r="Q348" s="23" t="str">
        <f t="shared" si="352"/>
        <v/>
      </c>
      <c r="R348" s="23" t="str">
        <f t="shared" si="352"/>
        <v/>
      </c>
      <c r="S348" s="23" t="str">
        <f t="shared" si="352"/>
        <v/>
      </c>
      <c r="T348" s="23" t="str">
        <f t="shared" si="352"/>
        <v/>
      </c>
      <c r="U348" s="23" t="str">
        <f t="shared" ref="U348:AD353" si="353">IF(AND(U$4&gt;=$I348,U$4&lt;=$J348),1,"")</f>
        <v/>
      </c>
      <c r="V348" s="23" t="str">
        <f t="shared" si="353"/>
        <v/>
      </c>
      <c r="W348" s="23" t="str">
        <f t="shared" si="353"/>
        <v/>
      </c>
      <c r="X348" s="23" t="str">
        <f t="shared" si="353"/>
        <v/>
      </c>
      <c r="Y348" s="23" t="str">
        <f t="shared" si="353"/>
        <v/>
      </c>
      <c r="Z348" s="23" t="str">
        <f t="shared" si="353"/>
        <v/>
      </c>
      <c r="AA348" s="23" t="str">
        <f t="shared" si="353"/>
        <v/>
      </c>
      <c r="AB348" s="23">
        <f t="shared" si="353"/>
        <v>1</v>
      </c>
      <c r="AC348" s="23">
        <f t="shared" si="353"/>
        <v>1</v>
      </c>
      <c r="AD348" s="23">
        <f t="shared" si="353"/>
        <v>1</v>
      </c>
      <c r="AE348" s="23">
        <f t="shared" ref="AE348:AN353" si="354">IF(AND(AE$4&gt;=$I348,AE$4&lt;=$J348),1,"")</f>
        <v>1</v>
      </c>
      <c r="AF348" s="23">
        <f t="shared" si="354"/>
        <v>1</v>
      </c>
      <c r="AG348" s="23">
        <f t="shared" si="354"/>
        <v>1</v>
      </c>
      <c r="AH348" s="23">
        <f t="shared" si="354"/>
        <v>1</v>
      </c>
      <c r="AI348" s="23">
        <f t="shared" si="354"/>
        <v>1</v>
      </c>
      <c r="AJ348" s="23" t="str">
        <f t="shared" si="354"/>
        <v/>
      </c>
      <c r="AK348" s="23" t="str">
        <f t="shared" si="354"/>
        <v/>
      </c>
      <c r="AL348" s="23" t="str">
        <f t="shared" si="354"/>
        <v/>
      </c>
      <c r="AM348" s="23" t="str">
        <f t="shared" si="354"/>
        <v/>
      </c>
      <c r="AN348" s="23" t="str">
        <f t="shared" si="354"/>
        <v/>
      </c>
      <c r="AO348" s="23" t="str">
        <f t="shared" ref="AO348:AX353" si="355">IF(AND(AO$4&gt;=$I348,AO$4&lt;=$J348),1,"")</f>
        <v/>
      </c>
      <c r="AP348" s="23" t="str">
        <f t="shared" si="355"/>
        <v/>
      </c>
      <c r="AQ348" s="23" t="str">
        <f t="shared" si="355"/>
        <v/>
      </c>
      <c r="AR348" s="23" t="str">
        <f t="shared" si="355"/>
        <v/>
      </c>
      <c r="AS348" s="23" t="str">
        <f t="shared" si="355"/>
        <v/>
      </c>
      <c r="AT348" s="23" t="str">
        <f t="shared" si="355"/>
        <v/>
      </c>
      <c r="AU348" s="23" t="str">
        <f t="shared" si="355"/>
        <v/>
      </c>
      <c r="AV348" s="23" t="str">
        <f t="shared" si="355"/>
        <v/>
      </c>
      <c r="AW348" s="23" t="str">
        <f t="shared" si="355"/>
        <v/>
      </c>
      <c r="AX348" s="23" t="str">
        <f t="shared" si="355"/>
        <v/>
      </c>
      <c r="AY348" s="23" t="str">
        <f t="shared" ref="AY348:BH353" si="356">IF(AND(AY$4&gt;=$I348,AY$4&lt;=$J348),1,"")</f>
        <v/>
      </c>
      <c r="AZ348" s="23" t="str">
        <f t="shared" si="356"/>
        <v/>
      </c>
      <c r="BA348" s="23" t="str">
        <f t="shared" si="356"/>
        <v/>
      </c>
      <c r="BB348" s="23" t="str">
        <f t="shared" si="356"/>
        <v/>
      </c>
      <c r="BC348" s="23" t="str">
        <f t="shared" si="356"/>
        <v/>
      </c>
      <c r="BD348" s="23" t="str">
        <f t="shared" si="356"/>
        <v/>
      </c>
      <c r="BE348" s="23" t="str">
        <f t="shared" si="356"/>
        <v/>
      </c>
      <c r="BF348" s="23" t="str">
        <f t="shared" si="356"/>
        <v/>
      </c>
      <c r="BG348" s="23" t="str">
        <f t="shared" si="356"/>
        <v/>
      </c>
      <c r="BH348" s="23" t="str">
        <f t="shared" si="356"/>
        <v/>
      </c>
      <c r="BI348" s="23" t="str">
        <f t="shared" ref="BI348:BS353" si="357">IF(AND(BI$4&gt;=$I348,BI$4&lt;=$J348),1,"")</f>
        <v/>
      </c>
      <c r="BJ348" s="23" t="str">
        <f t="shared" si="357"/>
        <v/>
      </c>
      <c r="BK348" s="23" t="str">
        <f t="shared" si="357"/>
        <v/>
      </c>
      <c r="BL348" s="23" t="str">
        <f t="shared" si="357"/>
        <v/>
      </c>
      <c r="BM348" s="23" t="str">
        <f t="shared" si="357"/>
        <v/>
      </c>
      <c r="BN348" s="23" t="str">
        <f t="shared" si="357"/>
        <v/>
      </c>
      <c r="BO348" s="23" t="str">
        <f t="shared" si="357"/>
        <v/>
      </c>
      <c r="BP348" s="23" t="str">
        <f t="shared" si="357"/>
        <v/>
      </c>
      <c r="BQ348" s="23" t="str">
        <f t="shared" si="357"/>
        <v/>
      </c>
      <c r="BR348" s="23" t="str">
        <f t="shared" si="357"/>
        <v/>
      </c>
      <c r="BS348" s="23" t="str">
        <f t="shared" si="357"/>
        <v/>
      </c>
      <c r="BT348" s="24" t="str">
        <f>IF(IF(G348+H348-1&lt;=29,MAX(ROUND((G348+H348-1)*(29+SlipWeeks)/29,0),$I348),G348+H348-1+SlipWeeks)&gt;61,"▶ clipped","")</f>
        <v/>
      </c>
      <c r="BU348" s="29" t="s">
        <v>925</v>
      </c>
    </row>
    <row r="349" spans="1:73" ht="34" outlineLevel="1" x14ac:dyDescent="0.2">
      <c r="A349" s="6" t="s">
        <v>937</v>
      </c>
      <c r="B349" s="25" t="s">
        <v>938</v>
      </c>
      <c r="C349" s="6" t="s">
        <v>55</v>
      </c>
      <c r="D349" s="24" t="s">
        <v>128</v>
      </c>
      <c r="F349" s="6"/>
      <c r="G349" s="22">
        <v>18</v>
      </c>
      <c r="H349" s="22">
        <v>2</v>
      </c>
      <c r="I349" s="22">
        <f>MEDIAN($I$348,$J$348,$I$348+ROUND((G349-$G$348)/$H$348*($J$348-$I$348+1),0))</f>
        <v>18</v>
      </c>
      <c r="J349" s="22">
        <f>MEDIAN(I349,$J$348,$I$348+ROUND((G349+H349-$G$348)/$H$348*($J$348-$I$348+1),0)-1)</f>
        <v>19</v>
      </c>
      <c r="K349" s="23" t="str">
        <f t="shared" si="352"/>
        <v/>
      </c>
      <c r="L349" s="23" t="str">
        <f t="shared" si="352"/>
        <v/>
      </c>
      <c r="M349" s="23" t="str">
        <f t="shared" si="352"/>
        <v/>
      </c>
      <c r="N349" s="23" t="str">
        <f t="shared" si="352"/>
        <v/>
      </c>
      <c r="O349" s="23" t="str">
        <f t="shared" si="352"/>
        <v/>
      </c>
      <c r="P349" s="23" t="str">
        <f t="shared" si="352"/>
        <v/>
      </c>
      <c r="Q349" s="23" t="str">
        <f t="shared" si="352"/>
        <v/>
      </c>
      <c r="R349" s="23" t="str">
        <f t="shared" si="352"/>
        <v/>
      </c>
      <c r="S349" s="23" t="str">
        <f t="shared" si="352"/>
        <v/>
      </c>
      <c r="T349" s="23" t="str">
        <f t="shared" si="352"/>
        <v/>
      </c>
      <c r="U349" s="23" t="str">
        <f t="shared" si="353"/>
        <v/>
      </c>
      <c r="V349" s="23" t="str">
        <f t="shared" si="353"/>
        <v/>
      </c>
      <c r="W349" s="23" t="str">
        <f t="shared" si="353"/>
        <v/>
      </c>
      <c r="X349" s="23" t="str">
        <f t="shared" si="353"/>
        <v/>
      </c>
      <c r="Y349" s="23" t="str">
        <f t="shared" si="353"/>
        <v/>
      </c>
      <c r="Z349" s="23" t="str">
        <f t="shared" si="353"/>
        <v/>
      </c>
      <c r="AA349" s="23" t="str">
        <f t="shared" si="353"/>
        <v/>
      </c>
      <c r="AB349" s="23">
        <f t="shared" si="353"/>
        <v>1</v>
      </c>
      <c r="AC349" s="23">
        <f t="shared" si="353"/>
        <v>1</v>
      </c>
      <c r="AD349" s="23" t="str">
        <f t="shared" si="353"/>
        <v/>
      </c>
      <c r="AE349" s="23" t="str">
        <f t="shared" si="354"/>
        <v/>
      </c>
      <c r="AF349" s="23" t="str">
        <f t="shared" si="354"/>
        <v/>
      </c>
      <c r="AG349" s="23" t="str">
        <f t="shared" si="354"/>
        <v/>
      </c>
      <c r="AH349" s="23" t="str">
        <f t="shared" si="354"/>
        <v/>
      </c>
      <c r="AI349" s="23" t="str">
        <f t="shared" si="354"/>
        <v/>
      </c>
      <c r="AJ349" s="23" t="str">
        <f t="shared" si="354"/>
        <v/>
      </c>
      <c r="AK349" s="23" t="str">
        <f t="shared" si="354"/>
        <v/>
      </c>
      <c r="AL349" s="23" t="str">
        <f t="shared" si="354"/>
        <v/>
      </c>
      <c r="AM349" s="23" t="str">
        <f t="shared" si="354"/>
        <v/>
      </c>
      <c r="AN349" s="23" t="str">
        <f t="shared" si="354"/>
        <v/>
      </c>
      <c r="AO349" s="23" t="str">
        <f t="shared" si="355"/>
        <v/>
      </c>
      <c r="AP349" s="23" t="str">
        <f t="shared" si="355"/>
        <v/>
      </c>
      <c r="AQ349" s="23" t="str">
        <f t="shared" si="355"/>
        <v/>
      </c>
      <c r="AR349" s="23" t="str">
        <f t="shared" si="355"/>
        <v/>
      </c>
      <c r="AS349" s="23" t="str">
        <f t="shared" si="355"/>
        <v/>
      </c>
      <c r="AT349" s="23" t="str">
        <f t="shared" si="355"/>
        <v/>
      </c>
      <c r="AU349" s="23" t="str">
        <f t="shared" si="355"/>
        <v/>
      </c>
      <c r="AV349" s="23" t="str">
        <f t="shared" si="355"/>
        <v/>
      </c>
      <c r="AW349" s="23" t="str">
        <f t="shared" si="355"/>
        <v/>
      </c>
      <c r="AX349" s="23" t="str">
        <f t="shared" si="355"/>
        <v/>
      </c>
      <c r="AY349" s="23" t="str">
        <f t="shared" si="356"/>
        <v/>
      </c>
      <c r="AZ349" s="23" t="str">
        <f t="shared" si="356"/>
        <v/>
      </c>
      <c r="BA349" s="23" t="str">
        <f t="shared" si="356"/>
        <v/>
      </c>
      <c r="BB349" s="23" t="str">
        <f t="shared" si="356"/>
        <v/>
      </c>
      <c r="BC349" s="23" t="str">
        <f t="shared" si="356"/>
        <v/>
      </c>
      <c r="BD349" s="23" t="str">
        <f t="shared" si="356"/>
        <v/>
      </c>
      <c r="BE349" s="23" t="str">
        <f t="shared" si="356"/>
        <v/>
      </c>
      <c r="BF349" s="23" t="str">
        <f t="shared" si="356"/>
        <v/>
      </c>
      <c r="BG349" s="23" t="str">
        <f t="shared" si="356"/>
        <v/>
      </c>
      <c r="BH349" s="23" t="str">
        <f t="shared" si="356"/>
        <v/>
      </c>
      <c r="BI349" s="23" t="str">
        <f t="shared" si="357"/>
        <v/>
      </c>
      <c r="BJ349" s="23" t="str">
        <f t="shared" si="357"/>
        <v/>
      </c>
      <c r="BK349" s="23" t="str">
        <f t="shared" si="357"/>
        <v/>
      </c>
      <c r="BL349" s="23" t="str">
        <f t="shared" si="357"/>
        <v/>
      </c>
      <c r="BM349" s="23" t="str">
        <f t="shared" si="357"/>
        <v/>
      </c>
      <c r="BN349" s="23" t="str">
        <f t="shared" si="357"/>
        <v/>
      </c>
      <c r="BO349" s="23" t="str">
        <f t="shared" si="357"/>
        <v/>
      </c>
      <c r="BP349" s="23" t="str">
        <f t="shared" si="357"/>
        <v/>
      </c>
      <c r="BQ349" s="23" t="str">
        <f t="shared" si="357"/>
        <v/>
      </c>
      <c r="BR349" s="23" t="str">
        <f t="shared" si="357"/>
        <v/>
      </c>
      <c r="BS349" s="23" t="str">
        <f t="shared" si="357"/>
        <v/>
      </c>
      <c r="BU349" s="29" t="s">
        <v>818</v>
      </c>
    </row>
    <row r="350" spans="1:73" ht="17" outlineLevel="1" x14ac:dyDescent="0.2">
      <c r="A350" s="6" t="s">
        <v>939</v>
      </c>
      <c r="B350" s="25" t="s">
        <v>929</v>
      </c>
      <c r="C350" s="6" t="s">
        <v>55</v>
      </c>
      <c r="D350" s="24" t="s">
        <v>128</v>
      </c>
      <c r="F350" s="6"/>
      <c r="G350" s="22">
        <v>20</v>
      </c>
      <c r="H350" s="22">
        <v>2</v>
      </c>
      <c r="I350" s="22">
        <f>MEDIAN($I$348,$J$348,$I$348+ROUND((G350-$G$348)/$H$348*($J$348-$I$348+1),0))</f>
        <v>20</v>
      </c>
      <c r="J350" s="22">
        <f>MEDIAN(I350,$J$348,$I$348+ROUND((G350+H350-$G$348)/$H$348*($J$348-$I$348+1),0)-1)</f>
        <v>21</v>
      </c>
      <c r="K350" s="23" t="str">
        <f t="shared" si="352"/>
        <v/>
      </c>
      <c r="L350" s="23" t="str">
        <f t="shared" si="352"/>
        <v/>
      </c>
      <c r="M350" s="23" t="str">
        <f t="shared" si="352"/>
        <v/>
      </c>
      <c r="N350" s="23" t="str">
        <f t="shared" si="352"/>
        <v/>
      </c>
      <c r="O350" s="23" t="str">
        <f t="shared" si="352"/>
        <v/>
      </c>
      <c r="P350" s="23" t="str">
        <f t="shared" si="352"/>
        <v/>
      </c>
      <c r="Q350" s="23" t="str">
        <f t="shared" si="352"/>
        <v/>
      </c>
      <c r="R350" s="23" t="str">
        <f t="shared" si="352"/>
        <v/>
      </c>
      <c r="S350" s="23" t="str">
        <f t="shared" si="352"/>
        <v/>
      </c>
      <c r="T350" s="23" t="str">
        <f t="shared" si="352"/>
        <v/>
      </c>
      <c r="U350" s="23" t="str">
        <f t="shared" si="353"/>
        <v/>
      </c>
      <c r="V350" s="23" t="str">
        <f t="shared" si="353"/>
        <v/>
      </c>
      <c r="W350" s="23" t="str">
        <f t="shared" si="353"/>
        <v/>
      </c>
      <c r="X350" s="23" t="str">
        <f t="shared" si="353"/>
        <v/>
      </c>
      <c r="Y350" s="23" t="str">
        <f t="shared" si="353"/>
        <v/>
      </c>
      <c r="Z350" s="23" t="str">
        <f t="shared" si="353"/>
        <v/>
      </c>
      <c r="AA350" s="23" t="str">
        <f t="shared" si="353"/>
        <v/>
      </c>
      <c r="AB350" s="23" t="str">
        <f t="shared" si="353"/>
        <v/>
      </c>
      <c r="AC350" s="23" t="str">
        <f t="shared" si="353"/>
        <v/>
      </c>
      <c r="AD350" s="23">
        <f t="shared" si="353"/>
        <v>1</v>
      </c>
      <c r="AE350" s="23">
        <f t="shared" si="354"/>
        <v>1</v>
      </c>
      <c r="AF350" s="23" t="str">
        <f t="shared" si="354"/>
        <v/>
      </c>
      <c r="AG350" s="23" t="str">
        <f t="shared" si="354"/>
        <v/>
      </c>
      <c r="AH350" s="23" t="str">
        <f t="shared" si="354"/>
        <v/>
      </c>
      <c r="AI350" s="23" t="str">
        <f t="shared" si="354"/>
        <v/>
      </c>
      <c r="AJ350" s="23" t="str">
        <f t="shared" si="354"/>
        <v/>
      </c>
      <c r="AK350" s="23" t="str">
        <f t="shared" si="354"/>
        <v/>
      </c>
      <c r="AL350" s="23" t="str">
        <f t="shared" si="354"/>
        <v/>
      </c>
      <c r="AM350" s="23" t="str">
        <f t="shared" si="354"/>
        <v/>
      </c>
      <c r="AN350" s="23" t="str">
        <f t="shared" si="354"/>
        <v/>
      </c>
      <c r="AO350" s="23" t="str">
        <f t="shared" si="355"/>
        <v/>
      </c>
      <c r="AP350" s="23" t="str">
        <f t="shared" si="355"/>
        <v/>
      </c>
      <c r="AQ350" s="23" t="str">
        <f t="shared" si="355"/>
        <v/>
      </c>
      <c r="AR350" s="23" t="str">
        <f t="shared" si="355"/>
        <v/>
      </c>
      <c r="AS350" s="23" t="str">
        <f t="shared" si="355"/>
        <v/>
      </c>
      <c r="AT350" s="23" t="str">
        <f t="shared" si="355"/>
        <v/>
      </c>
      <c r="AU350" s="23" t="str">
        <f t="shared" si="355"/>
        <v/>
      </c>
      <c r="AV350" s="23" t="str">
        <f t="shared" si="355"/>
        <v/>
      </c>
      <c r="AW350" s="23" t="str">
        <f t="shared" si="355"/>
        <v/>
      </c>
      <c r="AX350" s="23" t="str">
        <f t="shared" si="355"/>
        <v/>
      </c>
      <c r="AY350" s="23" t="str">
        <f t="shared" si="356"/>
        <v/>
      </c>
      <c r="AZ350" s="23" t="str">
        <f t="shared" si="356"/>
        <v/>
      </c>
      <c r="BA350" s="23" t="str">
        <f t="shared" si="356"/>
        <v/>
      </c>
      <c r="BB350" s="23" t="str">
        <f t="shared" si="356"/>
        <v/>
      </c>
      <c r="BC350" s="23" t="str">
        <f t="shared" si="356"/>
        <v/>
      </c>
      <c r="BD350" s="23" t="str">
        <f t="shared" si="356"/>
        <v/>
      </c>
      <c r="BE350" s="23" t="str">
        <f t="shared" si="356"/>
        <v/>
      </c>
      <c r="BF350" s="23" t="str">
        <f t="shared" si="356"/>
        <v/>
      </c>
      <c r="BG350" s="23" t="str">
        <f t="shared" si="356"/>
        <v/>
      </c>
      <c r="BH350" s="23" t="str">
        <f t="shared" si="356"/>
        <v/>
      </c>
      <c r="BI350" s="23" t="str">
        <f t="shared" si="357"/>
        <v/>
      </c>
      <c r="BJ350" s="23" t="str">
        <f t="shared" si="357"/>
        <v/>
      </c>
      <c r="BK350" s="23" t="str">
        <f t="shared" si="357"/>
        <v/>
      </c>
      <c r="BL350" s="23" t="str">
        <f t="shared" si="357"/>
        <v/>
      </c>
      <c r="BM350" s="23" t="str">
        <f t="shared" si="357"/>
        <v/>
      </c>
      <c r="BN350" s="23" t="str">
        <f t="shared" si="357"/>
        <v/>
      </c>
      <c r="BO350" s="23" t="str">
        <f t="shared" si="357"/>
        <v/>
      </c>
      <c r="BP350" s="23" t="str">
        <f t="shared" si="357"/>
        <v/>
      </c>
      <c r="BQ350" s="23" t="str">
        <f t="shared" si="357"/>
        <v/>
      </c>
      <c r="BR350" s="23" t="str">
        <f t="shared" si="357"/>
        <v/>
      </c>
      <c r="BS350" s="23" t="str">
        <f t="shared" si="357"/>
        <v/>
      </c>
      <c r="BU350" s="29" t="s">
        <v>818</v>
      </c>
    </row>
    <row r="351" spans="1:73" ht="17" outlineLevel="1" x14ac:dyDescent="0.2">
      <c r="A351" s="6" t="s">
        <v>940</v>
      </c>
      <c r="B351" s="25" t="s">
        <v>906</v>
      </c>
      <c r="C351" s="6" t="s">
        <v>55</v>
      </c>
      <c r="D351" s="24" t="s">
        <v>128</v>
      </c>
      <c r="F351" s="6"/>
      <c r="G351" s="22">
        <v>22</v>
      </c>
      <c r="H351" s="22">
        <v>2</v>
      </c>
      <c r="I351" s="22">
        <f>MEDIAN($I$348,$J$348,$I$348+ROUND((G351-$G$348)/$H$348*($J$348-$I$348+1),0))</f>
        <v>22</v>
      </c>
      <c r="J351" s="22">
        <f>MEDIAN(I351,$J$348,$I$348+ROUND((G351+H351-$G$348)/$H$348*($J$348-$I$348+1),0)-1)</f>
        <v>23</v>
      </c>
      <c r="K351" s="23" t="str">
        <f t="shared" si="352"/>
        <v/>
      </c>
      <c r="L351" s="23" t="str">
        <f t="shared" si="352"/>
        <v/>
      </c>
      <c r="M351" s="23" t="str">
        <f t="shared" si="352"/>
        <v/>
      </c>
      <c r="N351" s="23" t="str">
        <f t="shared" si="352"/>
        <v/>
      </c>
      <c r="O351" s="23" t="str">
        <f t="shared" si="352"/>
        <v/>
      </c>
      <c r="P351" s="23" t="str">
        <f t="shared" si="352"/>
        <v/>
      </c>
      <c r="Q351" s="23" t="str">
        <f t="shared" si="352"/>
        <v/>
      </c>
      <c r="R351" s="23" t="str">
        <f t="shared" si="352"/>
        <v/>
      </c>
      <c r="S351" s="23" t="str">
        <f t="shared" si="352"/>
        <v/>
      </c>
      <c r="T351" s="23" t="str">
        <f t="shared" si="352"/>
        <v/>
      </c>
      <c r="U351" s="23" t="str">
        <f t="shared" si="353"/>
        <v/>
      </c>
      <c r="V351" s="23" t="str">
        <f t="shared" si="353"/>
        <v/>
      </c>
      <c r="W351" s="23" t="str">
        <f t="shared" si="353"/>
        <v/>
      </c>
      <c r="X351" s="23" t="str">
        <f t="shared" si="353"/>
        <v/>
      </c>
      <c r="Y351" s="23" t="str">
        <f t="shared" si="353"/>
        <v/>
      </c>
      <c r="Z351" s="23" t="str">
        <f t="shared" si="353"/>
        <v/>
      </c>
      <c r="AA351" s="23" t="str">
        <f t="shared" si="353"/>
        <v/>
      </c>
      <c r="AB351" s="23" t="str">
        <f t="shared" si="353"/>
        <v/>
      </c>
      <c r="AC351" s="23" t="str">
        <f t="shared" si="353"/>
        <v/>
      </c>
      <c r="AD351" s="23" t="str">
        <f t="shared" si="353"/>
        <v/>
      </c>
      <c r="AE351" s="23" t="str">
        <f t="shared" si="354"/>
        <v/>
      </c>
      <c r="AF351" s="23">
        <f t="shared" si="354"/>
        <v>1</v>
      </c>
      <c r="AG351" s="23">
        <f t="shared" si="354"/>
        <v>1</v>
      </c>
      <c r="AH351" s="23" t="str">
        <f t="shared" si="354"/>
        <v/>
      </c>
      <c r="AI351" s="23" t="str">
        <f t="shared" si="354"/>
        <v/>
      </c>
      <c r="AJ351" s="23" t="str">
        <f t="shared" si="354"/>
        <v/>
      </c>
      <c r="AK351" s="23" t="str">
        <f t="shared" si="354"/>
        <v/>
      </c>
      <c r="AL351" s="23" t="str">
        <f t="shared" si="354"/>
        <v/>
      </c>
      <c r="AM351" s="23" t="str">
        <f t="shared" si="354"/>
        <v/>
      </c>
      <c r="AN351" s="23" t="str">
        <f t="shared" si="354"/>
        <v/>
      </c>
      <c r="AO351" s="23" t="str">
        <f t="shared" si="355"/>
        <v/>
      </c>
      <c r="AP351" s="23" t="str">
        <f t="shared" si="355"/>
        <v/>
      </c>
      <c r="AQ351" s="23" t="str">
        <f t="shared" si="355"/>
        <v/>
      </c>
      <c r="AR351" s="23" t="str">
        <f t="shared" si="355"/>
        <v/>
      </c>
      <c r="AS351" s="23" t="str">
        <f t="shared" si="355"/>
        <v/>
      </c>
      <c r="AT351" s="23" t="str">
        <f t="shared" si="355"/>
        <v/>
      </c>
      <c r="AU351" s="23" t="str">
        <f t="shared" si="355"/>
        <v/>
      </c>
      <c r="AV351" s="23" t="str">
        <f t="shared" si="355"/>
        <v/>
      </c>
      <c r="AW351" s="23" t="str">
        <f t="shared" si="355"/>
        <v/>
      </c>
      <c r="AX351" s="23" t="str">
        <f t="shared" si="355"/>
        <v/>
      </c>
      <c r="AY351" s="23" t="str">
        <f t="shared" si="356"/>
        <v/>
      </c>
      <c r="AZ351" s="23" t="str">
        <f t="shared" si="356"/>
        <v/>
      </c>
      <c r="BA351" s="23" t="str">
        <f t="shared" si="356"/>
        <v/>
      </c>
      <c r="BB351" s="23" t="str">
        <f t="shared" si="356"/>
        <v/>
      </c>
      <c r="BC351" s="23" t="str">
        <f t="shared" si="356"/>
        <v/>
      </c>
      <c r="BD351" s="23" t="str">
        <f t="shared" si="356"/>
        <v/>
      </c>
      <c r="BE351" s="23" t="str">
        <f t="shared" si="356"/>
        <v/>
      </c>
      <c r="BF351" s="23" t="str">
        <f t="shared" si="356"/>
        <v/>
      </c>
      <c r="BG351" s="23" t="str">
        <f t="shared" si="356"/>
        <v/>
      </c>
      <c r="BH351" s="23" t="str">
        <f t="shared" si="356"/>
        <v/>
      </c>
      <c r="BI351" s="23" t="str">
        <f t="shared" si="357"/>
        <v/>
      </c>
      <c r="BJ351" s="23" t="str">
        <f t="shared" si="357"/>
        <v/>
      </c>
      <c r="BK351" s="23" t="str">
        <f t="shared" si="357"/>
        <v/>
      </c>
      <c r="BL351" s="23" t="str">
        <f t="shared" si="357"/>
        <v/>
      </c>
      <c r="BM351" s="23" t="str">
        <f t="shared" si="357"/>
        <v/>
      </c>
      <c r="BN351" s="23" t="str">
        <f t="shared" si="357"/>
        <v/>
      </c>
      <c r="BO351" s="23" t="str">
        <f t="shared" si="357"/>
        <v/>
      </c>
      <c r="BP351" s="23" t="str">
        <f t="shared" si="357"/>
        <v/>
      </c>
      <c r="BQ351" s="23" t="str">
        <f t="shared" si="357"/>
        <v/>
      </c>
      <c r="BR351" s="23" t="str">
        <f t="shared" si="357"/>
        <v/>
      </c>
      <c r="BS351" s="23" t="str">
        <f t="shared" si="357"/>
        <v/>
      </c>
      <c r="BU351" s="29" t="s">
        <v>818</v>
      </c>
    </row>
    <row r="352" spans="1:73" ht="34" outlineLevel="1" x14ac:dyDescent="0.2">
      <c r="A352" s="6" t="s">
        <v>941</v>
      </c>
      <c r="B352" s="25" t="s">
        <v>942</v>
      </c>
      <c r="C352" s="6" t="s">
        <v>55</v>
      </c>
      <c r="D352" s="24" t="s">
        <v>128</v>
      </c>
      <c r="F352" s="6"/>
      <c r="G352" s="22">
        <v>24</v>
      </c>
      <c r="H352" s="22">
        <v>1</v>
      </c>
      <c r="I352" s="22">
        <f>MEDIAN($I$348,$J$348,$I$348+ROUND((G352-$G$348)/$H$348*($J$348-$I$348+1),0))</f>
        <v>24</v>
      </c>
      <c r="J352" s="22">
        <f>MEDIAN(I352,$J$348,$I$348+ROUND((G352+H352-$G$348)/$H$348*($J$348-$I$348+1),0)-1)</f>
        <v>24</v>
      </c>
      <c r="K352" s="23" t="str">
        <f t="shared" si="352"/>
        <v/>
      </c>
      <c r="L352" s="23" t="str">
        <f t="shared" si="352"/>
        <v/>
      </c>
      <c r="M352" s="23" t="str">
        <f t="shared" si="352"/>
        <v/>
      </c>
      <c r="N352" s="23" t="str">
        <f t="shared" si="352"/>
        <v/>
      </c>
      <c r="O352" s="23" t="str">
        <f t="shared" si="352"/>
        <v/>
      </c>
      <c r="P352" s="23" t="str">
        <f t="shared" si="352"/>
        <v/>
      </c>
      <c r="Q352" s="23" t="str">
        <f t="shared" si="352"/>
        <v/>
      </c>
      <c r="R352" s="23" t="str">
        <f t="shared" si="352"/>
        <v/>
      </c>
      <c r="S352" s="23" t="str">
        <f t="shared" si="352"/>
        <v/>
      </c>
      <c r="T352" s="23" t="str">
        <f t="shared" si="352"/>
        <v/>
      </c>
      <c r="U352" s="23" t="str">
        <f t="shared" si="353"/>
        <v/>
      </c>
      <c r="V352" s="23" t="str">
        <f t="shared" si="353"/>
        <v/>
      </c>
      <c r="W352" s="23" t="str">
        <f t="shared" si="353"/>
        <v/>
      </c>
      <c r="X352" s="23" t="str">
        <f t="shared" si="353"/>
        <v/>
      </c>
      <c r="Y352" s="23" t="str">
        <f t="shared" si="353"/>
        <v/>
      </c>
      <c r="Z352" s="23" t="str">
        <f t="shared" si="353"/>
        <v/>
      </c>
      <c r="AA352" s="23" t="str">
        <f t="shared" si="353"/>
        <v/>
      </c>
      <c r="AB352" s="23" t="str">
        <f t="shared" si="353"/>
        <v/>
      </c>
      <c r="AC352" s="23" t="str">
        <f t="shared" si="353"/>
        <v/>
      </c>
      <c r="AD352" s="23" t="str">
        <f t="shared" si="353"/>
        <v/>
      </c>
      <c r="AE352" s="23" t="str">
        <f t="shared" si="354"/>
        <v/>
      </c>
      <c r="AF352" s="23" t="str">
        <f t="shared" si="354"/>
        <v/>
      </c>
      <c r="AG352" s="23" t="str">
        <f t="shared" si="354"/>
        <v/>
      </c>
      <c r="AH352" s="23">
        <f t="shared" si="354"/>
        <v>1</v>
      </c>
      <c r="AI352" s="23" t="str">
        <f t="shared" si="354"/>
        <v/>
      </c>
      <c r="AJ352" s="23" t="str">
        <f t="shared" si="354"/>
        <v/>
      </c>
      <c r="AK352" s="23" t="str">
        <f t="shared" si="354"/>
        <v/>
      </c>
      <c r="AL352" s="23" t="str">
        <f t="shared" si="354"/>
        <v/>
      </c>
      <c r="AM352" s="23" t="str">
        <f t="shared" si="354"/>
        <v/>
      </c>
      <c r="AN352" s="23" t="str">
        <f t="shared" si="354"/>
        <v/>
      </c>
      <c r="AO352" s="23" t="str">
        <f t="shared" si="355"/>
        <v/>
      </c>
      <c r="AP352" s="23" t="str">
        <f t="shared" si="355"/>
        <v/>
      </c>
      <c r="AQ352" s="23" t="str">
        <f t="shared" si="355"/>
        <v/>
      </c>
      <c r="AR352" s="23" t="str">
        <f t="shared" si="355"/>
        <v/>
      </c>
      <c r="AS352" s="23" t="str">
        <f t="shared" si="355"/>
        <v/>
      </c>
      <c r="AT352" s="23" t="str">
        <f t="shared" si="355"/>
        <v/>
      </c>
      <c r="AU352" s="23" t="str">
        <f t="shared" si="355"/>
        <v/>
      </c>
      <c r="AV352" s="23" t="str">
        <f t="shared" si="355"/>
        <v/>
      </c>
      <c r="AW352" s="23" t="str">
        <f t="shared" si="355"/>
        <v/>
      </c>
      <c r="AX352" s="23" t="str">
        <f t="shared" si="355"/>
        <v/>
      </c>
      <c r="AY352" s="23" t="str">
        <f t="shared" si="356"/>
        <v/>
      </c>
      <c r="AZ352" s="23" t="str">
        <f t="shared" si="356"/>
        <v/>
      </c>
      <c r="BA352" s="23" t="str">
        <f t="shared" si="356"/>
        <v/>
      </c>
      <c r="BB352" s="23" t="str">
        <f t="shared" si="356"/>
        <v/>
      </c>
      <c r="BC352" s="23" t="str">
        <f t="shared" si="356"/>
        <v/>
      </c>
      <c r="BD352" s="23" t="str">
        <f t="shared" si="356"/>
        <v/>
      </c>
      <c r="BE352" s="23" t="str">
        <f t="shared" si="356"/>
        <v/>
      </c>
      <c r="BF352" s="23" t="str">
        <f t="shared" si="356"/>
        <v/>
      </c>
      <c r="BG352" s="23" t="str">
        <f t="shared" si="356"/>
        <v/>
      </c>
      <c r="BH352" s="23" t="str">
        <f t="shared" si="356"/>
        <v/>
      </c>
      <c r="BI352" s="23" t="str">
        <f t="shared" si="357"/>
        <v/>
      </c>
      <c r="BJ352" s="23" t="str">
        <f t="shared" si="357"/>
        <v/>
      </c>
      <c r="BK352" s="23" t="str">
        <f t="shared" si="357"/>
        <v/>
      </c>
      <c r="BL352" s="23" t="str">
        <f t="shared" si="357"/>
        <v/>
      </c>
      <c r="BM352" s="23" t="str">
        <f t="shared" si="357"/>
        <v/>
      </c>
      <c r="BN352" s="23" t="str">
        <f t="shared" si="357"/>
        <v/>
      </c>
      <c r="BO352" s="23" t="str">
        <f t="shared" si="357"/>
        <v/>
      </c>
      <c r="BP352" s="23" t="str">
        <f t="shared" si="357"/>
        <v/>
      </c>
      <c r="BQ352" s="23" t="str">
        <f t="shared" si="357"/>
        <v/>
      </c>
      <c r="BR352" s="23" t="str">
        <f t="shared" si="357"/>
        <v/>
      </c>
      <c r="BS352" s="23" t="str">
        <f t="shared" si="357"/>
        <v/>
      </c>
      <c r="BU352" s="29" t="s">
        <v>818</v>
      </c>
    </row>
    <row r="353" spans="1:73" ht="34" outlineLevel="1" x14ac:dyDescent="0.2">
      <c r="A353" s="6" t="s">
        <v>943</v>
      </c>
      <c r="B353" s="25" t="s">
        <v>944</v>
      </c>
      <c r="C353" s="6" t="s">
        <v>55</v>
      </c>
      <c r="D353" s="24" t="s">
        <v>128</v>
      </c>
      <c r="F353" s="6"/>
      <c r="G353" s="22">
        <v>25</v>
      </c>
      <c r="H353" s="22">
        <v>1</v>
      </c>
      <c r="I353" s="22">
        <f>MEDIAN($I$348,$J$348,$I$348+ROUND((G353-$G$348)/$H$348*($J$348-$I$348+1),0))</f>
        <v>25</v>
      </c>
      <c r="J353" s="22">
        <f>MEDIAN(I353,$J$348,$I$348+ROUND((G353+H353-$G$348)/$H$348*($J$348-$I$348+1),0)-1)</f>
        <v>25</v>
      </c>
      <c r="K353" s="23" t="str">
        <f t="shared" si="352"/>
        <v/>
      </c>
      <c r="L353" s="23" t="str">
        <f t="shared" si="352"/>
        <v/>
      </c>
      <c r="M353" s="23" t="str">
        <f t="shared" si="352"/>
        <v/>
      </c>
      <c r="N353" s="23" t="str">
        <f t="shared" si="352"/>
        <v/>
      </c>
      <c r="O353" s="23" t="str">
        <f t="shared" si="352"/>
        <v/>
      </c>
      <c r="P353" s="23" t="str">
        <f t="shared" si="352"/>
        <v/>
      </c>
      <c r="Q353" s="23" t="str">
        <f t="shared" si="352"/>
        <v/>
      </c>
      <c r="R353" s="23" t="str">
        <f t="shared" si="352"/>
        <v/>
      </c>
      <c r="S353" s="23" t="str">
        <f t="shared" si="352"/>
        <v/>
      </c>
      <c r="T353" s="23" t="str">
        <f t="shared" si="352"/>
        <v/>
      </c>
      <c r="U353" s="23" t="str">
        <f t="shared" si="353"/>
        <v/>
      </c>
      <c r="V353" s="23" t="str">
        <f t="shared" si="353"/>
        <v/>
      </c>
      <c r="W353" s="23" t="str">
        <f t="shared" si="353"/>
        <v/>
      </c>
      <c r="X353" s="23" t="str">
        <f t="shared" si="353"/>
        <v/>
      </c>
      <c r="Y353" s="23" t="str">
        <f t="shared" si="353"/>
        <v/>
      </c>
      <c r="Z353" s="23" t="str">
        <f t="shared" si="353"/>
        <v/>
      </c>
      <c r="AA353" s="23" t="str">
        <f t="shared" si="353"/>
        <v/>
      </c>
      <c r="AB353" s="23" t="str">
        <f t="shared" si="353"/>
        <v/>
      </c>
      <c r="AC353" s="23" t="str">
        <f t="shared" si="353"/>
        <v/>
      </c>
      <c r="AD353" s="23" t="str">
        <f t="shared" si="353"/>
        <v/>
      </c>
      <c r="AE353" s="23" t="str">
        <f t="shared" si="354"/>
        <v/>
      </c>
      <c r="AF353" s="23" t="str">
        <f t="shared" si="354"/>
        <v/>
      </c>
      <c r="AG353" s="23" t="str">
        <f t="shared" si="354"/>
        <v/>
      </c>
      <c r="AH353" s="23" t="str">
        <f t="shared" si="354"/>
        <v/>
      </c>
      <c r="AI353" s="23">
        <f t="shared" si="354"/>
        <v>1</v>
      </c>
      <c r="AJ353" s="23" t="str">
        <f t="shared" si="354"/>
        <v/>
      </c>
      <c r="AK353" s="23" t="str">
        <f t="shared" si="354"/>
        <v/>
      </c>
      <c r="AL353" s="23" t="str">
        <f t="shared" si="354"/>
        <v/>
      </c>
      <c r="AM353" s="23" t="str">
        <f t="shared" si="354"/>
        <v/>
      </c>
      <c r="AN353" s="23" t="str">
        <f t="shared" si="354"/>
        <v/>
      </c>
      <c r="AO353" s="23" t="str">
        <f t="shared" si="355"/>
        <v/>
      </c>
      <c r="AP353" s="23" t="str">
        <f t="shared" si="355"/>
        <v/>
      </c>
      <c r="AQ353" s="23" t="str">
        <f t="shared" si="355"/>
        <v/>
      </c>
      <c r="AR353" s="23" t="str">
        <f t="shared" si="355"/>
        <v/>
      </c>
      <c r="AS353" s="23" t="str">
        <f t="shared" si="355"/>
        <v/>
      </c>
      <c r="AT353" s="23" t="str">
        <f t="shared" si="355"/>
        <v/>
      </c>
      <c r="AU353" s="23" t="str">
        <f t="shared" si="355"/>
        <v/>
      </c>
      <c r="AV353" s="23" t="str">
        <f t="shared" si="355"/>
        <v/>
      </c>
      <c r="AW353" s="23" t="str">
        <f t="shared" si="355"/>
        <v/>
      </c>
      <c r="AX353" s="23" t="str">
        <f t="shared" si="355"/>
        <v/>
      </c>
      <c r="AY353" s="23" t="str">
        <f t="shared" si="356"/>
        <v/>
      </c>
      <c r="AZ353" s="23" t="str">
        <f t="shared" si="356"/>
        <v/>
      </c>
      <c r="BA353" s="23" t="str">
        <f t="shared" si="356"/>
        <v/>
      </c>
      <c r="BB353" s="23" t="str">
        <f t="shared" si="356"/>
        <v/>
      </c>
      <c r="BC353" s="23" t="str">
        <f t="shared" si="356"/>
        <v/>
      </c>
      <c r="BD353" s="23" t="str">
        <f t="shared" si="356"/>
        <v/>
      </c>
      <c r="BE353" s="23" t="str">
        <f t="shared" si="356"/>
        <v/>
      </c>
      <c r="BF353" s="23" t="str">
        <f t="shared" si="356"/>
        <v/>
      </c>
      <c r="BG353" s="23" t="str">
        <f t="shared" si="356"/>
        <v/>
      </c>
      <c r="BH353" s="23" t="str">
        <f t="shared" si="356"/>
        <v/>
      </c>
      <c r="BI353" s="23" t="str">
        <f t="shared" si="357"/>
        <v/>
      </c>
      <c r="BJ353" s="23" t="str">
        <f t="shared" si="357"/>
        <v/>
      </c>
      <c r="BK353" s="23" t="str">
        <f t="shared" si="357"/>
        <v/>
      </c>
      <c r="BL353" s="23" t="str">
        <f t="shared" si="357"/>
        <v/>
      </c>
      <c r="BM353" s="23" t="str">
        <f t="shared" si="357"/>
        <v/>
      </c>
      <c r="BN353" s="23" t="str">
        <f t="shared" si="357"/>
        <v/>
      </c>
      <c r="BO353" s="23" t="str">
        <f t="shared" si="357"/>
        <v/>
      </c>
      <c r="BP353" s="23" t="str">
        <f t="shared" si="357"/>
        <v/>
      </c>
      <c r="BQ353" s="23" t="str">
        <f t="shared" si="357"/>
        <v/>
      </c>
      <c r="BR353" s="23" t="str">
        <f t="shared" si="357"/>
        <v/>
      </c>
      <c r="BS353" s="23" t="str">
        <f t="shared" si="357"/>
        <v/>
      </c>
      <c r="BU353" s="29" t="s">
        <v>818</v>
      </c>
    </row>
  </sheetData>
  <mergeCells count="1">
    <mergeCell ref="A2:BU2"/>
  </mergeCells>
  <conditionalFormatting sqref="K6:BS6">
    <cfRule type="expression" dxfId="131" priority="1">
      <formula>AND(K$4&gt;=$I6,K$4&lt;=$J6)</formula>
    </cfRule>
  </conditionalFormatting>
  <conditionalFormatting sqref="K7:BS12">
    <cfRule type="expression" dxfId="130" priority="2">
      <formula>AND(K$4&gt;=$I7,K$4&lt;=$J7)</formula>
    </cfRule>
  </conditionalFormatting>
  <conditionalFormatting sqref="K14:BS14">
    <cfRule type="expression" dxfId="129" priority="8">
      <formula>AND(K$4&gt;=$I14,K$4&lt;=$J14)</formula>
    </cfRule>
  </conditionalFormatting>
  <conditionalFormatting sqref="K15:BS18">
    <cfRule type="expression" dxfId="128" priority="9">
      <formula>AND(K$4&gt;=$I15,K$4&lt;=$J15)</formula>
    </cfRule>
  </conditionalFormatting>
  <conditionalFormatting sqref="K20:BS20">
    <cfRule type="expression" dxfId="127" priority="13">
      <formula>AND(K$4&gt;=$I20,K$4&lt;=$J20)</formula>
    </cfRule>
  </conditionalFormatting>
  <conditionalFormatting sqref="K21:BS26">
    <cfRule type="expression" dxfId="126" priority="14">
      <formula>AND(K$4&gt;=$I21,K$4&lt;=$J21)</formula>
    </cfRule>
  </conditionalFormatting>
  <conditionalFormatting sqref="K28:BS28">
    <cfRule type="expression" dxfId="125" priority="20">
      <formula>AND(K$4&gt;=$I28,K$4&lt;=$J28)</formula>
    </cfRule>
  </conditionalFormatting>
  <conditionalFormatting sqref="K29:BS32">
    <cfRule type="expression" dxfId="124" priority="21">
      <formula>AND(K$4&gt;=$I29,K$4&lt;=$J29)</formula>
    </cfRule>
  </conditionalFormatting>
  <conditionalFormatting sqref="K34:BS34">
    <cfRule type="expression" dxfId="123" priority="25">
      <formula>AND(K$4&gt;=$I34,K$4&lt;=$J34)</formula>
    </cfRule>
  </conditionalFormatting>
  <conditionalFormatting sqref="K35:BS38">
    <cfRule type="expression" dxfId="122" priority="26">
      <formula>AND(K$4&gt;=$I35,K$4&lt;=$J35)</formula>
    </cfRule>
  </conditionalFormatting>
  <conditionalFormatting sqref="K40:BS40">
    <cfRule type="expression" dxfId="121" priority="30">
      <formula>AND(K$4&gt;=$I40,K$4&lt;=$J40)</formula>
    </cfRule>
  </conditionalFormatting>
  <conditionalFormatting sqref="K41:BS44">
    <cfRule type="expression" dxfId="120" priority="31">
      <formula>AND(K$4&gt;=$I41,K$4&lt;=$J41)</formula>
    </cfRule>
  </conditionalFormatting>
  <conditionalFormatting sqref="K46:BS46">
    <cfRule type="expression" dxfId="119" priority="35">
      <formula>AND(K$4&gt;=$I46,K$4&lt;=$J46)</formula>
    </cfRule>
  </conditionalFormatting>
  <conditionalFormatting sqref="K47:BS50">
    <cfRule type="expression" dxfId="118" priority="36">
      <formula>AND(K$4&gt;=$I47,K$4&lt;=$J47)</formula>
    </cfRule>
  </conditionalFormatting>
  <conditionalFormatting sqref="K52:BS52">
    <cfRule type="expression" dxfId="117" priority="40">
      <formula>AND(K$4&gt;=$I52,K$4&lt;=$J52)</formula>
    </cfRule>
  </conditionalFormatting>
  <conditionalFormatting sqref="K53:BS60">
    <cfRule type="expression" dxfId="116" priority="41">
      <formula>AND(K$4&gt;=$I53,K$4&lt;=$J53)</formula>
    </cfRule>
  </conditionalFormatting>
  <conditionalFormatting sqref="K62:BS62">
    <cfRule type="expression" dxfId="115" priority="49">
      <formula>AND(K$4&gt;=$I62,K$4&lt;=$J62)</formula>
    </cfRule>
  </conditionalFormatting>
  <conditionalFormatting sqref="K63:BS66">
    <cfRule type="expression" dxfId="114" priority="50">
      <formula>AND(K$4&gt;=$I63,K$4&lt;=$J63)</formula>
    </cfRule>
  </conditionalFormatting>
  <conditionalFormatting sqref="K68:BS68">
    <cfRule type="expression" dxfId="113" priority="54">
      <formula>AND(K$4&gt;=$I68,K$4&lt;=$J68)</formula>
    </cfRule>
  </conditionalFormatting>
  <conditionalFormatting sqref="K69:BS72">
    <cfRule type="expression" dxfId="112" priority="55">
      <formula>AND(K$4&gt;=$I69,K$4&lt;=$J69)</formula>
    </cfRule>
  </conditionalFormatting>
  <conditionalFormatting sqref="K74:BS74">
    <cfRule type="expression" dxfId="111" priority="59">
      <formula>AND(K$4&gt;=$I74,K$4&lt;=$J74)</formula>
    </cfRule>
  </conditionalFormatting>
  <conditionalFormatting sqref="K75:BS79">
    <cfRule type="expression" dxfId="110" priority="60">
      <formula>AND(K$4&gt;=$I75,K$4&lt;=$J75)</formula>
    </cfRule>
  </conditionalFormatting>
  <conditionalFormatting sqref="K81:BS81">
    <cfRule type="expression" dxfId="109" priority="65">
      <formula>AND(K$4&gt;=$I81,K$4&lt;=$J81)</formula>
    </cfRule>
  </conditionalFormatting>
  <conditionalFormatting sqref="K82:BS86">
    <cfRule type="expression" dxfId="108" priority="66">
      <formula>AND(K$4&gt;=$I82,K$4&lt;=$J82)</formula>
    </cfRule>
  </conditionalFormatting>
  <conditionalFormatting sqref="K88:BS88">
    <cfRule type="expression" dxfId="107" priority="71">
      <formula>AND(K$4&gt;=$I88,K$4&lt;=$J88)</formula>
    </cfRule>
  </conditionalFormatting>
  <conditionalFormatting sqref="K89:BS93">
    <cfRule type="expression" dxfId="106" priority="72">
      <formula>AND(K$4&gt;=$I89,K$4&lt;=$J89)</formula>
    </cfRule>
  </conditionalFormatting>
  <conditionalFormatting sqref="K95:BS95">
    <cfRule type="expression" dxfId="105" priority="77">
      <formula>AND(K$4&gt;=$I95,K$4&lt;=$J95)</formula>
    </cfRule>
  </conditionalFormatting>
  <conditionalFormatting sqref="K96:BS99">
    <cfRule type="expression" dxfId="104" priority="78">
      <formula>AND(K$4&gt;=$I96,K$4&lt;=$J96)</formula>
    </cfRule>
  </conditionalFormatting>
  <conditionalFormatting sqref="K101:BS101">
    <cfRule type="expression" dxfId="103" priority="82">
      <formula>AND(K$4&gt;=$I101,K$4&lt;=$J101)</formula>
    </cfRule>
  </conditionalFormatting>
  <conditionalFormatting sqref="K102:BS105">
    <cfRule type="expression" dxfId="102" priority="83">
      <formula>AND(K$4&gt;=$I102,K$4&lt;=$J102)</formula>
    </cfRule>
  </conditionalFormatting>
  <conditionalFormatting sqref="K107:BS107">
    <cfRule type="expression" dxfId="101" priority="87">
      <formula>AND(K$4&gt;=$I107,K$4&lt;=$J107)</formula>
    </cfRule>
  </conditionalFormatting>
  <conditionalFormatting sqref="K108:BS110">
    <cfRule type="expression" dxfId="100" priority="88">
      <formula>AND(K$4&gt;=$I108,K$4&lt;=$J108)</formula>
    </cfRule>
  </conditionalFormatting>
  <conditionalFormatting sqref="K112:BS112">
    <cfRule type="expression" dxfId="99" priority="91">
      <formula>AND(K$4&gt;=$I112,K$4&lt;=$J112)</formula>
    </cfRule>
  </conditionalFormatting>
  <conditionalFormatting sqref="K113:BS117">
    <cfRule type="expression" dxfId="98" priority="92">
      <formula>AND(K$4&gt;=$I113,K$4&lt;=$J113)</formula>
    </cfRule>
  </conditionalFormatting>
  <conditionalFormatting sqref="K119:BS119">
    <cfRule type="expression" dxfId="97" priority="97">
      <formula>AND(K$4&gt;=$I119,K$4&lt;=$J119)</formula>
    </cfRule>
  </conditionalFormatting>
  <conditionalFormatting sqref="K120:BS124">
    <cfRule type="expression" dxfId="96" priority="98">
      <formula>AND(K$4&gt;=$I120,K$4&lt;=$J120)</formula>
    </cfRule>
  </conditionalFormatting>
  <conditionalFormatting sqref="K126:BS126">
    <cfRule type="expression" dxfId="95" priority="103">
      <formula>AND(K$4&gt;=$I126,K$4&lt;=$J126)</formula>
    </cfRule>
  </conditionalFormatting>
  <conditionalFormatting sqref="K127:BS131">
    <cfRule type="expression" dxfId="94" priority="104">
      <formula>AND(K$4&gt;=$I127,K$4&lt;=$J127)</formula>
    </cfRule>
  </conditionalFormatting>
  <conditionalFormatting sqref="K133:BS133">
    <cfRule type="expression" dxfId="93" priority="109">
      <formula>AND(K$4&gt;=$I133,K$4&lt;=$J133)</formula>
    </cfRule>
  </conditionalFormatting>
  <conditionalFormatting sqref="K134:BS138">
    <cfRule type="expression" dxfId="92" priority="110">
      <formula>AND(K$4&gt;=$I134,K$4&lt;=$J134)</formula>
    </cfRule>
  </conditionalFormatting>
  <conditionalFormatting sqref="K140:BS140">
    <cfRule type="expression" dxfId="91" priority="115">
      <formula>AND(K$4&gt;=$I140,K$4&lt;=$J140)</formula>
    </cfRule>
  </conditionalFormatting>
  <conditionalFormatting sqref="K141:BS145">
    <cfRule type="expression" dxfId="90" priority="116">
      <formula>AND(K$4&gt;=$I141,K$4&lt;=$J141)</formula>
    </cfRule>
  </conditionalFormatting>
  <conditionalFormatting sqref="K147:BS147">
    <cfRule type="expression" dxfId="89" priority="121">
      <formula>AND(K$4&gt;=$I147,K$4&lt;=$J147)</formula>
    </cfRule>
  </conditionalFormatting>
  <conditionalFormatting sqref="K148:BS152">
    <cfRule type="expression" dxfId="88" priority="122">
      <formula>AND(K$4&gt;=$I148,K$4&lt;=$J148)</formula>
    </cfRule>
  </conditionalFormatting>
  <conditionalFormatting sqref="K154:BS154">
    <cfRule type="expression" dxfId="87" priority="127">
      <formula>AND(K$4&gt;=$I154,K$4&lt;=$J154)</formula>
    </cfRule>
  </conditionalFormatting>
  <conditionalFormatting sqref="K155:BS158">
    <cfRule type="expression" dxfId="86" priority="128">
      <formula>AND(K$4&gt;=$I155,K$4&lt;=$J155)</formula>
    </cfRule>
  </conditionalFormatting>
  <conditionalFormatting sqref="K160:BS160">
    <cfRule type="expression" dxfId="85" priority="132">
      <formula>AND(K$4&gt;=$I160,K$4&lt;=$J160)</formula>
    </cfRule>
  </conditionalFormatting>
  <conditionalFormatting sqref="K161:BS164">
    <cfRule type="expression" dxfId="84" priority="133">
      <formula>AND(K$4&gt;=$I161,K$4&lt;=$J161)</formula>
    </cfRule>
  </conditionalFormatting>
  <conditionalFormatting sqref="K166:BS166">
    <cfRule type="expression" dxfId="83" priority="137">
      <formula>AND(K$4&gt;=$I166,K$4&lt;=$J166)</formula>
    </cfRule>
  </conditionalFormatting>
  <conditionalFormatting sqref="K167:BS169">
    <cfRule type="expression" dxfId="82" priority="138">
      <formula>AND(K$4&gt;=$I167,K$4&lt;=$J167)</formula>
    </cfRule>
  </conditionalFormatting>
  <conditionalFormatting sqref="K171:BS171">
    <cfRule type="expression" dxfId="81" priority="141">
      <formula>AND(K$4&gt;=$I171,K$4&lt;=$J171)</formula>
    </cfRule>
  </conditionalFormatting>
  <conditionalFormatting sqref="K172:BS174">
    <cfRule type="expression" dxfId="80" priority="142">
      <formula>AND(K$4&gt;=$I172,K$4&lt;=$J172)</formula>
    </cfRule>
  </conditionalFormatting>
  <conditionalFormatting sqref="K176:BS176">
    <cfRule type="expression" dxfId="79" priority="145">
      <formula>AND(K$4&gt;=$I176,K$4&lt;=$J176)</formula>
    </cfRule>
  </conditionalFormatting>
  <conditionalFormatting sqref="K177:BS179">
    <cfRule type="expression" dxfId="78" priority="146">
      <formula>AND(K$4&gt;=$I177,K$4&lt;=$J177)</formula>
    </cfRule>
  </conditionalFormatting>
  <conditionalFormatting sqref="K181:BS181">
    <cfRule type="expression" dxfId="77" priority="149">
      <formula>AND(K$4&gt;=$I181,K$4&lt;=$J181)</formula>
    </cfRule>
  </conditionalFormatting>
  <conditionalFormatting sqref="K182:BS185">
    <cfRule type="expression" dxfId="76" priority="150">
      <formula>AND(K$4&gt;=$I182,K$4&lt;=$J182)</formula>
    </cfRule>
  </conditionalFormatting>
  <conditionalFormatting sqref="K187:BS187">
    <cfRule type="expression" dxfId="75" priority="154">
      <formula>AND(K$4&gt;=$I187,K$4&lt;=$J187)</formula>
    </cfRule>
  </conditionalFormatting>
  <conditionalFormatting sqref="K188:BS190">
    <cfRule type="expression" dxfId="74" priority="155">
      <formula>AND(K$4&gt;=$I188,K$4&lt;=$J188)</formula>
    </cfRule>
  </conditionalFormatting>
  <conditionalFormatting sqref="K192:BS192">
    <cfRule type="expression" dxfId="73" priority="158">
      <formula>AND(K$4&gt;=$I192,K$4&lt;=$J192)</formula>
    </cfRule>
  </conditionalFormatting>
  <conditionalFormatting sqref="K193:BS195">
    <cfRule type="expression" dxfId="72" priority="159">
      <formula>AND(K$4&gt;=$I193,K$4&lt;=$J193)</formula>
    </cfRule>
  </conditionalFormatting>
  <conditionalFormatting sqref="K197:BS197">
    <cfRule type="expression" dxfId="71" priority="162">
      <formula>AND(K$4&gt;=$I197,K$4&lt;=$J197)</formula>
    </cfRule>
  </conditionalFormatting>
  <conditionalFormatting sqref="K198:BS202">
    <cfRule type="expression" dxfId="70" priority="163">
      <formula>AND(K$4&gt;=$I198,K$4&lt;=$J198)</formula>
    </cfRule>
  </conditionalFormatting>
  <conditionalFormatting sqref="K204:BS204">
    <cfRule type="expression" dxfId="69" priority="168">
      <formula>AND(K$4&gt;=$I204,K$4&lt;=$J204)</formula>
    </cfRule>
  </conditionalFormatting>
  <conditionalFormatting sqref="K205:BS208">
    <cfRule type="expression" dxfId="68" priority="169">
      <formula>AND(K$4&gt;=$I205,K$4&lt;=$J205)</formula>
    </cfRule>
  </conditionalFormatting>
  <conditionalFormatting sqref="K210:BS210">
    <cfRule type="expression" dxfId="67" priority="173">
      <formula>AND(K$4&gt;=$I210,K$4&lt;=$J210)</formula>
    </cfRule>
  </conditionalFormatting>
  <conditionalFormatting sqref="K211:BS213">
    <cfRule type="expression" dxfId="66" priority="174">
      <formula>AND(K$4&gt;=$I211,K$4&lt;=$J211)</formula>
    </cfRule>
  </conditionalFormatting>
  <conditionalFormatting sqref="K215:BS215">
    <cfRule type="expression" dxfId="65" priority="177">
      <formula>AND(K$4&gt;=$I215,K$4&lt;=$J215)</formula>
    </cfRule>
  </conditionalFormatting>
  <conditionalFormatting sqref="K216:BS218">
    <cfRule type="expression" dxfId="64" priority="178">
      <formula>AND(K$4&gt;=$I216,K$4&lt;=$J216)</formula>
    </cfRule>
  </conditionalFormatting>
  <conditionalFormatting sqref="K220:BS220">
    <cfRule type="expression" dxfId="63" priority="181">
      <formula>AND(K$4&gt;=$I220,K$4&lt;=$J220)</formula>
    </cfRule>
  </conditionalFormatting>
  <conditionalFormatting sqref="K221:BS223">
    <cfRule type="expression" dxfId="62" priority="182">
      <formula>AND(K$4&gt;=$I221,K$4&lt;=$J221)</formula>
    </cfRule>
  </conditionalFormatting>
  <conditionalFormatting sqref="K225:BS225">
    <cfRule type="expression" dxfId="61" priority="185">
      <formula>AND(K$4&gt;=$I225,K$4&lt;=$J225)</formula>
    </cfRule>
  </conditionalFormatting>
  <conditionalFormatting sqref="K226:BS228">
    <cfRule type="expression" dxfId="60" priority="186">
      <formula>AND(K$4&gt;=$I226,K$4&lt;=$J226)</formula>
    </cfRule>
  </conditionalFormatting>
  <conditionalFormatting sqref="K230:BS230">
    <cfRule type="expression" dxfId="59" priority="189">
      <formula>AND(K$4&gt;=$I230,K$4&lt;=$J230)</formula>
    </cfRule>
  </conditionalFormatting>
  <conditionalFormatting sqref="K231:BS233">
    <cfRule type="expression" dxfId="58" priority="190">
      <formula>AND(K$4&gt;=$I231,K$4&lt;=$J231)</formula>
    </cfRule>
  </conditionalFormatting>
  <conditionalFormatting sqref="K235:BS235">
    <cfRule type="expression" dxfId="57" priority="193">
      <formula>AND(K$4&gt;=$I235,K$4&lt;=$J235)</formula>
    </cfRule>
  </conditionalFormatting>
  <conditionalFormatting sqref="K236:BS240">
    <cfRule type="expression" dxfId="56" priority="194">
      <formula>AND(K$4&gt;=$I236,K$4&lt;=$J236)</formula>
    </cfRule>
  </conditionalFormatting>
  <conditionalFormatting sqref="K242:BS242">
    <cfRule type="expression" dxfId="55" priority="199">
      <formula>AND(K$4&gt;=$I242,K$4&lt;=$J242)</formula>
    </cfRule>
  </conditionalFormatting>
  <conditionalFormatting sqref="K243:BS245">
    <cfRule type="expression" dxfId="54" priority="200">
      <formula>AND(K$4&gt;=$I243,K$4&lt;=$J243)</formula>
    </cfRule>
  </conditionalFormatting>
  <conditionalFormatting sqref="K247:BS247">
    <cfRule type="expression" dxfId="53" priority="203">
      <formula>AND(K$4&gt;=$I247,K$4&lt;=$J247)</formula>
    </cfRule>
  </conditionalFormatting>
  <conditionalFormatting sqref="K248:BS250">
    <cfRule type="expression" dxfId="52" priority="204">
      <formula>AND(K$4&gt;=$I248,K$4&lt;=$J248)</formula>
    </cfRule>
  </conditionalFormatting>
  <conditionalFormatting sqref="K252:BS252">
    <cfRule type="expression" dxfId="51" priority="207">
      <formula>AND(K$4&gt;=$I252,K$4&lt;=$J252)</formula>
    </cfRule>
  </conditionalFormatting>
  <conditionalFormatting sqref="K253:BS258">
    <cfRule type="expression" dxfId="50" priority="208">
      <formula>AND(K$4&gt;=$I253,K$4&lt;=$J253)</formula>
    </cfRule>
  </conditionalFormatting>
  <conditionalFormatting sqref="K260:BS260">
    <cfRule type="expression" dxfId="49" priority="214">
      <formula>AND(K$4&gt;=$I260,K$4&lt;=$J260)</formula>
    </cfRule>
  </conditionalFormatting>
  <conditionalFormatting sqref="K261:BS263">
    <cfRule type="expression" dxfId="48" priority="215">
      <formula>AND(K$4&gt;=$I261,K$4&lt;=$J261)</formula>
    </cfRule>
  </conditionalFormatting>
  <conditionalFormatting sqref="K265:BS265">
    <cfRule type="expression" dxfId="47" priority="218">
      <formula>AND(K$4&gt;=$I265,K$4&lt;=$J265)</formula>
    </cfRule>
  </conditionalFormatting>
  <conditionalFormatting sqref="K266:BS267">
    <cfRule type="expression" dxfId="46" priority="219">
      <formula>AND(K$4&gt;=$I266,K$4&lt;=$J266)</formula>
    </cfRule>
  </conditionalFormatting>
  <conditionalFormatting sqref="K269:BS269">
    <cfRule type="expression" dxfId="45" priority="221">
      <formula>AND(K$4&gt;=$I269,K$4&lt;=$J269)</formula>
    </cfRule>
  </conditionalFormatting>
  <conditionalFormatting sqref="K270:BS271">
    <cfRule type="expression" dxfId="44" priority="222">
      <formula>AND(K$4&gt;=$I270,K$4&lt;=$J270)</formula>
    </cfRule>
  </conditionalFormatting>
  <conditionalFormatting sqref="K273:BS273">
    <cfRule type="expression" dxfId="43" priority="224">
      <formula>AND(K$4&gt;=$I273,K$4&lt;=$J273)</formula>
    </cfRule>
  </conditionalFormatting>
  <conditionalFormatting sqref="K274:BS275">
    <cfRule type="expression" dxfId="42" priority="225">
      <formula>AND(K$4&gt;=$I274,K$4&lt;=$J274)</formula>
    </cfRule>
  </conditionalFormatting>
  <conditionalFormatting sqref="K277:BS277">
    <cfRule type="expression" dxfId="41" priority="227">
      <formula>AND(K$4&gt;=$I277,K$4&lt;=$J277)</formula>
    </cfRule>
  </conditionalFormatting>
  <conditionalFormatting sqref="K278:BS279">
    <cfRule type="expression" dxfId="40" priority="228">
      <formula>AND(K$4&gt;=$I278,K$4&lt;=$J278)</formula>
    </cfRule>
  </conditionalFormatting>
  <conditionalFormatting sqref="K281:BS281">
    <cfRule type="expression" dxfId="39" priority="230">
      <formula>AND(K$4&gt;=$I281,K$4&lt;=$J281)</formula>
    </cfRule>
  </conditionalFormatting>
  <conditionalFormatting sqref="K282:BS284">
    <cfRule type="expression" dxfId="38" priority="231">
      <formula>AND(K$4&gt;=$I282,K$4&lt;=$J282)</formula>
    </cfRule>
  </conditionalFormatting>
  <conditionalFormatting sqref="K286:BS286">
    <cfRule type="expression" dxfId="37" priority="234">
      <formula>AND(K$4&gt;=$I286,K$4&lt;=$J286)</formula>
    </cfRule>
  </conditionalFormatting>
  <conditionalFormatting sqref="K287:BS289">
    <cfRule type="expression" dxfId="36" priority="235">
      <formula>AND(K$4&gt;=$I287,K$4&lt;=$J287)</formula>
    </cfRule>
  </conditionalFormatting>
  <conditionalFormatting sqref="K291:BS291">
    <cfRule type="expression" dxfId="35" priority="238">
      <formula>AND(K$4&gt;=$I291,K$4&lt;=$J291)</formula>
    </cfRule>
  </conditionalFormatting>
  <conditionalFormatting sqref="K292:BS294">
    <cfRule type="expression" dxfId="34" priority="239">
      <formula>AND(K$4&gt;=$I292,K$4&lt;=$J292)</formula>
    </cfRule>
  </conditionalFormatting>
  <conditionalFormatting sqref="K296:BS296">
    <cfRule type="expression" dxfId="33" priority="242">
      <formula>AND(K$4&gt;=$I296,K$4&lt;=$J296)</formula>
    </cfRule>
  </conditionalFormatting>
  <conditionalFormatting sqref="K297:BS299">
    <cfRule type="expression" dxfId="32" priority="243">
      <formula>AND(K$4&gt;=$I297,K$4&lt;=$J297)</formula>
    </cfRule>
  </conditionalFormatting>
  <conditionalFormatting sqref="K301:BS301">
    <cfRule type="expression" dxfId="31" priority="246">
      <formula>AND(K$4&gt;=$I301,K$4&lt;=$J301)</formula>
    </cfRule>
  </conditionalFormatting>
  <conditionalFormatting sqref="K302:BS304">
    <cfRule type="expression" dxfId="30" priority="247">
      <formula>AND(K$4&gt;=$I302,K$4&lt;=$J302)</formula>
    </cfRule>
  </conditionalFormatting>
  <conditionalFormatting sqref="K306:BS306">
    <cfRule type="expression" dxfId="29" priority="250">
      <formula>AND(K$4&gt;=$I306,K$4&lt;=$J306)</formula>
    </cfRule>
  </conditionalFormatting>
  <conditionalFormatting sqref="K307:BS311">
    <cfRule type="expression" dxfId="28" priority="251">
      <formula>AND(K$4&gt;=$I307,K$4&lt;=$J307)</formula>
    </cfRule>
  </conditionalFormatting>
  <conditionalFormatting sqref="K313:BS313">
    <cfRule type="expression" dxfId="27" priority="256">
      <formula>AND(K$4&gt;=$I313,K$4&lt;=$J313)</formula>
    </cfRule>
  </conditionalFormatting>
  <conditionalFormatting sqref="K314:BS318">
    <cfRule type="expression" dxfId="26" priority="257">
      <formula>AND(K$4&gt;=$I314,K$4&lt;=$J314)</formula>
    </cfRule>
  </conditionalFormatting>
  <conditionalFormatting sqref="K320:BS320">
    <cfRule type="expression" dxfId="25" priority="262">
      <formula>AND(K$4&gt;=$I320,K$4&lt;=$J320)</formula>
    </cfRule>
  </conditionalFormatting>
  <conditionalFormatting sqref="K321:BS325">
    <cfRule type="expression" dxfId="24" priority="263">
      <formula>AND(K$4&gt;=$I321,K$4&lt;=$J321)</formula>
    </cfRule>
  </conditionalFormatting>
  <conditionalFormatting sqref="K327:BS327">
    <cfRule type="expression" dxfId="23" priority="268">
      <formula>AND(K$4&gt;=$I327,K$4&lt;=$J327)</formula>
    </cfRule>
  </conditionalFormatting>
  <conditionalFormatting sqref="K328:BS332">
    <cfRule type="expression" dxfId="22" priority="269">
      <formula>AND(K$4&gt;=$I328,K$4&lt;=$J328)</formula>
    </cfRule>
  </conditionalFormatting>
  <conditionalFormatting sqref="K334:BS334">
    <cfRule type="expression" dxfId="21" priority="274">
      <formula>AND(K$4&gt;=$I334,K$4&lt;=$J334)</formula>
    </cfRule>
  </conditionalFormatting>
  <conditionalFormatting sqref="K335:BS339">
    <cfRule type="expression" dxfId="20" priority="275">
      <formula>AND(K$4&gt;=$I335,K$4&lt;=$J335)</formula>
    </cfRule>
  </conditionalFormatting>
  <conditionalFormatting sqref="K341:BS341">
    <cfRule type="expression" dxfId="19" priority="280">
      <formula>AND(K$4&gt;=$I341,K$4&lt;=$J341)</formula>
    </cfRule>
  </conditionalFormatting>
  <conditionalFormatting sqref="K342:BS346">
    <cfRule type="expression" dxfId="18" priority="281">
      <formula>AND(K$4&gt;=$I342,K$4&lt;=$J342)</formula>
    </cfRule>
  </conditionalFormatting>
  <conditionalFormatting sqref="K348:BS348">
    <cfRule type="expression" dxfId="17" priority="286">
      <formula>AND(K$4&gt;=$I348,K$4&lt;=$J348)</formula>
    </cfRule>
  </conditionalFormatting>
  <conditionalFormatting sqref="K349:BS353">
    <cfRule type="expression" dxfId="16" priority="287">
      <formula>AND(K$4&gt;=$I349,K$4&lt;=$J349)</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outlinePr summaryBelow="0"/>
  </sheetPr>
  <dimension ref="A1:BZ44"/>
  <sheetViews>
    <sheetView showGridLines="0" workbookViewId="0">
      <pane xSplit="11" ySplit="5" topLeftCell="L6" activePane="bottomRight" state="frozen"/>
      <selection pane="topRight"/>
      <selection pane="bottomLeft"/>
      <selection pane="bottomRight" activeCell="E74" sqref="E74"/>
    </sheetView>
  </sheetViews>
  <sheetFormatPr baseColWidth="10" defaultColWidth="8.83203125" defaultRowHeight="15" outlineLevelRow="1" x14ac:dyDescent="0.2"/>
  <cols>
    <col min="1" max="1" width="12" customWidth="1"/>
    <col min="2" max="2" width="56.6640625" customWidth="1"/>
    <col min="3" max="3" width="10" customWidth="1"/>
    <col min="4" max="4" width="14" customWidth="1"/>
    <col min="5" max="5" width="12" customWidth="1"/>
    <col min="6" max="6" width="14" customWidth="1"/>
    <col min="7" max="7" width="9" customWidth="1"/>
    <col min="8" max="8" width="6" customWidth="1"/>
    <col min="9" max="10" width="9" hidden="1" customWidth="1"/>
    <col min="11" max="11" width="36" customWidth="1"/>
    <col min="12" max="72" width="5" customWidth="1"/>
    <col min="73" max="73" width="12" customWidth="1"/>
    <col min="74" max="74" width="56" customWidth="1"/>
  </cols>
  <sheetData>
    <row r="1" spans="1:78" ht="18" x14ac:dyDescent="0.2">
      <c r="A1" s="1" t="s">
        <v>945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8" ht="40" customHeight="1" x14ac:dyDescent="0.2">
      <c r="A2" s="39" t="s">
        <v>946</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row>
    <row r="3" spans="1:78" ht="16" x14ac:dyDescent="0.2">
      <c r="L3" s="16" t="s">
        <v>87</v>
      </c>
      <c r="O3" s="16" t="s">
        <v>88</v>
      </c>
      <c r="T3" s="16" t="s">
        <v>89</v>
      </c>
      <c r="X3" s="16" t="s">
        <v>90</v>
      </c>
      <c r="AB3" s="16" t="s">
        <v>91</v>
      </c>
      <c r="AG3" s="16" t="s">
        <v>92</v>
      </c>
      <c r="AK3" s="16" t="s">
        <v>93</v>
      </c>
      <c r="AO3" s="16" t="s">
        <v>94</v>
      </c>
      <c r="AS3" s="16" t="s">
        <v>95</v>
      </c>
      <c r="AX3" s="16" t="s">
        <v>96</v>
      </c>
      <c r="BB3" s="16" t="s">
        <v>97</v>
      </c>
      <c r="BG3" s="16" t="s">
        <v>98</v>
      </c>
      <c r="BK3" s="16" t="s">
        <v>99</v>
      </c>
      <c r="BO3" s="16" t="s">
        <v>100</v>
      </c>
      <c r="BT3" s="16" t="s">
        <v>101</v>
      </c>
    </row>
    <row r="4" spans="1:78" ht="16" x14ac:dyDescent="0.2">
      <c r="A4" s="5" t="s">
        <v>102</v>
      </c>
      <c r="B4" s="5" t="s">
        <v>103</v>
      </c>
      <c r="C4" s="5" t="s">
        <v>104</v>
      </c>
      <c r="D4" s="5" t="s">
        <v>105</v>
      </c>
      <c r="E4" s="5" t="s">
        <v>106</v>
      </c>
      <c r="F4" s="5" t="s">
        <v>107</v>
      </c>
      <c r="G4" s="5" t="s">
        <v>108</v>
      </c>
      <c r="H4" s="5" t="s">
        <v>109</v>
      </c>
      <c r="I4" s="5" t="s">
        <v>110</v>
      </c>
      <c r="J4" s="5" t="s">
        <v>111</v>
      </c>
      <c r="K4" s="5" t="s">
        <v>947</v>
      </c>
      <c r="L4" s="17">
        <v>1</v>
      </c>
      <c r="M4" s="17">
        <v>2</v>
      </c>
      <c r="N4" s="17">
        <v>3</v>
      </c>
      <c r="O4" s="17">
        <v>4</v>
      </c>
      <c r="P4" s="17">
        <v>5</v>
      </c>
      <c r="Q4" s="17">
        <v>6</v>
      </c>
      <c r="R4" s="17">
        <v>7</v>
      </c>
      <c r="S4" s="17">
        <v>8</v>
      </c>
      <c r="T4" s="17">
        <v>9</v>
      </c>
      <c r="U4" s="17">
        <v>10</v>
      </c>
      <c r="V4" s="17">
        <v>11</v>
      </c>
      <c r="W4" s="17">
        <v>12</v>
      </c>
      <c r="X4" s="17">
        <v>13</v>
      </c>
      <c r="Y4" s="17">
        <v>14</v>
      </c>
      <c r="Z4" s="17">
        <v>15</v>
      </c>
      <c r="AA4" s="17">
        <v>16</v>
      </c>
      <c r="AB4" s="17">
        <v>17</v>
      </c>
      <c r="AC4" s="17">
        <v>18</v>
      </c>
      <c r="AD4" s="17">
        <v>19</v>
      </c>
      <c r="AE4" s="17">
        <v>20</v>
      </c>
      <c r="AF4" s="17">
        <v>21</v>
      </c>
      <c r="AG4" s="17">
        <v>22</v>
      </c>
      <c r="AH4" s="17">
        <v>23</v>
      </c>
      <c r="AI4" s="17">
        <v>24</v>
      </c>
      <c r="AJ4" s="17">
        <v>25</v>
      </c>
      <c r="AK4" s="17">
        <v>26</v>
      </c>
      <c r="AL4" s="17">
        <v>27</v>
      </c>
      <c r="AM4" s="17">
        <v>28</v>
      </c>
      <c r="AN4" s="17">
        <v>29</v>
      </c>
      <c r="AO4" s="17">
        <v>30</v>
      </c>
      <c r="AP4" s="17">
        <v>31</v>
      </c>
      <c r="AQ4" s="17">
        <v>32</v>
      </c>
      <c r="AR4" s="17">
        <v>33</v>
      </c>
      <c r="AS4" s="17">
        <v>34</v>
      </c>
      <c r="AT4" s="17">
        <v>35</v>
      </c>
      <c r="AU4" s="17">
        <v>36</v>
      </c>
      <c r="AV4" s="17">
        <v>37</v>
      </c>
      <c r="AW4" s="17">
        <v>38</v>
      </c>
      <c r="AX4" s="17">
        <v>39</v>
      </c>
      <c r="AY4" s="17">
        <v>40</v>
      </c>
      <c r="AZ4" s="17">
        <v>41</v>
      </c>
      <c r="BA4" s="17">
        <v>42</v>
      </c>
      <c r="BB4" s="17">
        <v>43</v>
      </c>
      <c r="BC4" s="17">
        <v>44</v>
      </c>
      <c r="BD4" s="17">
        <v>45</v>
      </c>
      <c r="BE4" s="17">
        <v>46</v>
      </c>
      <c r="BF4" s="17">
        <v>47</v>
      </c>
      <c r="BG4" s="17">
        <v>48</v>
      </c>
      <c r="BH4" s="17">
        <v>49</v>
      </c>
      <c r="BI4" s="17">
        <v>50</v>
      </c>
      <c r="BJ4" s="17">
        <v>51</v>
      </c>
      <c r="BK4" s="17">
        <v>52</v>
      </c>
      <c r="BL4" s="17">
        <v>53</v>
      </c>
      <c r="BM4" s="17">
        <v>54</v>
      </c>
      <c r="BN4" s="17">
        <v>55</v>
      </c>
      <c r="BO4" s="17">
        <v>56</v>
      </c>
      <c r="BP4" s="17">
        <v>57</v>
      </c>
      <c r="BQ4" s="17">
        <v>58</v>
      </c>
      <c r="BR4" s="17">
        <v>59</v>
      </c>
      <c r="BS4" s="17">
        <v>60</v>
      </c>
      <c r="BT4" s="17">
        <v>61</v>
      </c>
      <c r="BU4" s="5" t="s">
        <v>112</v>
      </c>
      <c r="BV4" s="5" t="s">
        <v>113</v>
      </c>
      <c r="BX4" s="9">
        <f>31+SlipWeeks</f>
        <v>31</v>
      </c>
      <c r="BY4" s="9">
        <f>29+SlipWeeks</f>
        <v>29</v>
      </c>
      <c r="BZ4" s="9">
        <f>33+SlipWeeks</f>
        <v>33</v>
      </c>
    </row>
    <row r="5" spans="1:78" ht="16" x14ac:dyDescent="0.2">
      <c r="B5" s="9" t="s">
        <v>948</v>
      </c>
      <c r="L5" s="18" t="str">
        <f>IF(L$4=$BX$4,"▲",IF(L$4=$BY$4,"◁",IF(L$4=$BZ$4,"▷",IF(AND(L$4&gt;$BY$4,L$4&lt;$BZ$4),"·",""))))</f>
        <v/>
      </c>
      <c r="M5" s="18" t="str">
        <f>IF(M$4=$BX$4,"▲",IF(M$4=$BY$4,"◁",IF(M$4=$BZ$4,"▷",IF(AND(M$4&gt;$BY$4,M$4&lt;$BZ$4),"·",""))))</f>
        <v/>
      </c>
      <c r="N5" s="18" t="str">
        <f>IF(N$4=$BX$4,"▲",IF(N$4=$BY$4,"◁",IF(N$4=$BZ$4,"▷",IF(AND(N$4&gt;$BY$4,N$4&lt;$BZ$4),"·",""))))</f>
        <v/>
      </c>
      <c r="O5" s="18" t="str">
        <f>IF(O$4=$BX$4,"▲",IF(O$4=$BY$4,"◁",IF(O$4=$BZ$4,"▷",IF(AND(O$4&gt;$BY$4,O$4&lt;$BZ$4),"·",""))))</f>
        <v/>
      </c>
      <c r="P5" s="18" t="str">
        <f>IF(P$4=$BX$4,"▲",IF(P$4=$BY$4,"◁",IF(P$4=$BZ$4,"▷",IF(AND(P$4&gt;$BY$4,P$4&lt;$BZ$4),"·","◆"))))</f>
        <v>◆</v>
      </c>
      <c r="Q5" s="18" t="str">
        <f>IF(Q$4=$BX$4,"▲",IF(Q$4=$BY$4,"◁",IF(Q$4=$BZ$4,"▷",IF(AND(Q$4&gt;$BY$4,Q$4&lt;$BZ$4),"·",""))))</f>
        <v/>
      </c>
      <c r="R5" s="18" t="str">
        <f>IF(R$4=$BX$4,"▲",IF(R$4=$BY$4,"◁",IF(R$4=$BZ$4,"▷",IF(AND(R$4&gt;$BY$4,R$4&lt;$BZ$4),"·",""))))</f>
        <v/>
      </c>
      <c r="S5" s="18" t="str">
        <f>IF(S$4=$BX$4,"▲",IF(S$4=$BY$4,"◁",IF(S$4=$BZ$4,"▷",IF(AND(S$4&gt;$BY$4,S$4&lt;$BZ$4),"·","!"))))</f>
        <v>!</v>
      </c>
      <c r="T5" s="18" t="str">
        <f t="shared" ref="T5:AE5" si="0">IF(T$4=$BX$4,"▲",IF(T$4=$BY$4,"◁",IF(T$4=$BZ$4,"▷",IF(AND(T$4&gt;$BY$4,T$4&lt;$BZ$4),"·",""))))</f>
        <v/>
      </c>
      <c r="U5" s="18" t="str">
        <f t="shared" si="0"/>
        <v/>
      </c>
      <c r="V5" s="18" t="str">
        <f t="shared" si="0"/>
        <v/>
      </c>
      <c r="W5" s="18" t="str">
        <f t="shared" si="0"/>
        <v/>
      </c>
      <c r="X5" s="18" t="str">
        <f t="shared" si="0"/>
        <v/>
      </c>
      <c r="Y5" s="18" t="str">
        <f t="shared" si="0"/>
        <v/>
      </c>
      <c r="Z5" s="18" t="str">
        <f t="shared" si="0"/>
        <v/>
      </c>
      <c r="AA5" s="18" t="str">
        <f t="shared" si="0"/>
        <v/>
      </c>
      <c r="AB5" s="18" t="str">
        <f t="shared" si="0"/>
        <v/>
      </c>
      <c r="AC5" s="18" t="str">
        <f t="shared" si="0"/>
        <v/>
      </c>
      <c r="AD5" s="18" t="str">
        <f t="shared" si="0"/>
        <v/>
      </c>
      <c r="AE5" s="18" t="str">
        <f t="shared" si="0"/>
        <v/>
      </c>
      <c r="AF5" s="18" t="str">
        <f>IF(AF$4=$BX$4,"▲",IF(AF$4=$BY$4,"◁",IF(AF$4=$BZ$4,"▷",IF(AND(AF$4&gt;$BY$4,AF$4&lt;$BZ$4),"·","◆"))))</f>
        <v>◆</v>
      </c>
      <c r="AG5" s="18" t="str">
        <f>IF(AG$4=$BX$4,"▲",IF(AG$4=$BY$4,"◁",IF(AG$4=$BZ$4,"▷",IF(AND(AG$4&gt;$BY$4,AG$4&lt;$BZ$4),"·",""))))</f>
        <v/>
      </c>
      <c r="AH5" s="18" t="str">
        <f>IF(AH$4=$BX$4,"▲",IF(AH$4=$BY$4,"◁",IF(AH$4=$BZ$4,"▷",IF(AND(AH$4&gt;$BY$4,AH$4&lt;$BZ$4),"·",""))))</f>
        <v/>
      </c>
      <c r="AI5" s="18" t="str">
        <f>IF(AI$4=$BX$4,"▲",IF(AI$4=$BY$4,"◁",IF(AI$4=$BZ$4,"▷",IF(AND(AI$4&gt;$BY$4,AI$4&lt;$BZ$4),"·","✕"))))</f>
        <v>✕</v>
      </c>
      <c r="AJ5" s="18" t="str">
        <f>IF(AJ$4=$BX$4,"▲",IF(AJ$4=$BY$4,"◁",IF(AJ$4=$BZ$4,"▷",IF(AND(AJ$4&gt;$BY$4,AJ$4&lt;$BZ$4),"·","◆"))))</f>
        <v>◆</v>
      </c>
      <c r="AK5" s="18" t="str">
        <f t="shared" ref="AK5:BT5" si="1">IF(AK$4=$BX$4,"▲",IF(AK$4=$BY$4,"◁",IF(AK$4=$BZ$4,"▷",IF(AND(AK$4&gt;$BY$4,AK$4&lt;$BZ$4),"·",""))))</f>
        <v/>
      </c>
      <c r="AL5" s="18" t="str">
        <f t="shared" si="1"/>
        <v/>
      </c>
      <c r="AM5" s="18" t="str">
        <f t="shared" si="1"/>
        <v/>
      </c>
      <c r="AN5" s="18" t="str">
        <f t="shared" si="1"/>
        <v>◁</v>
      </c>
      <c r="AO5" s="18" t="str">
        <f t="shared" si="1"/>
        <v>·</v>
      </c>
      <c r="AP5" s="18" t="str">
        <f t="shared" si="1"/>
        <v>▲</v>
      </c>
      <c r="AQ5" s="18" t="str">
        <f t="shared" si="1"/>
        <v>·</v>
      </c>
      <c r="AR5" s="18" t="str">
        <f t="shared" si="1"/>
        <v>▷</v>
      </c>
      <c r="AS5" s="18" t="str">
        <f t="shared" si="1"/>
        <v/>
      </c>
      <c r="AT5" s="18" t="str">
        <f t="shared" si="1"/>
        <v/>
      </c>
      <c r="AU5" s="18" t="str">
        <f t="shared" si="1"/>
        <v/>
      </c>
      <c r="AV5" s="18" t="str">
        <f t="shared" si="1"/>
        <v/>
      </c>
      <c r="AW5" s="18" t="str">
        <f t="shared" si="1"/>
        <v/>
      </c>
      <c r="AX5" s="18" t="str">
        <f t="shared" si="1"/>
        <v/>
      </c>
      <c r="AY5" s="18" t="str">
        <f t="shared" si="1"/>
        <v/>
      </c>
      <c r="AZ5" s="18" t="str">
        <f t="shared" si="1"/>
        <v/>
      </c>
      <c r="BA5" s="18" t="str">
        <f t="shared" si="1"/>
        <v/>
      </c>
      <c r="BB5" s="18" t="str">
        <f t="shared" si="1"/>
        <v/>
      </c>
      <c r="BC5" s="18" t="str">
        <f t="shared" si="1"/>
        <v/>
      </c>
      <c r="BD5" s="18" t="str">
        <f t="shared" si="1"/>
        <v/>
      </c>
      <c r="BE5" s="18" t="str">
        <f t="shared" si="1"/>
        <v/>
      </c>
      <c r="BF5" s="18" t="str">
        <f t="shared" si="1"/>
        <v/>
      </c>
      <c r="BG5" s="18" t="str">
        <f t="shared" si="1"/>
        <v/>
      </c>
      <c r="BH5" s="18" t="str">
        <f t="shared" si="1"/>
        <v/>
      </c>
      <c r="BI5" s="18" t="str">
        <f t="shared" si="1"/>
        <v/>
      </c>
      <c r="BJ5" s="18" t="str">
        <f t="shared" si="1"/>
        <v/>
      </c>
      <c r="BK5" s="18" t="str">
        <f t="shared" si="1"/>
        <v/>
      </c>
      <c r="BL5" s="18" t="str">
        <f t="shared" si="1"/>
        <v/>
      </c>
      <c r="BM5" s="18" t="str">
        <f t="shared" si="1"/>
        <v/>
      </c>
      <c r="BN5" s="18" t="str">
        <f t="shared" si="1"/>
        <v/>
      </c>
      <c r="BO5" s="18" t="str">
        <f t="shared" si="1"/>
        <v/>
      </c>
      <c r="BP5" s="18" t="str">
        <f t="shared" si="1"/>
        <v/>
      </c>
      <c r="BQ5" s="18" t="str">
        <f t="shared" si="1"/>
        <v/>
      </c>
      <c r="BR5" s="18" t="str">
        <f t="shared" si="1"/>
        <v/>
      </c>
      <c r="BS5" s="18" t="str">
        <f t="shared" si="1"/>
        <v/>
      </c>
      <c r="BT5" s="18" t="str">
        <f t="shared" si="1"/>
        <v/>
      </c>
    </row>
    <row r="6" spans="1:78" ht="17" collapsed="1" x14ac:dyDescent="0.2">
      <c r="A6" s="19" t="s">
        <v>949</v>
      </c>
      <c r="B6" s="20" t="s">
        <v>950</v>
      </c>
      <c r="C6" s="19" t="s">
        <v>55</v>
      </c>
      <c r="D6" s="21" t="s">
        <v>951</v>
      </c>
      <c r="E6" s="19" t="s">
        <v>80</v>
      </c>
      <c r="F6" s="19"/>
      <c r="G6" s="22">
        <v>3</v>
      </c>
      <c r="H6" s="22">
        <v>6</v>
      </c>
      <c r="I6" s="22">
        <f>MIN(61,IF(G6&lt;=29,ROUND((G6-1)*(29+SlipWeeks)/29,0)+1,G6+SlipWeeks))</f>
        <v>3</v>
      </c>
      <c r="J6" s="22">
        <f>MIN(61,IF(G6+H6-1&lt;=29,MAX(ROUND((G6+H6-1)*(29+SlipWeeks)/29,0),I6),G6+H6-1+SlipWeeks))</f>
        <v>8</v>
      </c>
      <c r="K6" s="29" t="s">
        <v>952</v>
      </c>
      <c r="L6" s="23" t="str">
        <f t="shared" ref="L6:U8" si="2">IF(AND(L$4&gt;=$I6,L$4&lt;=$J6),1,"")</f>
        <v/>
      </c>
      <c r="M6" s="23" t="str">
        <f t="shared" si="2"/>
        <v/>
      </c>
      <c r="N6" s="23">
        <f t="shared" si="2"/>
        <v>1</v>
      </c>
      <c r="O6" s="23">
        <f t="shared" si="2"/>
        <v>1</v>
      </c>
      <c r="P6" s="23">
        <f t="shared" si="2"/>
        <v>1</v>
      </c>
      <c r="Q6" s="23">
        <f t="shared" si="2"/>
        <v>1</v>
      </c>
      <c r="R6" s="23">
        <f t="shared" si="2"/>
        <v>1</v>
      </c>
      <c r="S6" s="23">
        <f t="shared" si="2"/>
        <v>1</v>
      </c>
      <c r="T6" s="23" t="str">
        <f t="shared" si="2"/>
        <v/>
      </c>
      <c r="U6" s="23" t="str">
        <f t="shared" si="2"/>
        <v/>
      </c>
      <c r="V6" s="23" t="str">
        <f t="shared" ref="V6:AE8" si="3">IF(AND(V$4&gt;=$I6,V$4&lt;=$J6),1,"")</f>
        <v/>
      </c>
      <c r="W6" s="23" t="str">
        <f t="shared" si="3"/>
        <v/>
      </c>
      <c r="X6" s="23" t="str">
        <f t="shared" si="3"/>
        <v/>
      </c>
      <c r="Y6" s="23" t="str">
        <f t="shared" si="3"/>
        <v/>
      </c>
      <c r="Z6" s="23" t="str">
        <f t="shared" si="3"/>
        <v/>
      </c>
      <c r="AA6" s="23" t="str">
        <f t="shared" si="3"/>
        <v/>
      </c>
      <c r="AB6" s="23" t="str">
        <f t="shared" si="3"/>
        <v/>
      </c>
      <c r="AC6" s="23" t="str">
        <f t="shared" si="3"/>
        <v/>
      </c>
      <c r="AD6" s="23" t="str">
        <f t="shared" si="3"/>
        <v/>
      </c>
      <c r="AE6" s="23" t="str">
        <f t="shared" si="3"/>
        <v/>
      </c>
      <c r="AF6" s="23" t="str">
        <f t="shared" ref="AF6:AO8" si="4">IF(AND(AF$4&gt;=$I6,AF$4&lt;=$J6),1,"")</f>
        <v/>
      </c>
      <c r="AG6" s="23" t="str">
        <f t="shared" si="4"/>
        <v/>
      </c>
      <c r="AH6" s="23" t="str">
        <f t="shared" si="4"/>
        <v/>
      </c>
      <c r="AI6" s="23" t="str">
        <f t="shared" si="4"/>
        <v/>
      </c>
      <c r="AJ6" s="23" t="str">
        <f t="shared" si="4"/>
        <v/>
      </c>
      <c r="AK6" s="23" t="str">
        <f t="shared" si="4"/>
        <v/>
      </c>
      <c r="AL6" s="23" t="str">
        <f t="shared" si="4"/>
        <v/>
      </c>
      <c r="AM6" s="23" t="str">
        <f t="shared" si="4"/>
        <v/>
      </c>
      <c r="AN6" s="23" t="str">
        <f t="shared" si="4"/>
        <v/>
      </c>
      <c r="AO6" s="23" t="str">
        <f t="shared" si="4"/>
        <v/>
      </c>
      <c r="AP6" s="23" t="str">
        <f t="shared" ref="AP6:AY8" si="5">IF(AND(AP$4&gt;=$I6,AP$4&lt;=$J6),1,"")</f>
        <v/>
      </c>
      <c r="AQ6" s="23" t="str">
        <f t="shared" si="5"/>
        <v/>
      </c>
      <c r="AR6" s="23" t="str">
        <f t="shared" si="5"/>
        <v/>
      </c>
      <c r="AS6" s="23" t="str">
        <f t="shared" si="5"/>
        <v/>
      </c>
      <c r="AT6" s="23" t="str">
        <f t="shared" si="5"/>
        <v/>
      </c>
      <c r="AU6" s="23" t="str">
        <f t="shared" si="5"/>
        <v/>
      </c>
      <c r="AV6" s="23" t="str">
        <f t="shared" si="5"/>
        <v/>
      </c>
      <c r="AW6" s="23" t="str">
        <f t="shared" si="5"/>
        <v/>
      </c>
      <c r="AX6" s="23" t="str">
        <f t="shared" si="5"/>
        <v/>
      </c>
      <c r="AY6" s="23" t="str">
        <f t="shared" si="5"/>
        <v/>
      </c>
      <c r="AZ6" s="23" t="str">
        <f t="shared" ref="AZ6:BI8" si="6">IF(AND(AZ$4&gt;=$I6,AZ$4&lt;=$J6),1,"")</f>
        <v/>
      </c>
      <c r="BA6" s="23" t="str">
        <f t="shared" si="6"/>
        <v/>
      </c>
      <c r="BB6" s="23" t="str">
        <f t="shared" si="6"/>
        <v/>
      </c>
      <c r="BC6" s="23" t="str">
        <f t="shared" si="6"/>
        <v/>
      </c>
      <c r="BD6" s="23" t="str">
        <f t="shared" si="6"/>
        <v/>
      </c>
      <c r="BE6" s="23" t="str">
        <f t="shared" si="6"/>
        <v/>
      </c>
      <c r="BF6" s="23" t="str">
        <f t="shared" si="6"/>
        <v/>
      </c>
      <c r="BG6" s="23" t="str">
        <f t="shared" si="6"/>
        <v/>
      </c>
      <c r="BH6" s="23" t="str">
        <f t="shared" si="6"/>
        <v/>
      </c>
      <c r="BI6" s="23" t="str">
        <f t="shared" si="6"/>
        <v/>
      </c>
      <c r="BJ6" s="23" t="str">
        <f t="shared" ref="BJ6:BT8" si="7">IF(AND(BJ$4&gt;=$I6,BJ$4&lt;=$J6),1,"")</f>
        <v/>
      </c>
      <c r="BK6" s="23" t="str">
        <f t="shared" si="7"/>
        <v/>
      </c>
      <c r="BL6" s="23" t="str">
        <f t="shared" si="7"/>
        <v/>
      </c>
      <c r="BM6" s="23" t="str">
        <f t="shared" si="7"/>
        <v/>
      </c>
      <c r="BN6" s="23" t="str">
        <f t="shared" si="7"/>
        <v/>
      </c>
      <c r="BO6" s="23" t="str">
        <f t="shared" si="7"/>
        <v/>
      </c>
      <c r="BP6" s="23" t="str">
        <f t="shared" si="7"/>
        <v/>
      </c>
      <c r="BQ6" s="23" t="str">
        <f t="shared" si="7"/>
        <v/>
      </c>
      <c r="BR6" s="23" t="str">
        <f t="shared" si="7"/>
        <v/>
      </c>
      <c r="BS6" s="23" t="str">
        <f t="shared" si="7"/>
        <v/>
      </c>
      <c r="BT6" s="23" t="str">
        <f t="shared" si="7"/>
        <v/>
      </c>
      <c r="BU6" s="24" t="str">
        <f>IF(IF(G6+H6-1&lt;=29,MAX(ROUND((G6+H6-1)*(29+SlipWeeks)/29,0),$I6),G6+H6-1+SlipWeeks)&gt;61,"▶ clipped","")</f>
        <v/>
      </c>
      <c r="BV6" s="29" t="s">
        <v>953</v>
      </c>
    </row>
    <row r="7" spans="1:78" ht="68" hidden="1" outlineLevel="1" x14ac:dyDescent="0.2">
      <c r="A7" s="6" t="s">
        <v>954</v>
      </c>
      <c r="B7" s="25" t="s">
        <v>955</v>
      </c>
      <c r="C7" s="6" t="s">
        <v>55</v>
      </c>
      <c r="D7" s="24" t="s">
        <v>951</v>
      </c>
      <c r="F7" s="6"/>
      <c r="G7" s="22">
        <v>3</v>
      </c>
      <c r="H7" s="22">
        <v>3</v>
      </c>
      <c r="I7" s="22">
        <f>MEDIAN($I$6,$J$6,$I$6+ROUND((G7-$G$6)/$H$6*($J$6-$I$6+1),0))</f>
        <v>3</v>
      </c>
      <c r="J7" s="22">
        <f>MEDIAN(I7,$J$6,$I$6+ROUND((G7+H7-$G$6)/$H$6*($J$6-$I$6+1),0)-1)</f>
        <v>5</v>
      </c>
      <c r="L7" s="23" t="str">
        <f t="shared" si="2"/>
        <v/>
      </c>
      <c r="M7" s="23" t="str">
        <f t="shared" si="2"/>
        <v/>
      </c>
      <c r="N7" s="23">
        <f t="shared" si="2"/>
        <v>1</v>
      </c>
      <c r="O7" s="23">
        <f t="shared" si="2"/>
        <v>1</v>
      </c>
      <c r="P7" s="23">
        <f t="shared" si="2"/>
        <v>1</v>
      </c>
      <c r="Q7" s="23" t="str">
        <f t="shared" si="2"/>
        <v/>
      </c>
      <c r="R7" s="23" t="str">
        <f t="shared" si="2"/>
        <v/>
      </c>
      <c r="S7" s="23" t="str">
        <f t="shared" si="2"/>
        <v/>
      </c>
      <c r="T7" s="23" t="str">
        <f t="shared" si="2"/>
        <v/>
      </c>
      <c r="U7" s="23" t="str">
        <f t="shared" si="2"/>
        <v/>
      </c>
      <c r="V7" s="23" t="str">
        <f t="shared" si="3"/>
        <v/>
      </c>
      <c r="W7" s="23" t="str">
        <f t="shared" si="3"/>
        <v/>
      </c>
      <c r="X7" s="23" t="str">
        <f t="shared" si="3"/>
        <v/>
      </c>
      <c r="Y7" s="23" t="str">
        <f t="shared" si="3"/>
        <v/>
      </c>
      <c r="Z7" s="23" t="str">
        <f t="shared" si="3"/>
        <v/>
      </c>
      <c r="AA7" s="23" t="str">
        <f t="shared" si="3"/>
        <v/>
      </c>
      <c r="AB7" s="23" t="str">
        <f t="shared" si="3"/>
        <v/>
      </c>
      <c r="AC7" s="23" t="str">
        <f t="shared" si="3"/>
        <v/>
      </c>
      <c r="AD7" s="23" t="str">
        <f t="shared" si="3"/>
        <v/>
      </c>
      <c r="AE7" s="23" t="str">
        <f t="shared" si="3"/>
        <v/>
      </c>
      <c r="AF7" s="23" t="str">
        <f t="shared" si="4"/>
        <v/>
      </c>
      <c r="AG7" s="23" t="str">
        <f t="shared" si="4"/>
        <v/>
      </c>
      <c r="AH7" s="23" t="str">
        <f t="shared" si="4"/>
        <v/>
      </c>
      <c r="AI7" s="23" t="str">
        <f t="shared" si="4"/>
        <v/>
      </c>
      <c r="AJ7" s="23" t="str">
        <f t="shared" si="4"/>
        <v/>
      </c>
      <c r="AK7" s="23" t="str">
        <f t="shared" si="4"/>
        <v/>
      </c>
      <c r="AL7" s="23" t="str">
        <f t="shared" si="4"/>
        <v/>
      </c>
      <c r="AM7" s="23" t="str">
        <f t="shared" si="4"/>
        <v/>
      </c>
      <c r="AN7" s="23" t="str">
        <f t="shared" si="4"/>
        <v/>
      </c>
      <c r="AO7" s="23" t="str">
        <f t="shared" si="4"/>
        <v/>
      </c>
      <c r="AP7" s="23" t="str">
        <f t="shared" si="5"/>
        <v/>
      </c>
      <c r="AQ7" s="23" t="str">
        <f t="shared" si="5"/>
        <v/>
      </c>
      <c r="AR7" s="23" t="str">
        <f t="shared" si="5"/>
        <v/>
      </c>
      <c r="AS7" s="23" t="str">
        <f t="shared" si="5"/>
        <v/>
      </c>
      <c r="AT7" s="23" t="str">
        <f t="shared" si="5"/>
        <v/>
      </c>
      <c r="AU7" s="23" t="str">
        <f t="shared" si="5"/>
        <v/>
      </c>
      <c r="AV7" s="23" t="str">
        <f t="shared" si="5"/>
        <v/>
      </c>
      <c r="AW7" s="23" t="str">
        <f t="shared" si="5"/>
        <v/>
      </c>
      <c r="AX7" s="23" t="str">
        <f t="shared" si="5"/>
        <v/>
      </c>
      <c r="AY7" s="23" t="str">
        <f t="shared" si="5"/>
        <v/>
      </c>
      <c r="AZ7" s="23" t="str">
        <f t="shared" si="6"/>
        <v/>
      </c>
      <c r="BA7" s="23" t="str">
        <f t="shared" si="6"/>
        <v/>
      </c>
      <c r="BB7" s="23" t="str">
        <f t="shared" si="6"/>
        <v/>
      </c>
      <c r="BC7" s="23" t="str">
        <f t="shared" si="6"/>
        <v/>
      </c>
      <c r="BD7" s="23" t="str">
        <f t="shared" si="6"/>
        <v/>
      </c>
      <c r="BE7" s="23" t="str">
        <f t="shared" si="6"/>
        <v/>
      </c>
      <c r="BF7" s="23" t="str">
        <f t="shared" si="6"/>
        <v/>
      </c>
      <c r="BG7" s="23" t="str">
        <f t="shared" si="6"/>
        <v/>
      </c>
      <c r="BH7" s="23" t="str">
        <f t="shared" si="6"/>
        <v/>
      </c>
      <c r="BI7" s="23" t="str">
        <f t="shared" si="6"/>
        <v/>
      </c>
      <c r="BJ7" s="23" t="str">
        <f t="shared" si="7"/>
        <v/>
      </c>
      <c r="BK7" s="23" t="str">
        <f t="shared" si="7"/>
        <v/>
      </c>
      <c r="BL7" s="23" t="str">
        <f t="shared" si="7"/>
        <v/>
      </c>
      <c r="BM7" s="23" t="str">
        <f t="shared" si="7"/>
        <v/>
      </c>
      <c r="BN7" s="23" t="str">
        <f t="shared" si="7"/>
        <v/>
      </c>
      <c r="BO7" s="23" t="str">
        <f t="shared" si="7"/>
        <v/>
      </c>
      <c r="BP7" s="23" t="str">
        <f t="shared" si="7"/>
        <v/>
      </c>
      <c r="BQ7" s="23" t="str">
        <f t="shared" si="7"/>
        <v/>
      </c>
      <c r="BR7" s="23" t="str">
        <f t="shared" si="7"/>
        <v/>
      </c>
      <c r="BS7" s="23" t="str">
        <f t="shared" si="7"/>
        <v/>
      </c>
      <c r="BT7" s="23" t="str">
        <f t="shared" si="7"/>
        <v/>
      </c>
      <c r="BV7" s="29" t="s">
        <v>956</v>
      </c>
    </row>
    <row r="8" spans="1:78" ht="51" hidden="1" outlineLevel="1" x14ac:dyDescent="0.2">
      <c r="A8" s="6" t="s">
        <v>957</v>
      </c>
      <c r="B8" s="25" t="s">
        <v>958</v>
      </c>
      <c r="C8" s="6" t="s">
        <v>55</v>
      </c>
      <c r="D8" s="24" t="s">
        <v>951</v>
      </c>
      <c r="F8" s="6" t="s">
        <v>954</v>
      </c>
      <c r="G8" s="22">
        <v>6</v>
      </c>
      <c r="H8" s="22">
        <v>3</v>
      </c>
      <c r="I8" s="22">
        <f>MEDIAN($I$6,$J$6,$I$6+ROUND((G8-$G$6)/$H$6*($J$6-$I$6+1),0))</f>
        <v>6</v>
      </c>
      <c r="J8" s="22">
        <f>MEDIAN(I8,$J$6,$I$6+ROUND((G8+H8-$G$6)/$H$6*($J$6-$I$6+1),0)-1)</f>
        <v>8</v>
      </c>
      <c r="L8" s="23" t="str">
        <f t="shared" si="2"/>
        <v/>
      </c>
      <c r="M8" s="23" t="str">
        <f t="shared" si="2"/>
        <v/>
      </c>
      <c r="N8" s="23" t="str">
        <f t="shared" si="2"/>
        <v/>
      </c>
      <c r="O8" s="23" t="str">
        <f t="shared" si="2"/>
        <v/>
      </c>
      <c r="P8" s="23" t="str">
        <f t="shared" si="2"/>
        <v/>
      </c>
      <c r="Q8" s="23">
        <f t="shared" si="2"/>
        <v>1</v>
      </c>
      <c r="R8" s="23">
        <f t="shared" si="2"/>
        <v>1</v>
      </c>
      <c r="S8" s="23">
        <f t="shared" si="2"/>
        <v>1</v>
      </c>
      <c r="T8" s="23" t="str">
        <f t="shared" si="2"/>
        <v/>
      </c>
      <c r="U8" s="23" t="str">
        <f t="shared" si="2"/>
        <v/>
      </c>
      <c r="V8" s="23" t="str">
        <f t="shared" si="3"/>
        <v/>
      </c>
      <c r="W8" s="23" t="str">
        <f t="shared" si="3"/>
        <v/>
      </c>
      <c r="X8" s="23" t="str">
        <f t="shared" si="3"/>
        <v/>
      </c>
      <c r="Y8" s="23" t="str">
        <f t="shared" si="3"/>
        <v/>
      </c>
      <c r="Z8" s="23" t="str">
        <f t="shared" si="3"/>
        <v/>
      </c>
      <c r="AA8" s="23" t="str">
        <f t="shared" si="3"/>
        <v/>
      </c>
      <c r="AB8" s="23" t="str">
        <f t="shared" si="3"/>
        <v/>
      </c>
      <c r="AC8" s="23" t="str">
        <f t="shared" si="3"/>
        <v/>
      </c>
      <c r="AD8" s="23" t="str">
        <f t="shared" si="3"/>
        <v/>
      </c>
      <c r="AE8" s="23" t="str">
        <f t="shared" si="3"/>
        <v/>
      </c>
      <c r="AF8" s="23" t="str">
        <f t="shared" si="4"/>
        <v/>
      </c>
      <c r="AG8" s="23" t="str">
        <f t="shared" si="4"/>
        <v/>
      </c>
      <c r="AH8" s="23" t="str">
        <f t="shared" si="4"/>
        <v/>
      </c>
      <c r="AI8" s="23" t="str">
        <f t="shared" si="4"/>
        <v/>
      </c>
      <c r="AJ8" s="23" t="str">
        <f t="shared" si="4"/>
        <v/>
      </c>
      <c r="AK8" s="23" t="str">
        <f t="shared" si="4"/>
        <v/>
      </c>
      <c r="AL8" s="23" t="str">
        <f t="shared" si="4"/>
        <v/>
      </c>
      <c r="AM8" s="23" t="str">
        <f t="shared" si="4"/>
        <v/>
      </c>
      <c r="AN8" s="23" t="str">
        <f t="shared" si="4"/>
        <v/>
      </c>
      <c r="AO8" s="23" t="str">
        <f t="shared" si="4"/>
        <v/>
      </c>
      <c r="AP8" s="23" t="str">
        <f t="shared" si="5"/>
        <v/>
      </c>
      <c r="AQ8" s="23" t="str">
        <f t="shared" si="5"/>
        <v/>
      </c>
      <c r="AR8" s="23" t="str">
        <f t="shared" si="5"/>
        <v/>
      </c>
      <c r="AS8" s="23" t="str">
        <f t="shared" si="5"/>
        <v/>
      </c>
      <c r="AT8" s="23" t="str">
        <f t="shared" si="5"/>
        <v/>
      </c>
      <c r="AU8" s="23" t="str">
        <f t="shared" si="5"/>
        <v/>
      </c>
      <c r="AV8" s="23" t="str">
        <f t="shared" si="5"/>
        <v/>
      </c>
      <c r="AW8" s="23" t="str">
        <f t="shared" si="5"/>
        <v/>
      </c>
      <c r="AX8" s="23" t="str">
        <f t="shared" si="5"/>
        <v/>
      </c>
      <c r="AY8" s="23" t="str">
        <f t="shared" si="5"/>
        <v/>
      </c>
      <c r="AZ8" s="23" t="str">
        <f t="shared" si="6"/>
        <v/>
      </c>
      <c r="BA8" s="23" t="str">
        <f t="shared" si="6"/>
        <v/>
      </c>
      <c r="BB8" s="23" t="str">
        <f t="shared" si="6"/>
        <v/>
      </c>
      <c r="BC8" s="23" t="str">
        <f t="shared" si="6"/>
        <v/>
      </c>
      <c r="BD8" s="23" t="str">
        <f t="shared" si="6"/>
        <v/>
      </c>
      <c r="BE8" s="23" t="str">
        <f t="shared" si="6"/>
        <v/>
      </c>
      <c r="BF8" s="23" t="str">
        <f t="shared" si="6"/>
        <v/>
      </c>
      <c r="BG8" s="23" t="str">
        <f t="shared" si="6"/>
        <v/>
      </c>
      <c r="BH8" s="23" t="str">
        <f t="shared" si="6"/>
        <v/>
      </c>
      <c r="BI8" s="23" t="str">
        <f t="shared" si="6"/>
        <v/>
      </c>
      <c r="BJ8" s="23" t="str">
        <f t="shared" si="7"/>
        <v/>
      </c>
      <c r="BK8" s="23" t="str">
        <f t="shared" si="7"/>
        <v/>
      </c>
      <c r="BL8" s="23" t="str">
        <f t="shared" si="7"/>
        <v/>
      </c>
      <c r="BM8" s="23" t="str">
        <f t="shared" si="7"/>
        <v/>
      </c>
      <c r="BN8" s="23" t="str">
        <f t="shared" si="7"/>
        <v/>
      </c>
      <c r="BO8" s="23" t="str">
        <f t="shared" si="7"/>
        <v/>
      </c>
      <c r="BP8" s="23" t="str">
        <f t="shared" si="7"/>
        <v/>
      </c>
      <c r="BQ8" s="23" t="str">
        <f t="shared" si="7"/>
        <v/>
      </c>
      <c r="BR8" s="23" t="str">
        <f t="shared" si="7"/>
        <v/>
      </c>
      <c r="BS8" s="23" t="str">
        <f t="shared" si="7"/>
        <v/>
      </c>
      <c r="BT8" s="23" t="str">
        <f t="shared" si="7"/>
        <v/>
      </c>
      <c r="BV8" s="29" t="s">
        <v>959</v>
      </c>
    </row>
    <row r="10" spans="1:78" ht="17" collapsed="1" x14ac:dyDescent="0.2">
      <c r="A10" s="19" t="s">
        <v>960</v>
      </c>
      <c r="B10" s="20" t="s">
        <v>13</v>
      </c>
      <c r="C10" s="19" t="s">
        <v>55</v>
      </c>
      <c r="D10" s="21" t="s">
        <v>951</v>
      </c>
      <c r="E10" s="19" t="s">
        <v>79</v>
      </c>
      <c r="F10" s="19"/>
      <c r="G10" s="22">
        <v>2</v>
      </c>
      <c r="H10" s="22">
        <v>6</v>
      </c>
      <c r="I10" s="22">
        <f>MIN(61,IF(G10&lt;=29,ROUND((G10-1)*(29+SlipWeeks)/29,0)+1,G10+SlipWeeks))</f>
        <v>2</v>
      </c>
      <c r="J10" s="22">
        <f>MIN(61,IF(G10+H10-1&lt;=29,MAX(ROUND((G10+H10-1)*(29+SlipWeeks)/29,0),I10),G10+H10-1+SlipWeeks))</f>
        <v>7</v>
      </c>
      <c r="K10" s="29" t="s">
        <v>961</v>
      </c>
      <c r="L10" s="23" t="str">
        <f t="shared" ref="L10:U13" si="8">IF(AND(L$4&gt;=$I10,L$4&lt;=$J10),1,"")</f>
        <v/>
      </c>
      <c r="M10" s="23">
        <f t="shared" si="8"/>
        <v>1</v>
      </c>
      <c r="N10" s="23">
        <f t="shared" si="8"/>
        <v>1</v>
      </c>
      <c r="O10" s="23">
        <f t="shared" si="8"/>
        <v>1</v>
      </c>
      <c r="P10" s="23">
        <f t="shared" si="8"/>
        <v>1</v>
      </c>
      <c r="Q10" s="23">
        <f t="shared" si="8"/>
        <v>1</v>
      </c>
      <c r="R10" s="23">
        <f t="shared" si="8"/>
        <v>1</v>
      </c>
      <c r="S10" s="23" t="str">
        <f t="shared" si="8"/>
        <v/>
      </c>
      <c r="T10" s="23" t="str">
        <f t="shared" si="8"/>
        <v/>
      </c>
      <c r="U10" s="23" t="str">
        <f t="shared" si="8"/>
        <v/>
      </c>
      <c r="V10" s="23" t="str">
        <f t="shared" ref="V10:AE13" si="9">IF(AND(V$4&gt;=$I10,V$4&lt;=$J10),1,"")</f>
        <v/>
      </c>
      <c r="W10" s="23" t="str">
        <f t="shared" si="9"/>
        <v/>
      </c>
      <c r="X10" s="23" t="str">
        <f t="shared" si="9"/>
        <v/>
      </c>
      <c r="Y10" s="23" t="str">
        <f t="shared" si="9"/>
        <v/>
      </c>
      <c r="Z10" s="23" t="str">
        <f t="shared" si="9"/>
        <v/>
      </c>
      <c r="AA10" s="23" t="str">
        <f t="shared" si="9"/>
        <v/>
      </c>
      <c r="AB10" s="23" t="str">
        <f t="shared" si="9"/>
        <v/>
      </c>
      <c r="AC10" s="23" t="str">
        <f t="shared" si="9"/>
        <v/>
      </c>
      <c r="AD10" s="23" t="str">
        <f t="shared" si="9"/>
        <v/>
      </c>
      <c r="AE10" s="23" t="str">
        <f t="shared" si="9"/>
        <v/>
      </c>
      <c r="AF10" s="23" t="str">
        <f t="shared" ref="AF10:AO13" si="10">IF(AND(AF$4&gt;=$I10,AF$4&lt;=$J10),1,"")</f>
        <v/>
      </c>
      <c r="AG10" s="23" t="str">
        <f t="shared" si="10"/>
        <v/>
      </c>
      <c r="AH10" s="23" t="str">
        <f t="shared" si="10"/>
        <v/>
      </c>
      <c r="AI10" s="23" t="str">
        <f t="shared" si="10"/>
        <v/>
      </c>
      <c r="AJ10" s="23" t="str">
        <f t="shared" si="10"/>
        <v/>
      </c>
      <c r="AK10" s="23" t="str">
        <f t="shared" si="10"/>
        <v/>
      </c>
      <c r="AL10" s="23" t="str">
        <f t="shared" si="10"/>
        <v/>
      </c>
      <c r="AM10" s="23" t="str">
        <f t="shared" si="10"/>
        <v/>
      </c>
      <c r="AN10" s="23" t="str">
        <f t="shared" si="10"/>
        <v/>
      </c>
      <c r="AO10" s="23" t="str">
        <f t="shared" si="10"/>
        <v/>
      </c>
      <c r="AP10" s="23" t="str">
        <f t="shared" ref="AP10:AY13" si="11">IF(AND(AP$4&gt;=$I10,AP$4&lt;=$J10),1,"")</f>
        <v/>
      </c>
      <c r="AQ10" s="23" t="str">
        <f t="shared" si="11"/>
        <v/>
      </c>
      <c r="AR10" s="23" t="str">
        <f t="shared" si="11"/>
        <v/>
      </c>
      <c r="AS10" s="23" t="str">
        <f t="shared" si="11"/>
        <v/>
      </c>
      <c r="AT10" s="23" t="str">
        <f t="shared" si="11"/>
        <v/>
      </c>
      <c r="AU10" s="23" t="str">
        <f t="shared" si="11"/>
        <v/>
      </c>
      <c r="AV10" s="23" t="str">
        <f t="shared" si="11"/>
        <v/>
      </c>
      <c r="AW10" s="23" t="str">
        <f t="shared" si="11"/>
        <v/>
      </c>
      <c r="AX10" s="23" t="str">
        <f t="shared" si="11"/>
        <v/>
      </c>
      <c r="AY10" s="23" t="str">
        <f t="shared" si="11"/>
        <v/>
      </c>
      <c r="AZ10" s="23" t="str">
        <f t="shared" ref="AZ10:BI13" si="12">IF(AND(AZ$4&gt;=$I10,AZ$4&lt;=$J10),1,"")</f>
        <v/>
      </c>
      <c r="BA10" s="23" t="str">
        <f t="shared" si="12"/>
        <v/>
      </c>
      <c r="BB10" s="23" t="str">
        <f t="shared" si="12"/>
        <v/>
      </c>
      <c r="BC10" s="23" t="str">
        <f t="shared" si="12"/>
        <v/>
      </c>
      <c r="BD10" s="23" t="str">
        <f t="shared" si="12"/>
        <v/>
      </c>
      <c r="BE10" s="23" t="str">
        <f t="shared" si="12"/>
        <v/>
      </c>
      <c r="BF10" s="23" t="str">
        <f t="shared" si="12"/>
        <v/>
      </c>
      <c r="BG10" s="23" t="str">
        <f t="shared" si="12"/>
        <v/>
      </c>
      <c r="BH10" s="23" t="str">
        <f t="shared" si="12"/>
        <v/>
      </c>
      <c r="BI10" s="23" t="str">
        <f t="shared" si="12"/>
        <v/>
      </c>
      <c r="BJ10" s="23" t="str">
        <f t="shared" ref="BJ10:BT13" si="13">IF(AND(BJ$4&gt;=$I10,BJ$4&lt;=$J10),1,"")</f>
        <v/>
      </c>
      <c r="BK10" s="23" t="str">
        <f t="shared" si="13"/>
        <v/>
      </c>
      <c r="BL10" s="23" t="str">
        <f t="shared" si="13"/>
        <v/>
      </c>
      <c r="BM10" s="23" t="str">
        <f t="shared" si="13"/>
        <v/>
      </c>
      <c r="BN10" s="23" t="str">
        <f t="shared" si="13"/>
        <v/>
      </c>
      <c r="BO10" s="23" t="str">
        <f t="shared" si="13"/>
        <v/>
      </c>
      <c r="BP10" s="23" t="str">
        <f t="shared" si="13"/>
        <v/>
      </c>
      <c r="BQ10" s="23" t="str">
        <f t="shared" si="13"/>
        <v/>
      </c>
      <c r="BR10" s="23" t="str">
        <f t="shared" si="13"/>
        <v/>
      </c>
      <c r="BS10" s="23" t="str">
        <f t="shared" si="13"/>
        <v/>
      </c>
      <c r="BT10" s="23" t="str">
        <f t="shared" si="13"/>
        <v/>
      </c>
      <c r="BU10" s="24" t="str">
        <f>IF(IF(G10+H10-1&lt;=29,MAX(ROUND((G10+H10-1)*(29+SlipWeeks)/29,0),$I10),G10+H10-1+SlipWeeks)&gt;61,"▶ clipped","")</f>
        <v/>
      </c>
      <c r="BV10" s="29" t="s">
        <v>962</v>
      </c>
    </row>
    <row r="11" spans="1:78" ht="68" hidden="1" outlineLevel="1" x14ac:dyDescent="0.2">
      <c r="A11" s="6" t="s">
        <v>963</v>
      </c>
      <c r="B11" s="25" t="s">
        <v>964</v>
      </c>
      <c r="C11" s="6" t="s">
        <v>55</v>
      </c>
      <c r="D11" s="24" t="s">
        <v>951</v>
      </c>
      <c r="F11" s="6"/>
      <c r="G11" s="22">
        <v>2</v>
      </c>
      <c r="H11" s="22">
        <v>1</v>
      </c>
      <c r="I11" s="22">
        <f>MEDIAN($I$10,$J$10,$I$10+ROUND((G11-$G$10)/$H$10*($J$10-$I$10+1),0))</f>
        <v>2</v>
      </c>
      <c r="J11" s="22">
        <f>MEDIAN(I11,$J$10,$I$10+ROUND((G11+H11-$G$10)/$H$10*($J$10-$I$10+1),0)-1)</f>
        <v>2</v>
      </c>
      <c r="L11" s="23" t="str">
        <f t="shared" si="8"/>
        <v/>
      </c>
      <c r="M11" s="23">
        <f t="shared" si="8"/>
        <v>1</v>
      </c>
      <c r="N11" s="23" t="str">
        <f t="shared" si="8"/>
        <v/>
      </c>
      <c r="O11" s="23" t="str">
        <f t="shared" si="8"/>
        <v/>
      </c>
      <c r="P11" s="23" t="str">
        <f t="shared" si="8"/>
        <v/>
      </c>
      <c r="Q11" s="23" t="str">
        <f t="shared" si="8"/>
        <v/>
      </c>
      <c r="R11" s="23" t="str">
        <f t="shared" si="8"/>
        <v/>
      </c>
      <c r="S11" s="23" t="str">
        <f t="shared" si="8"/>
        <v/>
      </c>
      <c r="T11" s="23" t="str">
        <f t="shared" si="8"/>
        <v/>
      </c>
      <c r="U11" s="23" t="str">
        <f t="shared" si="8"/>
        <v/>
      </c>
      <c r="V11" s="23" t="str">
        <f t="shared" si="9"/>
        <v/>
      </c>
      <c r="W11" s="23" t="str">
        <f t="shared" si="9"/>
        <v/>
      </c>
      <c r="X11" s="23" t="str">
        <f t="shared" si="9"/>
        <v/>
      </c>
      <c r="Y11" s="23" t="str">
        <f t="shared" si="9"/>
        <v/>
      </c>
      <c r="Z11" s="23" t="str">
        <f t="shared" si="9"/>
        <v/>
      </c>
      <c r="AA11" s="23" t="str">
        <f t="shared" si="9"/>
        <v/>
      </c>
      <c r="AB11" s="23" t="str">
        <f t="shared" si="9"/>
        <v/>
      </c>
      <c r="AC11" s="23" t="str">
        <f t="shared" si="9"/>
        <v/>
      </c>
      <c r="AD11" s="23" t="str">
        <f t="shared" si="9"/>
        <v/>
      </c>
      <c r="AE11" s="23" t="str">
        <f t="shared" si="9"/>
        <v/>
      </c>
      <c r="AF11" s="23" t="str">
        <f t="shared" si="10"/>
        <v/>
      </c>
      <c r="AG11" s="23" t="str">
        <f t="shared" si="10"/>
        <v/>
      </c>
      <c r="AH11" s="23" t="str">
        <f t="shared" si="10"/>
        <v/>
      </c>
      <c r="AI11" s="23" t="str">
        <f t="shared" si="10"/>
        <v/>
      </c>
      <c r="AJ11" s="23" t="str">
        <f t="shared" si="10"/>
        <v/>
      </c>
      <c r="AK11" s="23" t="str">
        <f t="shared" si="10"/>
        <v/>
      </c>
      <c r="AL11" s="23" t="str">
        <f t="shared" si="10"/>
        <v/>
      </c>
      <c r="AM11" s="23" t="str">
        <f t="shared" si="10"/>
        <v/>
      </c>
      <c r="AN11" s="23" t="str">
        <f t="shared" si="10"/>
        <v/>
      </c>
      <c r="AO11" s="23" t="str">
        <f t="shared" si="10"/>
        <v/>
      </c>
      <c r="AP11" s="23" t="str">
        <f t="shared" si="11"/>
        <v/>
      </c>
      <c r="AQ11" s="23" t="str">
        <f t="shared" si="11"/>
        <v/>
      </c>
      <c r="AR11" s="23" t="str">
        <f t="shared" si="11"/>
        <v/>
      </c>
      <c r="AS11" s="23" t="str">
        <f t="shared" si="11"/>
        <v/>
      </c>
      <c r="AT11" s="23" t="str">
        <f t="shared" si="11"/>
        <v/>
      </c>
      <c r="AU11" s="23" t="str">
        <f t="shared" si="11"/>
        <v/>
      </c>
      <c r="AV11" s="23" t="str">
        <f t="shared" si="11"/>
        <v/>
      </c>
      <c r="AW11" s="23" t="str">
        <f t="shared" si="11"/>
        <v/>
      </c>
      <c r="AX11" s="23" t="str">
        <f t="shared" si="11"/>
        <v/>
      </c>
      <c r="AY11" s="23" t="str">
        <f t="shared" si="11"/>
        <v/>
      </c>
      <c r="AZ11" s="23" t="str">
        <f t="shared" si="12"/>
        <v/>
      </c>
      <c r="BA11" s="23" t="str">
        <f t="shared" si="12"/>
        <v/>
      </c>
      <c r="BB11" s="23" t="str">
        <f t="shared" si="12"/>
        <v/>
      </c>
      <c r="BC11" s="23" t="str">
        <f t="shared" si="12"/>
        <v/>
      </c>
      <c r="BD11" s="23" t="str">
        <f t="shared" si="12"/>
        <v/>
      </c>
      <c r="BE11" s="23" t="str">
        <f t="shared" si="12"/>
        <v/>
      </c>
      <c r="BF11" s="23" t="str">
        <f t="shared" si="12"/>
        <v/>
      </c>
      <c r="BG11" s="23" t="str">
        <f t="shared" si="12"/>
        <v/>
      </c>
      <c r="BH11" s="23" t="str">
        <f t="shared" si="12"/>
        <v/>
      </c>
      <c r="BI11" s="23" t="str">
        <f t="shared" si="12"/>
        <v/>
      </c>
      <c r="BJ11" s="23" t="str">
        <f t="shared" si="13"/>
        <v/>
      </c>
      <c r="BK11" s="23" t="str">
        <f t="shared" si="13"/>
        <v/>
      </c>
      <c r="BL11" s="23" t="str">
        <f t="shared" si="13"/>
        <v/>
      </c>
      <c r="BM11" s="23" t="str">
        <f t="shared" si="13"/>
        <v/>
      </c>
      <c r="BN11" s="23" t="str">
        <f t="shared" si="13"/>
        <v/>
      </c>
      <c r="BO11" s="23" t="str">
        <f t="shared" si="13"/>
        <v/>
      </c>
      <c r="BP11" s="23" t="str">
        <f t="shared" si="13"/>
        <v/>
      </c>
      <c r="BQ11" s="23" t="str">
        <f t="shared" si="13"/>
        <v/>
      </c>
      <c r="BR11" s="23" t="str">
        <f t="shared" si="13"/>
        <v/>
      </c>
      <c r="BS11" s="23" t="str">
        <f t="shared" si="13"/>
        <v/>
      </c>
      <c r="BT11" s="23" t="str">
        <f t="shared" si="13"/>
        <v/>
      </c>
      <c r="BV11" s="29" t="s">
        <v>965</v>
      </c>
    </row>
    <row r="12" spans="1:78" ht="34" hidden="1" outlineLevel="1" x14ac:dyDescent="0.2">
      <c r="A12" s="6" t="s">
        <v>966</v>
      </c>
      <c r="B12" s="25" t="s">
        <v>967</v>
      </c>
      <c r="C12" s="6" t="s">
        <v>55</v>
      </c>
      <c r="D12" s="24" t="s">
        <v>951</v>
      </c>
      <c r="F12" s="6" t="s">
        <v>963</v>
      </c>
      <c r="G12" s="22">
        <v>3</v>
      </c>
      <c r="H12" s="22">
        <v>3</v>
      </c>
      <c r="I12" s="22">
        <f>MEDIAN($I$10,$J$10,$I$10+ROUND((G12-$G$10)/$H$10*($J$10-$I$10+1),0))</f>
        <v>3</v>
      </c>
      <c r="J12" s="22">
        <f>MEDIAN(I12,$J$10,$I$10+ROUND((G12+H12-$G$10)/$H$10*($J$10-$I$10+1),0)-1)</f>
        <v>5</v>
      </c>
      <c r="L12" s="23" t="str">
        <f t="shared" si="8"/>
        <v/>
      </c>
      <c r="M12" s="23" t="str">
        <f t="shared" si="8"/>
        <v/>
      </c>
      <c r="N12" s="23">
        <f t="shared" si="8"/>
        <v>1</v>
      </c>
      <c r="O12" s="23">
        <f t="shared" si="8"/>
        <v>1</v>
      </c>
      <c r="P12" s="23">
        <f t="shared" si="8"/>
        <v>1</v>
      </c>
      <c r="Q12" s="23" t="str">
        <f t="shared" si="8"/>
        <v/>
      </c>
      <c r="R12" s="23" t="str">
        <f t="shared" si="8"/>
        <v/>
      </c>
      <c r="S12" s="23" t="str">
        <f t="shared" si="8"/>
        <v/>
      </c>
      <c r="T12" s="23" t="str">
        <f t="shared" si="8"/>
        <v/>
      </c>
      <c r="U12" s="23" t="str">
        <f t="shared" si="8"/>
        <v/>
      </c>
      <c r="V12" s="23" t="str">
        <f t="shared" si="9"/>
        <v/>
      </c>
      <c r="W12" s="23" t="str">
        <f t="shared" si="9"/>
        <v/>
      </c>
      <c r="X12" s="23" t="str">
        <f t="shared" si="9"/>
        <v/>
      </c>
      <c r="Y12" s="23" t="str">
        <f t="shared" si="9"/>
        <v/>
      </c>
      <c r="Z12" s="23" t="str">
        <f t="shared" si="9"/>
        <v/>
      </c>
      <c r="AA12" s="23" t="str">
        <f t="shared" si="9"/>
        <v/>
      </c>
      <c r="AB12" s="23" t="str">
        <f t="shared" si="9"/>
        <v/>
      </c>
      <c r="AC12" s="23" t="str">
        <f t="shared" si="9"/>
        <v/>
      </c>
      <c r="AD12" s="23" t="str">
        <f t="shared" si="9"/>
        <v/>
      </c>
      <c r="AE12" s="23" t="str">
        <f t="shared" si="9"/>
        <v/>
      </c>
      <c r="AF12" s="23" t="str">
        <f t="shared" si="10"/>
        <v/>
      </c>
      <c r="AG12" s="23" t="str">
        <f t="shared" si="10"/>
        <v/>
      </c>
      <c r="AH12" s="23" t="str">
        <f t="shared" si="10"/>
        <v/>
      </c>
      <c r="AI12" s="23" t="str">
        <f t="shared" si="10"/>
        <v/>
      </c>
      <c r="AJ12" s="23" t="str">
        <f t="shared" si="10"/>
        <v/>
      </c>
      <c r="AK12" s="23" t="str">
        <f t="shared" si="10"/>
        <v/>
      </c>
      <c r="AL12" s="23" t="str">
        <f t="shared" si="10"/>
        <v/>
      </c>
      <c r="AM12" s="23" t="str">
        <f t="shared" si="10"/>
        <v/>
      </c>
      <c r="AN12" s="23" t="str">
        <f t="shared" si="10"/>
        <v/>
      </c>
      <c r="AO12" s="23" t="str">
        <f t="shared" si="10"/>
        <v/>
      </c>
      <c r="AP12" s="23" t="str">
        <f t="shared" si="11"/>
        <v/>
      </c>
      <c r="AQ12" s="23" t="str">
        <f t="shared" si="11"/>
        <v/>
      </c>
      <c r="AR12" s="23" t="str">
        <f t="shared" si="11"/>
        <v/>
      </c>
      <c r="AS12" s="23" t="str">
        <f t="shared" si="11"/>
        <v/>
      </c>
      <c r="AT12" s="23" t="str">
        <f t="shared" si="11"/>
        <v/>
      </c>
      <c r="AU12" s="23" t="str">
        <f t="shared" si="11"/>
        <v/>
      </c>
      <c r="AV12" s="23" t="str">
        <f t="shared" si="11"/>
        <v/>
      </c>
      <c r="AW12" s="23" t="str">
        <f t="shared" si="11"/>
        <v/>
      </c>
      <c r="AX12" s="23" t="str">
        <f t="shared" si="11"/>
        <v/>
      </c>
      <c r="AY12" s="23" t="str">
        <f t="shared" si="11"/>
        <v/>
      </c>
      <c r="AZ12" s="23" t="str">
        <f t="shared" si="12"/>
        <v/>
      </c>
      <c r="BA12" s="23" t="str">
        <f t="shared" si="12"/>
        <v/>
      </c>
      <c r="BB12" s="23" t="str">
        <f t="shared" si="12"/>
        <v/>
      </c>
      <c r="BC12" s="23" t="str">
        <f t="shared" si="12"/>
        <v/>
      </c>
      <c r="BD12" s="23" t="str">
        <f t="shared" si="12"/>
        <v/>
      </c>
      <c r="BE12" s="23" t="str">
        <f t="shared" si="12"/>
        <v/>
      </c>
      <c r="BF12" s="23" t="str">
        <f t="shared" si="12"/>
        <v/>
      </c>
      <c r="BG12" s="23" t="str">
        <f t="shared" si="12"/>
        <v/>
      </c>
      <c r="BH12" s="23" t="str">
        <f t="shared" si="12"/>
        <v/>
      </c>
      <c r="BI12" s="23" t="str">
        <f t="shared" si="12"/>
        <v/>
      </c>
      <c r="BJ12" s="23" t="str">
        <f t="shared" si="13"/>
        <v/>
      </c>
      <c r="BK12" s="23" t="str">
        <f t="shared" si="13"/>
        <v/>
      </c>
      <c r="BL12" s="23" t="str">
        <f t="shared" si="13"/>
        <v/>
      </c>
      <c r="BM12" s="23" t="str">
        <f t="shared" si="13"/>
        <v/>
      </c>
      <c r="BN12" s="23" t="str">
        <f t="shared" si="13"/>
        <v/>
      </c>
      <c r="BO12" s="23" t="str">
        <f t="shared" si="13"/>
        <v/>
      </c>
      <c r="BP12" s="23" t="str">
        <f t="shared" si="13"/>
        <v/>
      </c>
      <c r="BQ12" s="23" t="str">
        <f t="shared" si="13"/>
        <v/>
      </c>
      <c r="BR12" s="23" t="str">
        <f t="shared" si="13"/>
        <v/>
      </c>
      <c r="BS12" s="23" t="str">
        <f t="shared" si="13"/>
        <v/>
      </c>
      <c r="BT12" s="23" t="str">
        <f t="shared" si="13"/>
        <v/>
      </c>
      <c r="BV12" s="29" t="s">
        <v>968</v>
      </c>
    </row>
    <row r="13" spans="1:78" ht="51" hidden="1" outlineLevel="1" x14ac:dyDescent="0.2">
      <c r="A13" s="6" t="s">
        <v>969</v>
      </c>
      <c r="B13" s="25" t="s">
        <v>970</v>
      </c>
      <c r="C13" s="6" t="s">
        <v>55</v>
      </c>
      <c r="D13" s="24" t="s">
        <v>951</v>
      </c>
      <c r="F13" s="6" t="s">
        <v>966</v>
      </c>
      <c r="G13" s="22">
        <v>6</v>
      </c>
      <c r="H13" s="22">
        <v>2</v>
      </c>
      <c r="I13" s="22">
        <f>MEDIAN($I$10,$J$10,$I$10+ROUND((G13-$G$10)/$H$10*($J$10-$I$10+1),0))</f>
        <v>6</v>
      </c>
      <c r="J13" s="22">
        <f>MEDIAN(I13,$J$10,$I$10+ROUND((G13+H13-$G$10)/$H$10*($J$10-$I$10+1),0)-1)</f>
        <v>7</v>
      </c>
      <c r="L13" s="23" t="str">
        <f t="shared" si="8"/>
        <v/>
      </c>
      <c r="M13" s="23" t="str">
        <f t="shared" si="8"/>
        <v/>
      </c>
      <c r="N13" s="23" t="str">
        <f t="shared" si="8"/>
        <v/>
      </c>
      <c r="O13" s="23" t="str">
        <f t="shared" si="8"/>
        <v/>
      </c>
      <c r="P13" s="23" t="str">
        <f t="shared" si="8"/>
        <v/>
      </c>
      <c r="Q13" s="23">
        <f t="shared" si="8"/>
        <v>1</v>
      </c>
      <c r="R13" s="23">
        <f t="shared" si="8"/>
        <v>1</v>
      </c>
      <c r="S13" s="23" t="str">
        <f t="shared" si="8"/>
        <v/>
      </c>
      <c r="T13" s="23" t="str">
        <f t="shared" si="8"/>
        <v/>
      </c>
      <c r="U13" s="23" t="str">
        <f t="shared" si="8"/>
        <v/>
      </c>
      <c r="V13" s="23" t="str">
        <f t="shared" si="9"/>
        <v/>
      </c>
      <c r="W13" s="23" t="str">
        <f t="shared" si="9"/>
        <v/>
      </c>
      <c r="X13" s="23" t="str">
        <f t="shared" si="9"/>
        <v/>
      </c>
      <c r="Y13" s="23" t="str">
        <f t="shared" si="9"/>
        <v/>
      </c>
      <c r="Z13" s="23" t="str">
        <f t="shared" si="9"/>
        <v/>
      </c>
      <c r="AA13" s="23" t="str">
        <f t="shared" si="9"/>
        <v/>
      </c>
      <c r="AB13" s="23" t="str">
        <f t="shared" si="9"/>
        <v/>
      </c>
      <c r="AC13" s="23" t="str">
        <f t="shared" si="9"/>
        <v/>
      </c>
      <c r="AD13" s="23" t="str">
        <f t="shared" si="9"/>
        <v/>
      </c>
      <c r="AE13" s="23" t="str">
        <f t="shared" si="9"/>
        <v/>
      </c>
      <c r="AF13" s="23" t="str">
        <f t="shared" si="10"/>
        <v/>
      </c>
      <c r="AG13" s="23" t="str">
        <f t="shared" si="10"/>
        <v/>
      </c>
      <c r="AH13" s="23" t="str">
        <f t="shared" si="10"/>
        <v/>
      </c>
      <c r="AI13" s="23" t="str">
        <f t="shared" si="10"/>
        <v/>
      </c>
      <c r="AJ13" s="23" t="str">
        <f t="shared" si="10"/>
        <v/>
      </c>
      <c r="AK13" s="23" t="str">
        <f t="shared" si="10"/>
        <v/>
      </c>
      <c r="AL13" s="23" t="str">
        <f t="shared" si="10"/>
        <v/>
      </c>
      <c r="AM13" s="23" t="str">
        <f t="shared" si="10"/>
        <v/>
      </c>
      <c r="AN13" s="23" t="str">
        <f t="shared" si="10"/>
        <v/>
      </c>
      <c r="AO13" s="23" t="str">
        <f t="shared" si="10"/>
        <v/>
      </c>
      <c r="AP13" s="23" t="str">
        <f t="shared" si="11"/>
        <v/>
      </c>
      <c r="AQ13" s="23" t="str">
        <f t="shared" si="11"/>
        <v/>
      </c>
      <c r="AR13" s="23" t="str">
        <f t="shared" si="11"/>
        <v/>
      </c>
      <c r="AS13" s="23" t="str">
        <f t="shared" si="11"/>
        <v/>
      </c>
      <c r="AT13" s="23" t="str">
        <f t="shared" si="11"/>
        <v/>
      </c>
      <c r="AU13" s="23" t="str">
        <f t="shared" si="11"/>
        <v/>
      </c>
      <c r="AV13" s="23" t="str">
        <f t="shared" si="11"/>
        <v/>
      </c>
      <c r="AW13" s="23" t="str">
        <f t="shared" si="11"/>
        <v/>
      </c>
      <c r="AX13" s="23" t="str">
        <f t="shared" si="11"/>
        <v/>
      </c>
      <c r="AY13" s="23" t="str">
        <f t="shared" si="11"/>
        <v/>
      </c>
      <c r="AZ13" s="23" t="str">
        <f t="shared" si="12"/>
        <v/>
      </c>
      <c r="BA13" s="23" t="str">
        <f t="shared" si="12"/>
        <v/>
      </c>
      <c r="BB13" s="23" t="str">
        <f t="shared" si="12"/>
        <v/>
      </c>
      <c r="BC13" s="23" t="str">
        <f t="shared" si="12"/>
        <v/>
      </c>
      <c r="BD13" s="23" t="str">
        <f t="shared" si="12"/>
        <v/>
      </c>
      <c r="BE13" s="23" t="str">
        <f t="shared" si="12"/>
        <v/>
      </c>
      <c r="BF13" s="23" t="str">
        <f t="shared" si="12"/>
        <v/>
      </c>
      <c r="BG13" s="23" t="str">
        <f t="shared" si="12"/>
        <v/>
      </c>
      <c r="BH13" s="23" t="str">
        <f t="shared" si="12"/>
        <v/>
      </c>
      <c r="BI13" s="23" t="str">
        <f t="shared" si="12"/>
        <v/>
      </c>
      <c r="BJ13" s="23" t="str">
        <f t="shared" si="13"/>
        <v/>
      </c>
      <c r="BK13" s="23" t="str">
        <f t="shared" si="13"/>
        <v/>
      </c>
      <c r="BL13" s="23" t="str">
        <f t="shared" si="13"/>
        <v/>
      </c>
      <c r="BM13" s="23" t="str">
        <f t="shared" si="13"/>
        <v/>
      </c>
      <c r="BN13" s="23" t="str">
        <f t="shared" si="13"/>
        <v/>
      </c>
      <c r="BO13" s="23" t="str">
        <f t="shared" si="13"/>
        <v/>
      </c>
      <c r="BP13" s="23" t="str">
        <f t="shared" si="13"/>
        <v/>
      </c>
      <c r="BQ13" s="23" t="str">
        <f t="shared" si="13"/>
        <v/>
      </c>
      <c r="BR13" s="23" t="str">
        <f t="shared" si="13"/>
        <v/>
      </c>
      <c r="BS13" s="23" t="str">
        <f t="shared" si="13"/>
        <v/>
      </c>
      <c r="BT13" s="23" t="str">
        <f t="shared" si="13"/>
        <v/>
      </c>
      <c r="BV13" s="29" t="s">
        <v>971</v>
      </c>
    </row>
    <row r="15" spans="1:78" ht="17" collapsed="1" x14ac:dyDescent="0.2">
      <c r="A15" s="19" t="s">
        <v>972</v>
      </c>
      <c r="B15" s="20" t="s">
        <v>973</v>
      </c>
      <c r="C15" s="19" t="s">
        <v>55</v>
      </c>
      <c r="D15" s="21" t="s">
        <v>951</v>
      </c>
      <c r="E15" s="19" t="s">
        <v>75</v>
      </c>
      <c r="F15" s="19"/>
      <c r="G15" s="22">
        <v>1</v>
      </c>
      <c r="H15" s="22">
        <v>5</v>
      </c>
      <c r="I15" s="22">
        <f>MIN(61,IF(G15&lt;=29,ROUND((G15-1)*(29+SlipWeeks)/29,0)+1,G15+SlipWeeks))</f>
        <v>1</v>
      </c>
      <c r="J15" s="22">
        <f>MIN(61,IF(G15+H15-1&lt;=29,MAX(ROUND((G15+H15-1)*(29+SlipWeeks)/29,0),I15),G15+H15-1+SlipWeeks))</f>
        <v>5</v>
      </c>
      <c r="K15" s="29" t="s">
        <v>974</v>
      </c>
      <c r="L15" s="23">
        <f t="shared" ref="L15:U18" si="14">IF(AND(L$4&gt;=$I15,L$4&lt;=$J15),1,"")</f>
        <v>1</v>
      </c>
      <c r="M15" s="23">
        <f t="shared" si="14"/>
        <v>1</v>
      </c>
      <c r="N15" s="23">
        <f t="shared" si="14"/>
        <v>1</v>
      </c>
      <c r="O15" s="23">
        <f t="shared" si="14"/>
        <v>1</v>
      </c>
      <c r="P15" s="23">
        <f t="shared" si="14"/>
        <v>1</v>
      </c>
      <c r="Q15" s="23" t="str">
        <f t="shared" si="14"/>
        <v/>
      </c>
      <c r="R15" s="23" t="str">
        <f t="shared" si="14"/>
        <v/>
      </c>
      <c r="S15" s="23" t="str">
        <f t="shared" si="14"/>
        <v/>
      </c>
      <c r="T15" s="23" t="str">
        <f t="shared" si="14"/>
        <v/>
      </c>
      <c r="U15" s="23" t="str">
        <f t="shared" si="14"/>
        <v/>
      </c>
      <c r="V15" s="23" t="str">
        <f t="shared" ref="V15:AE18" si="15">IF(AND(V$4&gt;=$I15,V$4&lt;=$J15),1,"")</f>
        <v/>
      </c>
      <c r="W15" s="23" t="str">
        <f t="shared" si="15"/>
        <v/>
      </c>
      <c r="X15" s="23" t="str">
        <f t="shared" si="15"/>
        <v/>
      </c>
      <c r="Y15" s="23" t="str">
        <f t="shared" si="15"/>
        <v/>
      </c>
      <c r="Z15" s="23" t="str">
        <f t="shared" si="15"/>
        <v/>
      </c>
      <c r="AA15" s="23" t="str">
        <f t="shared" si="15"/>
        <v/>
      </c>
      <c r="AB15" s="23" t="str">
        <f t="shared" si="15"/>
        <v/>
      </c>
      <c r="AC15" s="23" t="str">
        <f t="shared" si="15"/>
        <v/>
      </c>
      <c r="AD15" s="23" t="str">
        <f t="shared" si="15"/>
        <v/>
      </c>
      <c r="AE15" s="23" t="str">
        <f t="shared" si="15"/>
        <v/>
      </c>
      <c r="AF15" s="23" t="str">
        <f t="shared" ref="AF15:AO18" si="16">IF(AND(AF$4&gt;=$I15,AF$4&lt;=$J15),1,"")</f>
        <v/>
      </c>
      <c r="AG15" s="23" t="str">
        <f t="shared" si="16"/>
        <v/>
      </c>
      <c r="AH15" s="23" t="str">
        <f t="shared" si="16"/>
        <v/>
      </c>
      <c r="AI15" s="23" t="str">
        <f t="shared" si="16"/>
        <v/>
      </c>
      <c r="AJ15" s="23" t="str">
        <f t="shared" si="16"/>
        <v/>
      </c>
      <c r="AK15" s="23" t="str">
        <f t="shared" si="16"/>
        <v/>
      </c>
      <c r="AL15" s="23" t="str">
        <f t="shared" si="16"/>
        <v/>
      </c>
      <c r="AM15" s="23" t="str">
        <f t="shared" si="16"/>
        <v/>
      </c>
      <c r="AN15" s="23" t="str">
        <f t="shared" si="16"/>
        <v/>
      </c>
      <c r="AO15" s="23" t="str">
        <f t="shared" si="16"/>
        <v/>
      </c>
      <c r="AP15" s="23" t="str">
        <f t="shared" ref="AP15:AY18" si="17">IF(AND(AP$4&gt;=$I15,AP$4&lt;=$J15),1,"")</f>
        <v/>
      </c>
      <c r="AQ15" s="23" t="str">
        <f t="shared" si="17"/>
        <v/>
      </c>
      <c r="AR15" s="23" t="str">
        <f t="shared" si="17"/>
        <v/>
      </c>
      <c r="AS15" s="23" t="str">
        <f t="shared" si="17"/>
        <v/>
      </c>
      <c r="AT15" s="23" t="str">
        <f t="shared" si="17"/>
        <v/>
      </c>
      <c r="AU15" s="23" t="str">
        <f t="shared" si="17"/>
        <v/>
      </c>
      <c r="AV15" s="23" t="str">
        <f t="shared" si="17"/>
        <v/>
      </c>
      <c r="AW15" s="23" t="str">
        <f t="shared" si="17"/>
        <v/>
      </c>
      <c r="AX15" s="23" t="str">
        <f t="shared" si="17"/>
        <v/>
      </c>
      <c r="AY15" s="23" t="str">
        <f t="shared" si="17"/>
        <v/>
      </c>
      <c r="AZ15" s="23" t="str">
        <f t="shared" ref="AZ15:BI18" si="18">IF(AND(AZ$4&gt;=$I15,AZ$4&lt;=$J15),1,"")</f>
        <v/>
      </c>
      <c r="BA15" s="23" t="str">
        <f t="shared" si="18"/>
        <v/>
      </c>
      <c r="BB15" s="23" t="str">
        <f t="shared" si="18"/>
        <v/>
      </c>
      <c r="BC15" s="23" t="str">
        <f t="shared" si="18"/>
        <v/>
      </c>
      <c r="BD15" s="23" t="str">
        <f t="shared" si="18"/>
        <v/>
      </c>
      <c r="BE15" s="23" t="str">
        <f t="shared" si="18"/>
        <v/>
      </c>
      <c r="BF15" s="23" t="str">
        <f t="shared" si="18"/>
        <v/>
      </c>
      <c r="BG15" s="23" t="str">
        <f t="shared" si="18"/>
        <v/>
      </c>
      <c r="BH15" s="23" t="str">
        <f t="shared" si="18"/>
        <v/>
      </c>
      <c r="BI15" s="23" t="str">
        <f t="shared" si="18"/>
        <v/>
      </c>
      <c r="BJ15" s="23" t="str">
        <f t="shared" ref="BJ15:BT18" si="19">IF(AND(BJ$4&gt;=$I15,BJ$4&lt;=$J15),1,"")</f>
        <v/>
      </c>
      <c r="BK15" s="23" t="str">
        <f t="shared" si="19"/>
        <v/>
      </c>
      <c r="BL15" s="23" t="str">
        <f t="shared" si="19"/>
        <v/>
      </c>
      <c r="BM15" s="23" t="str">
        <f t="shared" si="19"/>
        <v/>
      </c>
      <c r="BN15" s="23" t="str">
        <f t="shared" si="19"/>
        <v/>
      </c>
      <c r="BO15" s="23" t="str">
        <f t="shared" si="19"/>
        <v/>
      </c>
      <c r="BP15" s="23" t="str">
        <f t="shared" si="19"/>
        <v/>
      </c>
      <c r="BQ15" s="23" t="str">
        <f t="shared" si="19"/>
        <v/>
      </c>
      <c r="BR15" s="23" t="str">
        <f t="shared" si="19"/>
        <v/>
      </c>
      <c r="BS15" s="23" t="str">
        <f t="shared" si="19"/>
        <v/>
      </c>
      <c r="BT15" s="23" t="str">
        <f t="shared" si="19"/>
        <v/>
      </c>
      <c r="BU15" s="24" t="str">
        <f>IF(IF(G15+H15-1&lt;=29,MAX(ROUND((G15+H15-1)*(29+SlipWeeks)/29,0),$I15),G15+H15-1+SlipWeeks)&gt;61,"▶ clipped","")</f>
        <v/>
      </c>
      <c r="BV15" s="29" t="s">
        <v>975</v>
      </c>
    </row>
    <row r="16" spans="1:78" ht="68" hidden="1" outlineLevel="1" x14ac:dyDescent="0.2">
      <c r="A16" s="6" t="s">
        <v>976</v>
      </c>
      <c r="B16" s="25" t="s">
        <v>977</v>
      </c>
      <c r="C16" s="6" t="s">
        <v>55</v>
      </c>
      <c r="D16" s="24" t="s">
        <v>951</v>
      </c>
      <c r="F16" s="6"/>
      <c r="G16" s="22">
        <v>1</v>
      </c>
      <c r="H16" s="22">
        <v>1</v>
      </c>
      <c r="I16" s="22">
        <f>MEDIAN($I$15,$J$15,$I$15+ROUND((G16-$G$15)/$H$15*($J$15-$I$15+1),0))</f>
        <v>1</v>
      </c>
      <c r="J16" s="22">
        <f>MEDIAN(I16,$J$15,$I$15+ROUND((G16+H16-$G$15)/$H$15*($J$15-$I$15+1),0)-1)</f>
        <v>1</v>
      </c>
      <c r="L16" s="23">
        <f t="shared" si="14"/>
        <v>1</v>
      </c>
      <c r="M16" s="23" t="str">
        <f t="shared" si="14"/>
        <v/>
      </c>
      <c r="N16" s="23" t="str">
        <f t="shared" si="14"/>
        <v/>
      </c>
      <c r="O16" s="23" t="str">
        <f t="shared" si="14"/>
        <v/>
      </c>
      <c r="P16" s="23" t="str">
        <f t="shared" si="14"/>
        <v/>
      </c>
      <c r="Q16" s="23" t="str">
        <f t="shared" si="14"/>
        <v/>
      </c>
      <c r="R16" s="23" t="str">
        <f t="shared" si="14"/>
        <v/>
      </c>
      <c r="S16" s="23" t="str">
        <f t="shared" si="14"/>
        <v/>
      </c>
      <c r="T16" s="23" t="str">
        <f t="shared" si="14"/>
        <v/>
      </c>
      <c r="U16" s="23" t="str">
        <f t="shared" si="14"/>
        <v/>
      </c>
      <c r="V16" s="23" t="str">
        <f t="shared" si="15"/>
        <v/>
      </c>
      <c r="W16" s="23" t="str">
        <f t="shared" si="15"/>
        <v/>
      </c>
      <c r="X16" s="23" t="str">
        <f t="shared" si="15"/>
        <v/>
      </c>
      <c r="Y16" s="23" t="str">
        <f t="shared" si="15"/>
        <v/>
      </c>
      <c r="Z16" s="23" t="str">
        <f t="shared" si="15"/>
        <v/>
      </c>
      <c r="AA16" s="23" t="str">
        <f t="shared" si="15"/>
        <v/>
      </c>
      <c r="AB16" s="23" t="str">
        <f t="shared" si="15"/>
        <v/>
      </c>
      <c r="AC16" s="23" t="str">
        <f t="shared" si="15"/>
        <v/>
      </c>
      <c r="AD16" s="23" t="str">
        <f t="shared" si="15"/>
        <v/>
      </c>
      <c r="AE16" s="23" t="str">
        <f t="shared" si="15"/>
        <v/>
      </c>
      <c r="AF16" s="23" t="str">
        <f t="shared" si="16"/>
        <v/>
      </c>
      <c r="AG16" s="23" t="str">
        <f t="shared" si="16"/>
        <v/>
      </c>
      <c r="AH16" s="23" t="str">
        <f t="shared" si="16"/>
        <v/>
      </c>
      <c r="AI16" s="23" t="str">
        <f t="shared" si="16"/>
        <v/>
      </c>
      <c r="AJ16" s="23" t="str">
        <f t="shared" si="16"/>
        <v/>
      </c>
      <c r="AK16" s="23" t="str">
        <f t="shared" si="16"/>
        <v/>
      </c>
      <c r="AL16" s="23" t="str">
        <f t="shared" si="16"/>
        <v/>
      </c>
      <c r="AM16" s="23" t="str">
        <f t="shared" si="16"/>
        <v/>
      </c>
      <c r="AN16" s="23" t="str">
        <f t="shared" si="16"/>
        <v/>
      </c>
      <c r="AO16" s="23" t="str">
        <f t="shared" si="16"/>
        <v/>
      </c>
      <c r="AP16" s="23" t="str">
        <f t="shared" si="17"/>
        <v/>
      </c>
      <c r="AQ16" s="23" t="str">
        <f t="shared" si="17"/>
        <v/>
      </c>
      <c r="AR16" s="23" t="str">
        <f t="shared" si="17"/>
        <v/>
      </c>
      <c r="AS16" s="23" t="str">
        <f t="shared" si="17"/>
        <v/>
      </c>
      <c r="AT16" s="23" t="str">
        <f t="shared" si="17"/>
        <v/>
      </c>
      <c r="AU16" s="23" t="str">
        <f t="shared" si="17"/>
        <v/>
      </c>
      <c r="AV16" s="23" t="str">
        <f t="shared" si="17"/>
        <v/>
      </c>
      <c r="AW16" s="23" t="str">
        <f t="shared" si="17"/>
        <v/>
      </c>
      <c r="AX16" s="23" t="str">
        <f t="shared" si="17"/>
        <v/>
      </c>
      <c r="AY16" s="23" t="str">
        <f t="shared" si="17"/>
        <v/>
      </c>
      <c r="AZ16" s="23" t="str">
        <f t="shared" si="18"/>
        <v/>
      </c>
      <c r="BA16" s="23" t="str">
        <f t="shared" si="18"/>
        <v/>
      </c>
      <c r="BB16" s="23" t="str">
        <f t="shared" si="18"/>
        <v/>
      </c>
      <c r="BC16" s="23" t="str">
        <f t="shared" si="18"/>
        <v/>
      </c>
      <c r="BD16" s="23" t="str">
        <f t="shared" si="18"/>
        <v/>
      </c>
      <c r="BE16" s="23" t="str">
        <f t="shared" si="18"/>
        <v/>
      </c>
      <c r="BF16" s="23" t="str">
        <f t="shared" si="18"/>
        <v/>
      </c>
      <c r="BG16" s="23" t="str">
        <f t="shared" si="18"/>
        <v/>
      </c>
      <c r="BH16" s="23" t="str">
        <f t="shared" si="18"/>
        <v/>
      </c>
      <c r="BI16" s="23" t="str">
        <f t="shared" si="18"/>
        <v/>
      </c>
      <c r="BJ16" s="23" t="str">
        <f t="shared" si="19"/>
        <v/>
      </c>
      <c r="BK16" s="23" t="str">
        <f t="shared" si="19"/>
        <v/>
      </c>
      <c r="BL16" s="23" t="str">
        <f t="shared" si="19"/>
        <v/>
      </c>
      <c r="BM16" s="23" t="str">
        <f t="shared" si="19"/>
        <v/>
      </c>
      <c r="BN16" s="23" t="str">
        <f t="shared" si="19"/>
        <v/>
      </c>
      <c r="BO16" s="23" t="str">
        <f t="shared" si="19"/>
        <v/>
      </c>
      <c r="BP16" s="23" t="str">
        <f t="shared" si="19"/>
        <v/>
      </c>
      <c r="BQ16" s="23" t="str">
        <f t="shared" si="19"/>
        <v/>
      </c>
      <c r="BR16" s="23" t="str">
        <f t="shared" si="19"/>
        <v/>
      </c>
      <c r="BS16" s="23" t="str">
        <f t="shared" si="19"/>
        <v/>
      </c>
      <c r="BT16" s="23" t="str">
        <f t="shared" si="19"/>
        <v/>
      </c>
      <c r="BV16" s="29" t="s">
        <v>978</v>
      </c>
    </row>
    <row r="17" spans="1:74" ht="51" hidden="1" outlineLevel="1" x14ac:dyDescent="0.2">
      <c r="A17" s="6" t="s">
        <v>979</v>
      </c>
      <c r="B17" s="25" t="s">
        <v>980</v>
      </c>
      <c r="C17" s="6" t="s">
        <v>55</v>
      </c>
      <c r="D17" s="24" t="s">
        <v>951</v>
      </c>
      <c r="F17" s="6" t="s">
        <v>976</v>
      </c>
      <c r="G17" s="22">
        <v>2</v>
      </c>
      <c r="H17" s="22">
        <v>2</v>
      </c>
      <c r="I17" s="22">
        <f>MEDIAN($I$15,$J$15,$I$15+ROUND((G17-$G$15)/$H$15*($J$15-$I$15+1),0))</f>
        <v>2</v>
      </c>
      <c r="J17" s="22">
        <f>MEDIAN(I17,$J$15,$I$15+ROUND((G17+H17-$G$15)/$H$15*($J$15-$I$15+1),0)-1)</f>
        <v>3</v>
      </c>
      <c r="L17" s="23" t="str">
        <f t="shared" si="14"/>
        <v/>
      </c>
      <c r="M17" s="23">
        <f t="shared" si="14"/>
        <v>1</v>
      </c>
      <c r="N17" s="23">
        <f t="shared" si="14"/>
        <v>1</v>
      </c>
      <c r="O17" s="23" t="str">
        <f t="shared" si="14"/>
        <v/>
      </c>
      <c r="P17" s="23" t="str">
        <f t="shared" si="14"/>
        <v/>
      </c>
      <c r="Q17" s="23" t="str">
        <f t="shared" si="14"/>
        <v/>
      </c>
      <c r="R17" s="23" t="str">
        <f t="shared" si="14"/>
        <v/>
      </c>
      <c r="S17" s="23" t="str">
        <f t="shared" si="14"/>
        <v/>
      </c>
      <c r="T17" s="23" t="str">
        <f t="shared" si="14"/>
        <v/>
      </c>
      <c r="U17" s="23" t="str">
        <f t="shared" si="14"/>
        <v/>
      </c>
      <c r="V17" s="23" t="str">
        <f t="shared" si="15"/>
        <v/>
      </c>
      <c r="W17" s="23" t="str">
        <f t="shared" si="15"/>
        <v/>
      </c>
      <c r="X17" s="23" t="str">
        <f t="shared" si="15"/>
        <v/>
      </c>
      <c r="Y17" s="23" t="str">
        <f t="shared" si="15"/>
        <v/>
      </c>
      <c r="Z17" s="23" t="str">
        <f t="shared" si="15"/>
        <v/>
      </c>
      <c r="AA17" s="23" t="str">
        <f t="shared" si="15"/>
        <v/>
      </c>
      <c r="AB17" s="23" t="str">
        <f t="shared" si="15"/>
        <v/>
      </c>
      <c r="AC17" s="23" t="str">
        <f t="shared" si="15"/>
        <v/>
      </c>
      <c r="AD17" s="23" t="str">
        <f t="shared" si="15"/>
        <v/>
      </c>
      <c r="AE17" s="23" t="str">
        <f t="shared" si="15"/>
        <v/>
      </c>
      <c r="AF17" s="23" t="str">
        <f t="shared" si="16"/>
        <v/>
      </c>
      <c r="AG17" s="23" t="str">
        <f t="shared" si="16"/>
        <v/>
      </c>
      <c r="AH17" s="23" t="str">
        <f t="shared" si="16"/>
        <v/>
      </c>
      <c r="AI17" s="23" t="str">
        <f t="shared" si="16"/>
        <v/>
      </c>
      <c r="AJ17" s="23" t="str">
        <f t="shared" si="16"/>
        <v/>
      </c>
      <c r="AK17" s="23" t="str">
        <f t="shared" si="16"/>
        <v/>
      </c>
      <c r="AL17" s="23" t="str">
        <f t="shared" si="16"/>
        <v/>
      </c>
      <c r="AM17" s="23" t="str">
        <f t="shared" si="16"/>
        <v/>
      </c>
      <c r="AN17" s="23" t="str">
        <f t="shared" si="16"/>
        <v/>
      </c>
      <c r="AO17" s="23" t="str">
        <f t="shared" si="16"/>
        <v/>
      </c>
      <c r="AP17" s="23" t="str">
        <f t="shared" si="17"/>
        <v/>
      </c>
      <c r="AQ17" s="23" t="str">
        <f t="shared" si="17"/>
        <v/>
      </c>
      <c r="AR17" s="23" t="str">
        <f t="shared" si="17"/>
        <v/>
      </c>
      <c r="AS17" s="23" t="str">
        <f t="shared" si="17"/>
        <v/>
      </c>
      <c r="AT17" s="23" t="str">
        <f t="shared" si="17"/>
        <v/>
      </c>
      <c r="AU17" s="23" t="str">
        <f t="shared" si="17"/>
        <v/>
      </c>
      <c r="AV17" s="23" t="str">
        <f t="shared" si="17"/>
        <v/>
      </c>
      <c r="AW17" s="23" t="str">
        <f t="shared" si="17"/>
        <v/>
      </c>
      <c r="AX17" s="23" t="str">
        <f t="shared" si="17"/>
        <v/>
      </c>
      <c r="AY17" s="23" t="str">
        <f t="shared" si="17"/>
        <v/>
      </c>
      <c r="AZ17" s="23" t="str">
        <f t="shared" si="18"/>
        <v/>
      </c>
      <c r="BA17" s="23" t="str">
        <f t="shared" si="18"/>
        <v/>
      </c>
      <c r="BB17" s="23" t="str">
        <f t="shared" si="18"/>
        <v/>
      </c>
      <c r="BC17" s="23" t="str">
        <f t="shared" si="18"/>
        <v/>
      </c>
      <c r="BD17" s="23" t="str">
        <f t="shared" si="18"/>
        <v/>
      </c>
      <c r="BE17" s="23" t="str">
        <f t="shared" si="18"/>
        <v/>
      </c>
      <c r="BF17" s="23" t="str">
        <f t="shared" si="18"/>
        <v/>
      </c>
      <c r="BG17" s="23" t="str">
        <f t="shared" si="18"/>
        <v/>
      </c>
      <c r="BH17" s="23" t="str">
        <f t="shared" si="18"/>
        <v/>
      </c>
      <c r="BI17" s="23" t="str">
        <f t="shared" si="18"/>
        <v/>
      </c>
      <c r="BJ17" s="23" t="str">
        <f t="shared" si="19"/>
        <v/>
      </c>
      <c r="BK17" s="23" t="str">
        <f t="shared" si="19"/>
        <v/>
      </c>
      <c r="BL17" s="23" t="str">
        <f t="shared" si="19"/>
        <v/>
      </c>
      <c r="BM17" s="23" t="str">
        <f t="shared" si="19"/>
        <v/>
      </c>
      <c r="BN17" s="23" t="str">
        <f t="shared" si="19"/>
        <v/>
      </c>
      <c r="BO17" s="23" t="str">
        <f t="shared" si="19"/>
        <v/>
      </c>
      <c r="BP17" s="23" t="str">
        <f t="shared" si="19"/>
        <v/>
      </c>
      <c r="BQ17" s="23" t="str">
        <f t="shared" si="19"/>
        <v/>
      </c>
      <c r="BR17" s="23" t="str">
        <f t="shared" si="19"/>
        <v/>
      </c>
      <c r="BS17" s="23" t="str">
        <f t="shared" si="19"/>
        <v/>
      </c>
      <c r="BT17" s="23" t="str">
        <f t="shared" si="19"/>
        <v/>
      </c>
      <c r="BV17" s="29" t="s">
        <v>981</v>
      </c>
    </row>
    <row r="18" spans="1:74" ht="51" hidden="1" outlineLevel="1" x14ac:dyDescent="0.2">
      <c r="A18" s="6" t="s">
        <v>982</v>
      </c>
      <c r="B18" s="25" t="s">
        <v>983</v>
      </c>
      <c r="C18" s="6" t="s">
        <v>55</v>
      </c>
      <c r="D18" s="24" t="s">
        <v>951</v>
      </c>
      <c r="F18" s="6" t="s">
        <v>979</v>
      </c>
      <c r="G18" s="22">
        <v>4</v>
      </c>
      <c r="H18" s="22">
        <v>2</v>
      </c>
      <c r="I18" s="22">
        <f>MEDIAN($I$15,$J$15,$I$15+ROUND((G18-$G$15)/$H$15*($J$15-$I$15+1),0))</f>
        <v>4</v>
      </c>
      <c r="J18" s="22">
        <f>MEDIAN(I18,$J$15,$I$15+ROUND((G18+H18-$G$15)/$H$15*($J$15-$I$15+1),0)-1)</f>
        <v>5</v>
      </c>
      <c r="L18" s="23" t="str">
        <f t="shared" si="14"/>
        <v/>
      </c>
      <c r="M18" s="23" t="str">
        <f t="shared" si="14"/>
        <v/>
      </c>
      <c r="N18" s="23" t="str">
        <f t="shared" si="14"/>
        <v/>
      </c>
      <c r="O18" s="23">
        <f t="shared" si="14"/>
        <v>1</v>
      </c>
      <c r="P18" s="23">
        <f t="shared" si="14"/>
        <v>1</v>
      </c>
      <c r="Q18" s="23" t="str">
        <f t="shared" si="14"/>
        <v/>
      </c>
      <c r="R18" s="23" t="str">
        <f t="shared" si="14"/>
        <v/>
      </c>
      <c r="S18" s="23" t="str">
        <f t="shared" si="14"/>
        <v/>
      </c>
      <c r="T18" s="23" t="str">
        <f t="shared" si="14"/>
        <v/>
      </c>
      <c r="U18" s="23" t="str">
        <f t="shared" si="14"/>
        <v/>
      </c>
      <c r="V18" s="23" t="str">
        <f t="shared" si="15"/>
        <v/>
      </c>
      <c r="W18" s="23" t="str">
        <f t="shared" si="15"/>
        <v/>
      </c>
      <c r="X18" s="23" t="str">
        <f t="shared" si="15"/>
        <v/>
      </c>
      <c r="Y18" s="23" t="str">
        <f t="shared" si="15"/>
        <v/>
      </c>
      <c r="Z18" s="23" t="str">
        <f t="shared" si="15"/>
        <v/>
      </c>
      <c r="AA18" s="23" t="str">
        <f t="shared" si="15"/>
        <v/>
      </c>
      <c r="AB18" s="23" t="str">
        <f t="shared" si="15"/>
        <v/>
      </c>
      <c r="AC18" s="23" t="str">
        <f t="shared" si="15"/>
        <v/>
      </c>
      <c r="AD18" s="23" t="str">
        <f t="shared" si="15"/>
        <v/>
      </c>
      <c r="AE18" s="23" t="str">
        <f t="shared" si="15"/>
        <v/>
      </c>
      <c r="AF18" s="23" t="str">
        <f t="shared" si="16"/>
        <v/>
      </c>
      <c r="AG18" s="23" t="str">
        <f t="shared" si="16"/>
        <v/>
      </c>
      <c r="AH18" s="23" t="str">
        <f t="shared" si="16"/>
        <v/>
      </c>
      <c r="AI18" s="23" t="str">
        <f t="shared" si="16"/>
        <v/>
      </c>
      <c r="AJ18" s="23" t="str">
        <f t="shared" si="16"/>
        <v/>
      </c>
      <c r="AK18" s="23" t="str">
        <f t="shared" si="16"/>
        <v/>
      </c>
      <c r="AL18" s="23" t="str">
        <f t="shared" si="16"/>
        <v/>
      </c>
      <c r="AM18" s="23" t="str">
        <f t="shared" si="16"/>
        <v/>
      </c>
      <c r="AN18" s="23" t="str">
        <f t="shared" si="16"/>
        <v/>
      </c>
      <c r="AO18" s="23" t="str">
        <f t="shared" si="16"/>
        <v/>
      </c>
      <c r="AP18" s="23" t="str">
        <f t="shared" si="17"/>
        <v/>
      </c>
      <c r="AQ18" s="23" t="str">
        <f t="shared" si="17"/>
        <v/>
      </c>
      <c r="AR18" s="23" t="str">
        <f t="shared" si="17"/>
        <v/>
      </c>
      <c r="AS18" s="23" t="str">
        <f t="shared" si="17"/>
        <v/>
      </c>
      <c r="AT18" s="23" t="str">
        <f t="shared" si="17"/>
        <v/>
      </c>
      <c r="AU18" s="23" t="str">
        <f t="shared" si="17"/>
        <v/>
      </c>
      <c r="AV18" s="23" t="str">
        <f t="shared" si="17"/>
        <v/>
      </c>
      <c r="AW18" s="23" t="str">
        <f t="shared" si="17"/>
        <v/>
      </c>
      <c r="AX18" s="23" t="str">
        <f t="shared" si="17"/>
        <v/>
      </c>
      <c r="AY18" s="23" t="str">
        <f t="shared" si="17"/>
        <v/>
      </c>
      <c r="AZ18" s="23" t="str">
        <f t="shared" si="18"/>
        <v/>
      </c>
      <c r="BA18" s="23" t="str">
        <f t="shared" si="18"/>
        <v/>
      </c>
      <c r="BB18" s="23" t="str">
        <f t="shared" si="18"/>
        <v/>
      </c>
      <c r="BC18" s="23" t="str">
        <f t="shared" si="18"/>
        <v/>
      </c>
      <c r="BD18" s="23" t="str">
        <f t="shared" si="18"/>
        <v/>
      </c>
      <c r="BE18" s="23" t="str">
        <f t="shared" si="18"/>
        <v/>
      </c>
      <c r="BF18" s="23" t="str">
        <f t="shared" si="18"/>
        <v/>
      </c>
      <c r="BG18" s="23" t="str">
        <f t="shared" si="18"/>
        <v/>
      </c>
      <c r="BH18" s="23" t="str">
        <f t="shared" si="18"/>
        <v/>
      </c>
      <c r="BI18" s="23" t="str">
        <f t="shared" si="18"/>
        <v/>
      </c>
      <c r="BJ18" s="23" t="str">
        <f t="shared" si="19"/>
        <v/>
      </c>
      <c r="BK18" s="23" t="str">
        <f t="shared" si="19"/>
        <v/>
      </c>
      <c r="BL18" s="23" t="str">
        <f t="shared" si="19"/>
        <v/>
      </c>
      <c r="BM18" s="23" t="str">
        <f t="shared" si="19"/>
        <v/>
      </c>
      <c r="BN18" s="23" t="str">
        <f t="shared" si="19"/>
        <v/>
      </c>
      <c r="BO18" s="23" t="str">
        <f t="shared" si="19"/>
        <v/>
      </c>
      <c r="BP18" s="23" t="str">
        <f t="shared" si="19"/>
        <v/>
      </c>
      <c r="BQ18" s="23" t="str">
        <f t="shared" si="19"/>
        <v/>
      </c>
      <c r="BR18" s="23" t="str">
        <f t="shared" si="19"/>
        <v/>
      </c>
      <c r="BS18" s="23" t="str">
        <f t="shared" si="19"/>
        <v/>
      </c>
      <c r="BT18" s="23" t="str">
        <f t="shared" si="19"/>
        <v/>
      </c>
      <c r="BV18" s="29" t="s">
        <v>984</v>
      </c>
    </row>
    <row r="20" spans="1:74" ht="17" collapsed="1" x14ac:dyDescent="0.2">
      <c r="A20" s="19" t="s">
        <v>985</v>
      </c>
      <c r="B20" s="20" t="s">
        <v>986</v>
      </c>
      <c r="C20" s="19" t="s">
        <v>55</v>
      </c>
      <c r="D20" s="21" t="s">
        <v>951</v>
      </c>
      <c r="E20" s="19" t="s">
        <v>81</v>
      </c>
      <c r="F20" s="19"/>
      <c r="G20" s="22">
        <v>6</v>
      </c>
      <c r="H20" s="22">
        <v>3</v>
      </c>
      <c r="I20" s="22">
        <f>MIN(61,IF(G20&lt;=29,ROUND((G20-1)*(29+SlipWeeks)/29,0)+1,G20+SlipWeeks))</f>
        <v>6</v>
      </c>
      <c r="J20" s="22">
        <f>MIN(61,IF(G20+H20-1&lt;=29,MAX(ROUND((G20+H20-1)*(29+SlipWeeks)/29,0),I20),G20+H20-1+SlipWeeks))</f>
        <v>8</v>
      </c>
      <c r="K20" s="29" t="s">
        <v>987</v>
      </c>
      <c r="L20" s="23" t="str">
        <f t="shared" ref="L20:U23" si="20">IF(AND(L$4&gt;=$I20,L$4&lt;=$J20),1,"")</f>
        <v/>
      </c>
      <c r="M20" s="23" t="str">
        <f t="shared" si="20"/>
        <v/>
      </c>
      <c r="N20" s="23" t="str">
        <f t="shared" si="20"/>
        <v/>
      </c>
      <c r="O20" s="23" t="str">
        <f t="shared" si="20"/>
        <v/>
      </c>
      <c r="P20" s="23" t="str">
        <f t="shared" si="20"/>
        <v/>
      </c>
      <c r="Q20" s="23">
        <f t="shared" si="20"/>
        <v>1</v>
      </c>
      <c r="R20" s="23">
        <f t="shared" si="20"/>
        <v>1</v>
      </c>
      <c r="S20" s="23">
        <f t="shared" si="20"/>
        <v>1</v>
      </c>
      <c r="T20" s="23" t="str">
        <f t="shared" si="20"/>
        <v/>
      </c>
      <c r="U20" s="23" t="str">
        <f t="shared" si="20"/>
        <v/>
      </c>
      <c r="V20" s="23" t="str">
        <f t="shared" ref="V20:AE23" si="21">IF(AND(V$4&gt;=$I20,V$4&lt;=$J20),1,"")</f>
        <v/>
      </c>
      <c r="W20" s="23" t="str">
        <f t="shared" si="21"/>
        <v/>
      </c>
      <c r="X20" s="23" t="str">
        <f t="shared" si="21"/>
        <v/>
      </c>
      <c r="Y20" s="23" t="str">
        <f t="shared" si="21"/>
        <v/>
      </c>
      <c r="Z20" s="23" t="str">
        <f t="shared" si="21"/>
        <v/>
      </c>
      <c r="AA20" s="23" t="str">
        <f t="shared" si="21"/>
        <v/>
      </c>
      <c r="AB20" s="23" t="str">
        <f t="shared" si="21"/>
        <v/>
      </c>
      <c r="AC20" s="23" t="str">
        <f t="shared" si="21"/>
        <v/>
      </c>
      <c r="AD20" s="23" t="str">
        <f t="shared" si="21"/>
        <v/>
      </c>
      <c r="AE20" s="23" t="str">
        <f t="shared" si="21"/>
        <v/>
      </c>
      <c r="AF20" s="23" t="str">
        <f t="shared" ref="AF20:AO23" si="22">IF(AND(AF$4&gt;=$I20,AF$4&lt;=$J20),1,"")</f>
        <v/>
      </c>
      <c r="AG20" s="23" t="str">
        <f t="shared" si="22"/>
        <v/>
      </c>
      <c r="AH20" s="23" t="str">
        <f t="shared" si="22"/>
        <v/>
      </c>
      <c r="AI20" s="23" t="str">
        <f t="shared" si="22"/>
        <v/>
      </c>
      <c r="AJ20" s="23" t="str">
        <f t="shared" si="22"/>
        <v/>
      </c>
      <c r="AK20" s="23" t="str">
        <f t="shared" si="22"/>
        <v/>
      </c>
      <c r="AL20" s="23" t="str">
        <f t="shared" si="22"/>
        <v/>
      </c>
      <c r="AM20" s="23" t="str">
        <f t="shared" si="22"/>
        <v/>
      </c>
      <c r="AN20" s="23" t="str">
        <f t="shared" si="22"/>
        <v/>
      </c>
      <c r="AO20" s="23" t="str">
        <f t="shared" si="22"/>
        <v/>
      </c>
      <c r="AP20" s="23" t="str">
        <f t="shared" ref="AP20:AY23" si="23">IF(AND(AP$4&gt;=$I20,AP$4&lt;=$J20),1,"")</f>
        <v/>
      </c>
      <c r="AQ20" s="23" t="str">
        <f t="shared" si="23"/>
        <v/>
      </c>
      <c r="AR20" s="23" t="str">
        <f t="shared" si="23"/>
        <v/>
      </c>
      <c r="AS20" s="23" t="str">
        <f t="shared" si="23"/>
        <v/>
      </c>
      <c r="AT20" s="23" t="str">
        <f t="shared" si="23"/>
        <v/>
      </c>
      <c r="AU20" s="23" t="str">
        <f t="shared" si="23"/>
        <v/>
      </c>
      <c r="AV20" s="23" t="str">
        <f t="shared" si="23"/>
        <v/>
      </c>
      <c r="AW20" s="23" t="str">
        <f t="shared" si="23"/>
        <v/>
      </c>
      <c r="AX20" s="23" t="str">
        <f t="shared" si="23"/>
        <v/>
      </c>
      <c r="AY20" s="23" t="str">
        <f t="shared" si="23"/>
        <v/>
      </c>
      <c r="AZ20" s="23" t="str">
        <f t="shared" ref="AZ20:BI23" si="24">IF(AND(AZ$4&gt;=$I20,AZ$4&lt;=$J20),1,"")</f>
        <v/>
      </c>
      <c r="BA20" s="23" t="str">
        <f t="shared" si="24"/>
        <v/>
      </c>
      <c r="BB20" s="23" t="str">
        <f t="shared" si="24"/>
        <v/>
      </c>
      <c r="BC20" s="23" t="str">
        <f t="shared" si="24"/>
        <v/>
      </c>
      <c r="BD20" s="23" t="str">
        <f t="shared" si="24"/>
        <v/>
      </c>
      <c r="BE20" s="23" t="str">
        <f t="shared" si="24"/>
        <v/>
      </c>
      <c r="BF20" s="23" t="str">
        <f t="shared" si="24"/>
        <v/>
      </c>
      <c r="BG20" s="23" t="str">
        <f t="shared" si="24"/>
        <v/>
      </c>
      <c r="BH20" s="23" t="str">
        <f t="shared" si="24"/>
        <v/>
      </c>
      <c r="BI20" s="23" t="str">
        <f t="shared" si="24"/>
        <v/>
      </c>
      <c r="BJ20" s="23" t="str">
        <f t="shared" ref="BJ20:BT23" si="25">IF(AND(BJ$4&gt;=$I20,BJ$4&lt;=$J20),1,"")</f>
        <v/>
      </c>
      <c r="BK20" s="23" t="str">
        <f t="shared" si="25"/>
        <v/>
      </c>
      <c r="BL20" s="23" t="str">
        <f t="shared" si="25"/>
        <v/>
      </c>
      <c r="BM20" s="23" t="str">
        <f t="shared" si="25"/>
        <v/>
      </c>
      <c r="BN20" s="23" t="str">
        <f t="shared" si="25"/>
        <v/>
      </c>
      <c r="BO20" s="23" t="str">
        <f t="shared" si="25"/>
        <v/>
      </c>
      <c r="BP20" s="23" t="str">
        <f t="shared" si="25"/>
        <v/>
      </c>
      <c r="BQ20" s="23" t="str">
        <f t="shared" si="25"/>
        <v/>
      </c>
      <c r="BR20" s="23" t="str">
        <f t="shared" si="25"/>
        <v/>
      </c>
      <c r="BS20" s="23" t="str">
        <f t="shared" si="25"/>
        <v/>
      </c>
      <c r="BT20" s="23" t="str">
        <f t="shared" si="25"/>
        <v/>
      </c>
      <c r="BU20" s="24" t="str">
        <f>IF(IF(G20+H20-1&lt;=29,MAX(ROUND((G20+H20-1)*(29+SlipWeeks)/29,0),$I20),G20+H20-1+SlipWeeks)&gt;61,"▶ clipped","")</f>
        <v/>
      </c>
      <c r="BV20" s="29" t="s">
        <v>988</v>
      </c>
    </row>
    <row r="21" spans="1:74" ht="34" hidden="1" outlineLevel="1" x14ac:dyDescent="0.2">
      <c r="A21" s="6" t="s">
        <v>989</v>
      </c>
      <c r="B21" s="25" t="s">
        <v>990</v>
      </c>
      <c r="C21" s="6" t="s">
        <v>55</v>
      </c>
      <c r="D21" s="24" t="s">
        <v>951</v>
      </c>
      <c r="F21" s="6"/>
      <c r="G21" s="22">
        <v>6</v>
      </c>
      <c r="H21" s="22">
        <v>1</v>
      </c>
      <c r="I21" s="22">
        <f>MEDIAN($I$20,$J$20,$I$20+ROUND((G21-$G$20)/$H$20*($J$20-$I$20+1),0))</f>
        <v>6</v>
      </c>
      <c r="J21" s="22">
        <f>MEDIAN(I21,$J$20,$I$20+ROUND((G21+H21-$G$20)/$H$20*($J$20-$I$20+1),0)-1)</f>
        <v>6</v>
      </c>
      <c r="L21" s="23" t="str">
        <f t="shared" si="20"/>
        <v/>
      </c>
      <c r="M21" s="23" t="str">
        <f t="shared" si="20"/>
        <v/>
      </c>
      <c r="N21" s="23" t="str">
        <f t="shared" si="20"/>
        <v/>
      </c>
      <c r="O21" s="23" t="str">
        <f t="shared" si="20"/>
        <v/>
      </c>
      <c r="P21" s="23" t="str">
        <f t="shared" si="20"/>
        <v/>
      </c>
      <c r="Q21" s="23">
        <f t="shared" si="20"/>
        <v>1</v>
      </c>
      <c r="R21" s="23" t="str">
        <f t="shared" si="20"/>
        <v/>
      </c>
      <c r="S21" s="23" t="str">
        <f t="shared" si="20"/>
        <v/>
      </c>
      <c r="T21" s="23" t="str">
        <f t="shared" si="20"/>
        <v/>
      </c>
      <c r="U21" s="23" t="str">
        <f t="shared" si="20"/>
        <v/>
      </c>
      <c r="V21" s="23" t="str">
        <f t="shared" si="21"/>
        <v/>
      </c>
      <c r="W21" s="23" t="str">
        <f t="shared" si="21"/>
        <v/>
      </c>
      <c r="X21" s="23" t="str">
        <f t="shared" si="21"/>
        <v/>
      </c>
      <c r="Y21" s="23" t="str">
        <f t="shared" si="21"/>
        <v/>
      </c>
      <c r="Z21" s="23" t="str">
        <f t="shared" si="21"/>
        <v/>
      </c>
      <c r="AA21" s="23" t="str">
        <f t="shared" si="21"/>
        <v/>
      </c>
      <c r="AB21" s="23" t="str">
        <f t="shared" si="21"/>
        <v/>
      </c>
      <c r="AC21" s="23" t="str">
        <f t="shared" si="21"/>
        <v/>
      </c>
      <c r="AD21" s="23" t="str">
        <f t="shared" si="21"/>
        <v/>
      </c>
      <c r="AE21" s="23" t="str">
        <f t="shared" si="21"/>
        <v/>
      </c>
      <c r="AF21" s="23" t="str">
        <f t="shared" si="22"/>
        <v/>
      </c>
      <c r="AG21" s="23" t="str">
        <f t="shared" si="22"/>
        <v/>
      </c>
      <c r="AH21" s="23" t="str">
        <f t="shared" si="22"/>
        <v/>
      </c>
      <c r="AI21" s="23" t="str">
        <f t="shared" si="22"/>
        <v/>
      </c>
      <c r="AJ21" s="23" t="str">
        <f t="shared" si="22"/>
        <v/>
      </c>
      <c r="AK21" s="23" t="str">
        <f t="shared" si="22"/>
        <v/>
      </c>
      <c r="AL21" s="23" t="str">
        <f t="shared" si="22"/>
        <v/>
      </c>
      <c r="AM21" s="23" t="str">
        <f t="shared" si="22"/>
        <v/>
      </c>
      <c r="AN21" s="23" t="str">
        <f t="shared" si="22"/>
        <v/>
      </c>
      <c r="AO21" s="23" t="str">
        <f t="shared" si="22"/>
        <v/>
      </c>
      <c r="AP21" s="23" t="str">
        <f t="shared" si="23"/>
        <v/>
      </c>
      <c r="AQ21" s="23" t="str">
        <f t="shared" si="23"/>
        <v/>
      </c>
      <c r="AR21" s="23" t="str">
        <f t="shared" si="23"/>
        <v/>
      </c>
      <c r="AS21" s="23" t="str">
        <f t="shared" si="23"/>
        <v/>
      </c>
      <c r="AT21" s="23" t="str">
        <f t="shared" si="23"/>
        <v/>
      </c>
      <c r="AU21" s="23" t="str">
        <f t="shared" si="23"/>
        <v/>
      </c>
      <c r="AV21" s="23" t="str">
        <f t="shared" si="23"/>
        <v/>
      </c>
      <c r="AW21" s="23" t="str">
        <f t="shared" si="23"/>
        <v/>
      </c>
      <c r="AX21" s="23" t="str">
        <f t="shared" si="23"/>
        <v/>
      </c>
      <c r="AY21" s="23" t="str">
        <f t="shared" si="23"/>
        <v/>
      </c>
      <c r="AZ21" s="23" t="str">
        <f t="shared" si="24"/>
        <v/>
      </c>
      <c r="BA21" s="23" t="str">
        <f t="shared" si="24"/>
        <v/>
      </c>
      <c r="BB21" s="23" t="str">
        <f t="shared" si="24"/>
        <v/>
      </c>
      <c r="BC21" s="23" t="str">
        <f t="shared" si="24"/>
        <v/>
      </c>
      <c r="BD21" s="23" t="str">
        <f t="shared" si="24"/>
        <v/>
      </c>
      <c r="BE21" s="23" t="str">
        <f t="shared" si="24"/>
        <v/>
      </c>
      <c r="BF21" s="23" t="str">
        <f t="shared" si="24"/>
        <v/>
      </c>
      <c r="BG21" s="23" t="str">
        <f t="shared" si="24"/>
        <v/>
      </c>
      <c r="BH21" s="23" t="str">
        <f t="shared" si="24"/>
        <v/>
      </c>
      <c r="BI21" s="23" t="str">
        <f t="shared" si="24"/>
        <v/>
      </c>
      <c r="BJ21" s="23" t="str">
        <f t="shared" si="25"/>
        <v/>
      </c>
      <c r="BK21" s="23" t="str">
        <f t="shared" si="25"/>
        <v/>
      </c>
      <c r="BL21" s="23" t="str">
        <f t="shared" si="25"/>
        <v/>
      </c>
      <c r="BM21" s="23" t="str">
        <f t="shared" si="25"/>
        <v/>
      </c>
      <c r="BN21" s="23" t="str">
        <f t="shared" si="25"/>
        <v/>
      </c>
      <c r="BO21" s="23" t="str">
        <f t="shared" si="25"/>
        <v/>
      </c>
      <c r="BP21" s="23" t="str">
        <f t="shared" si="25"/>
        <v/>
      </c>
      <c r="BQ21" s="23" t="str">
        <f t="shared" si="25"/>
        <v/>
      </c>
      <c r="BR21" s="23" t="str">
        <f t="shared" si="25"/>
        <v/>
      </c>
      <c r="BS21" s="23" t="str">
        <f t="shared" si="25"/>
        <v/>
      </c>
      <c r="BT21" s="23" t="str">
        <f t="shared" si="25"/>
        <v/>
      </c>
      <c r="BV21" s="29" t="s">
        <v>991</v>
      </c>
    </row>
    <row r="22" spans="1:74" ht="34" hidden="1" outlineLevel="1" x14ac:dyDescent="0.2">
      <c r="A22" s="6" t="s">
        <v>992</v>
      </c>
      <c r="B22" s="25" t="s">
        <v>993</v>
      </c>
      <c r="C22" s="6" t="s">
        <v>55</v>
      </c>
      <c r="D22" s="24" t="s">
        <v>951</v>
      </c>
      <c r="F22" s="6" t="s">
        <v>989</v>
      </c>
      <c r="G22" s="22">
        <v>7</v>
      </c>
      <c r="H22" s="22">
        <v>1</v>
      </c>
      <c r="I22" s="22">
        <f>MEDIAN($I$20,$J$20,$I$20+ROUND((G22-$G$20)/$H$20*($J$20-$I$20+1),0))</f>
        <v>7</v>
      </c>
      <c r="J22" s="22">
        <f>MEDIAN(I22,$J$20,$I$20+ROUND((G22+H22-$G$20)/$H$20*($J$20-$I$20+1),0)-1)</f>
        <v>7</v>
      </c>
      <c r="L22" s="23" t="str">
        <f t="shared" si="20"/>
        <v/>
      </c>
      <c r="M22" s="23" t="str">
        <f t="shared" si="20"/>
        <v/>
      </c>
      <c r="N22" s="23" t="str">
        <f t="shared" si="20"/>
        <v/>
      </c>
      <c r="O22" s="23" t="str">
        <f t="shared" si="20"/>
        <v/>
      </c>
      <c r="P22" s="23" t="str">
        <f t="shared" si="20"/>
        <v/>
      </c>
      <c r="Q22" s="23" t="str">
        <f t="shared" si="20"/>
        <v/>
      </c>
      <c r="R22" s="23">
        <f t="shared" si="20"/>
        <v>1</v>
      </c>
      <c r="S22" s="23" t="str">
        <f t="shared" si="20"/>
        <v/>
      </c>
      <c r="T22" s="23" t="str">
        <f t="shared" si="20"/>
        <v/>
      </c>
      <c r="U22" s="23" t="str">
        <f t="shared" si="20"/>
        <v/>
      </c>
      <c r="V22" s="23" t="str">
        <f t="shared" si="21"/>
        <v/>
      </c>
      <c r="W22" s="23" t="str">
        <f t="shared" si="21"/>
        <v/>
      </c>
      <c r="X22" s="23" t="str">
        <f t="shared" si="21"/>
        <v/>
      </c>
      <c r="Y22" s="23" t="str">
        <f t="shared" si="21"/>
        <v/>
      </c>
      <c r="Z22" s="23" t="str">
        <f t="shared" si="21"/>
        <v/>
      </c>
      <c r="AA22" s="23" t="str">
        <f t="shared" si="21"/>
        <v/>
      </c>
      <c r="AB22" s="23" t="str">
        <f t="shared" si="21"/>
        <v/>
      </c>
      <c r="AC22" s="23" t="str">
        <f t="shared" si="21"/>
        <v/>
      </c>
      <c r="AD22" s="23" t="str">
        <f t="shared" si="21"/>
        <v/>
      </c>
      <c r="AE22" s="23" t="str">
        <f t="shared" si="21"/>
        <v/>
      </c>
      <c r="AF22" s="23" t="str">
        <f t="shared" si="22"/>
        <v/>
      </c>
      <c r="AG22" s="23" t="str">
        <f t="shared" si="22"/>
        <v/>
      </c>
      <c r="AH22" s="23" t="str">
        <f t="shared" si="22"/>
        <v/>
      </c>
      <c r="AI22" s="23" t="str">
        <f t="shared" si="22"/>
        <v/>
      </c>
      <c r="AJ22" s="23" t="str">
        <f t="shared" si="22"/>
        <v/>
      </c>
      <c r="AK22" s="23" t="str">
        <f t="shared" si="22"/>
        <v/>
      </c>
      <c r="AL22" s="23" t="str">
        <f t="shared" si="22"/>
        <v/>
      </c>
      <c r="AM22" s="23" t="str">
        <f t="shared" si="22"/>
        <v/>
      </c>
      <c r="AN22" s="23" t="str">
        <f t="shared" si="22"/>
        <v/>
      </c>
      <c r="AO22" s="23" t="str">
        <f t="shared" si="22"/>
        <v/>
      </c>
      <c r="AP22" s="23" t="str">
        <f t="shared" si="23"/>
        <v/>
      </c>
      <c r="AQ22" s="23" t="str">
        <f t="shared" si="23"/>
        <v/>
      </c>
      <c r="AR22" s="23" t="str">
        <f t="shared" si="23"/>
        <v/>
      </c>
      <c r="AS22" s="23" t="str">
        <f t="shared" si="23"/>
        <v/>
      </c>
      <c r="AT22" s="23" t="str">
        <f t="shared" si="23"/>
        <v/>
      </c>
      <c r="AU22" s="23" t="str">
        <f t="shared" si="23"/>
        <v/>
      </c>
      <c r="AV22" s="23" t="str">
        <f t="shared" si="23"/>
        <v/>
      </c>
      <c r="AW22" s="23" t="str">
        <f t="shared" si="23"/>
        <v/>
      </c>
      <c r="AX22" s="23" t="str">
        <f t="shared" si="23"/>
        <v/>
      </c>
      <c r="AY22" s="23" t="str">
        <f t="shared" si="23"/>
        <v/>
      </c>
      <c r="AZ22" s="23" t="str">
        <f t="shared" si="24"/>
        <v/>
      </c>
      <c r="BA22" s="23" t="str">
        <f t="shared" si="24"/>
        <v/>
      </c>
      <c r="BB22" s="23" t="str">
        <f t="shared" si="24"/>
        <v/>
      </c>
      <c r="BC22" s="23" t="str">
        <f t="shared" si="24"/>
        <v/>
      </c>
      <c r="BD22" s="23" t="str">
        <f t="shared" si="24"/>
        <v/>
      </c>
      <c r="BE22" s="23" t="str">
        <f t="shared" si="24"/>
        <v/>
      </c>
      <c r="BF22" s="23" t="str">
        <f t="shared" si="24"/>
        <v/>
      </c>
      <c r="BG22" s="23" t="str">
        <f t="shared" si="24"/>
        <v/>
      </c>
      <c r="BH22" s="23" t="str">
        <f t="shared" si="24"/>
        <v/>
      </c>
      <c r="BI22" s="23" t="str">
        <f t="shared" si="24"/>
        <v/>
      </c>
      <c r="BJ22" s="23" t="str">
        <f t="shared" si="25"/>
        <v/>
      </c>
      <c r="BK22" s="23" t="str">
        <f t="shared" si="25"/>
        <v/>
      </c>
      <c r="BL22" s="23" t="str">
        <f t="shared" si="25"/>
        <v/>
      </c>
      <c r="BM22" s="23" t="str">
        <f t="shared" si="25"/>
        <v/>
      </c>
      <c r="BN22" s="23" t="str">
        <f t="shared" si="25"/>
        <v/>
      </c>
      <c r="BO22" s="23" t="str">
        <f t="shared" si="25"/>
        <v/>
      </c>
      <c r="BP22" s="23" t="str">
        <f t="shared" si="25"/>
        <v/>
      </c>
      <c r="BQ22" s="23" t="str">
        <f t="shared" si="25"/>
        <v/>
      </c>
      <c r="BR22" s="23" t="str">
        <f t="shared" si="25"/>
        <v/>
      </c>
      <c r="BS22" s="23" t="str">
        <f t="shared" si="25"/>
        <v/>
      </c>
      <c r="BT22" s="23" t="str">
        <f t="shared" si="25"/>
        <v/>
      </c>
      <c r="BV22" s="29" t="s">
        <v>994</v>
      </c>
    </row>
    <row r="23" spans="1:74" ht="51" hidden="1" outlineLevel="1" x14ac:dyDescent="0.2">
      <c r="A23" s="6" t="s">
        <v>995</v>
      </c>
      <c r="B23" s="25" t="s">
        <v>996</v>
      </c>
      <c r="C23" s="6" t="s">
        <v>55</v>
      </c>
      <c r="D23" s="24" t="s">
        <v>951</v>
      </c>
      <c r="F23" s="6" t="s">
        <v>992</v>
      </c>
      <c r="G23" s="22">
        <v>8</v>
      </c>
      <c r="H23" s="22">
        <v>1</v>
      </c>
      <c r="I23" s="22">
        <f>MEDIAN($I$20,$J$20,$I$20+ROUND((G23-$G$20)/$H$20*($J$20-$I$20+1),0))</f>
        <v>8</v>
      </c>
      <c r="J23" s="22">
        <f>MEDIAN(I23,$J$20,$I$20+ROUND((G23+H23-$G$20)/$H$20*($J$20-$I$20+1),0)-1)</f>
        <v>8</v>
      </c>
      <c r="L23" s="23" t="str">
        <f t="shared" si="20"/>
        <v/>
      </c>
      <c r="M23" s="23" t="str">
        <f t="shared" si="20"/>
        <v/>
      </c>
      <c r="N23" s="23" t="str">
        <f t="shared" si="20"/>
        <v/>
      </c>
      <c r="O23" s="23" t="str">
        <f t="shared" si="20"/>
        <v/>
      </c>
      <c r="P23" s="23" t="str">
        <f t="shared" si="20"/>
        <v/>
      </c>
      <c r="Q23" s="23" t="str">
        <f t="shared" si="20"/>
        <v/>
      </c>
      <c r="R23" s="23" t="str">
        <f t="shared" si="20"/>
        <v/>
      </c>
      <c r="S23" s="23">
        <f t="shared" si="20"/>
        <v>1</v>
      </c>
      <c r="T23" s="23" t="str">
        <f t="shared" si="20"/>
        <v/>
      </c>
      <c r="U23" s="23" t="str">
        <f t="shared" si="20"/>
        <v/>
      </c>
      <c r="V23" s="23" t="str">
        <f t="shared" si="21"/>
        <v/>
      </c>
      <c r="W23" s="23" t="str">
        <f t="shared" si="21"/>
        <v/>
      </c>
      <c r="X23" s="23" t="str">
        <f t="shared" si="21"/>
        <v/>
      </c>
      <c r="Y23" s="23" t="str">
        <f t="shared" si="21"/>
        <v/>
      </c>
      <c r="Z23" s="23" t="str">
        <f t="shared" si="21"/>
        <v/>
      </c>
      <c r="AA23" s="23" t="str">
        <f t="shared" si="21"/>
        <v/>
      </c>
      <c r="AB23" s="23" t="str">
        <f t="shared" si="21"/>
        <v/>
      </c>
      <c r="AC23" s="23" t="str">
        <f t="shared" si="21"/>
        <v/>
      </c>
      <c r="AD23" s="23" t="str">
        <f t="shared" si="21"/>
        <v/>
      </c>
      <c r="AE23" s="23" t="str">
        <f t="shared" si="21"/>
        <v/>
      </c>
      <c r="AF23" s="23" t="str">
        <f t="shared" si="22"/>
        <v/>
      </c>
      <c r="AG23" s="23" t="str">
        <f t="shared" si="22"/>
        <v/>
      </c>
      <c r="AH23" s="23" t="str">
        <f t="shared" si="22"/>
        <v/>
      </c>
      <c r="AI23" s="23" t="str">
        <f t="shared" si="22"/>
        <v/>
      </c>
      <c r="AJ23" s="23" t="str">
        <f t="shared" si="22"/>
        <v/>
      </c>
      <c r="AK23" s="23" t="str">
        <f t="shared" si="22"/>
        <v/>
      </c>
      <c r="AL23" s="23" t="str">
        <f t="shared" si="22"/>
        <v/>
      </c>
      <c r="AM23" s="23" t="str">
        <f t="shared" si="22"/>
        <v/>
      </c>
      <c r="AN23" s="23" t="str">
        <f t="shared" si="22"/>
        <v/>
      </c>
      <c r="AO23" s="23" t="str">
        <f t="shared" si="22"/>
        <v/>
      </c>
      <c r="AP23" s="23" t="str">
        <f t="shared" si="23"/>
        <v/>
      </c>
      <c r="AQ23" s="23" t="str">
        <f t="shared" si="23"/>
        <v/>
      </c>
      <c r="AR23" s="23" t="str">
        <f t="shared" si="23"/>
        <v/>
      </c>
      <c r="AS23" s="23" t="str">
        <f t="shared" si="23"/>
        <v/>
      </c>
      <c r="AT23" s="23" t="str">
        <f t="shared" si="23"/>
        <v/>
      </c>
      <c r="AU23" s="23" t="str">
        <f t="shared" si="23"/>
        <v/>
      </c>
      <c r="AV23" s="23" t="str">
        <f t="shared" si="23"/>
        <v/>
      </c>
      <c r="AW23" s="23" t="str">
        <f t="shared" si="23"/>
        <v/>
      </c>
      <c r="AX23" s="23" t="str">
        <f t="shared" si="23"/>
        <v/>
      </c>
      <c r="AY23" s="23" t="str">
        <f t="shared" si="23"/>
        <v/>
      </c>
      <c r="AZ23" s="23" t="str">
        <f t="shared" si="24"/>
        <v/>
      </c>
      <c r="BA23" s="23" t="str">
        <f t="shared" si="24"/>
        <v/>
      </c>
      <c r="BB23" s="23" t="str">
        <f t="shared" si="24"/>
        <v/>
      </c>
      <c r="BC23" s="23" t="str">
        <f t="shared" si="24"/>
        <v/>
      </c>
      <c r="BD23" s="23" t="str">
        <f t="shared" si="24"/>
        <v/>
      </c>
      <c r="BE23" s="23" t="str">
        <f t="shared" si="24"/>
        <v/>
      </c>
      <c r="BF23" s="23" t="str">
        <f t="shared" si="24"/>
        <v/>
      </c>
      <c r="BG23" s="23" t="str">
        <f t="shared" si="24"/>
        <v/>
      </c>
      <c r="BH23" s="23" t="str">
        <f t="shared" si="24"/>
        <v/>
      </c>
      <c r="BI23" s="23" t="str">
        <f t="shared" si="24"/>
        <v/>
      </c>
      <c r="BJ23" s="23" t="str">
        <f t="shared" si="25"/>
        <v/>
      </c>
      <c r="BK23" s="23" t="str">
        <f t="shared" si="25"/>
        <v/>
      </c>
      <c r="BL23" s="23" t="str">
        <f t="shared" si="25"/>
        <v/>
      </c>
      <c r="BM23" s="23" t="str">
        <f t="shared" si="25"/>
        <v/>
      </c>
      <c r="BN23" s="23" t="str">
        <f t="shared" si="25"/>
        <v/>
      </c>
      <c r="BO23" s="23" t="str">
        <f t="shared" si="25"/>
        <v/>
      </c>
      <c r="BP23" s="23" t="str">
        <f t="shared" si="25"/>
        <v/>
      </c>
      <c r="BQ23" s="23" t="str">
        <f t="shared" si="25"/>
        <v/>
      </c>
      <c r="BR23" s="23" t="str">
        <f t="shared" si="25"/>
        <v/>
      </c>
      <c r="BS23" s="23" t="str">
        <f t="shared" si="25"/>
        <v/>
      </c>
      <c r="BT23" s="23" t="str">
        <f t="shared" si="25"/>
        <v/>
      </c>
      <c r="BV23" s="29" t="s">
        <v>997</v>
      </c>
    </row>
    <row r="25" spans="1:74" ht="17" collapsed="1" x14ac:dyDescent="0.2">
      <c r="A25" s="19" t="s">
        <v>998</v>
      </c>
      <c r="B25" s="20" t="s">
        <v>428</v>
      </c>
      <c r="C25" s="19" t="s">
        <v>56</v>
      </c>
      <c r="D25" s="21" t="s">
        <v>951</v>
      </c>
      <c r="E25" s="19" t="s">
        <v>72</v>
      </c>
      <c r="F25" s="19" t="s">
        <v>999</v>
      </c>
      <c r="G25" s="22">
        <v>13</v>
      </c>
      <c r="H25" s="22">
        <v>6</v>
      </c>
      <c r="I25" s="22">
        <f>MIN(61,IF(G25&lt;=29,ROUND((G25-1)*(29+SlipWeeks)/29,0)+1,G25+SlipWeeks))</f>
        <v>13</v>
      </c>
      <c r="J25" s="22">
        <f>MIN(61,IF(G25+H25-1&lt;=29,MAX(ROUND((G25+H25-1)*(29+SlipWeeks)/29,0),I25),G25+H25-1+SlipWeeks))</f>
        <v>18</v>
      </c>
      <c r="K25" s="29" t="s">
        <v>1000</v>
      </c>
      <c r="L25" s="23" t="str">
        <f t="shared" ref="L25:U28" si="26">IF(AND(L$4&gt;=$I25,L$4&lt;=$J25),1,"")</f>
        <v/>
      </c>
      <c r="M25" s="23" t="str">
        <f t="shared" si="26"/>
        <v/>
      </c>
      <c r="N25" s="23" t="str">
        <f t="shared" si="26"/>
        <v/>
      </c>
      <c r="O25" s="23" t="str">
        <f t="shared" si="26"/>
        <v/>
      </c>
      <c r="P25" s="23" t="str">
        <f t="shared" si="26"/>
        <v/>
      </c>
      <c r="Q25" s="23" t="str">
        <f t="shared" si="26"/>
        <v/>
      </c>
      <c r="R25" s="23" t="str">
        <f t="shared" si="26"/>
        <v/>
      </c>
      <c r="S25" s="23" t="str">
        <f t="shared" si="26"/>
        <v/>
      </c>
      <c r="T25" s="23" t="str">
        <f t="shared" si="26"/>
        <v/>
      </c>
      <c r="U25" s="23" t="str">
        <f t="shared" si="26"/>
        <v/>
      </c>
      <c r="V25" s="23" t="str">
        <f t="shared" ref="V25:AE28" si="27">IF(AND(V$4&gt;=$I25,V$4&lt;=$J25),1,"")</f>
        <v/>
      </c>
      <c r="W25" s="23" t="str">
        <f t="shared" si="27"/>
        <v/>
      </c>
      <c r="X25" s="23">
        <f t="shared" si="27"/>
        <v>1</v>
      </c>
      <c r="Y25" s="23">
        <f t="shared" si="27"/>
        <v>1</v>
      </c>
      <c r="Z25" s="23">
        <f t="shared" si="27"/>
        <v>1</v>
      </c>
      <c r="AA25" s="23">
        <f t="shared" si="27"/>
        <v>1</v>
      </c>
      <c r="AB25" s="23">
        <f t="shared" si="27"/>
        <v>1</v>
      </c>
      <c r="AC25" s="23">
        <f t="shared" si="27"/>
        <v>1</v>
      </c>
      <c r="AD25" s="23" t="str">
        <f t="shared" si="27"/>
        <v/>
      </c>
      <c r="AE25" s="23" t="str">
        <f t="shared" si="27"/>
        <v/>
      </c>
      <c r="AF25" s="23" t="str">
        <f t="shared" ref="AF25:AO28" si="28">IF(AND(AF$4&gt;=$I25,AF$4&lt;=$J25),1,"")</f>
        <v/>
      </c>
      <c r="AG25" s="23" t="str">
        <f t="shared" si="28"/>
        <v/>
      </c>
      <c r="AH25" s="23" t="str">
        <f t="shared" si="28"/>
        <v/>
      </c>
      <c r="AI25" s="23" t="str">
        <f t="shared" si="28"/>
        <v/>
      </c>
      <c r="AJ25" s="23" t="str">
        <f t="shared" si="28"/>
        <v/>
      </c>
      <c r="AK25" s="23" t="str">
        <f t="shared" si="28"/>
        <v/>
      </c>
      <c r="AL25" s="23" t="str">
        <f t="shared" si="28"/>
        <v/>
      </c>
      <c r="AM25" s="23" t="str">
        <f t="shared" si="28"/>
        <v/>
      </c>
      <c r="AN25" s="23" t="str">
        <f t="shared" si="28"/>
        <v/>
      </c>
      <c r="AO25" s="23" t="str">
        <f t="shared" si="28"/>
        <v/>
      </c>
      <c r="AP25" s="23" t="str">
        <f t="shared" ref="AP25:AY28" si="29">IF(AND(AP$4&gt;=$I25,AP$4&lt;=$J25),1,"")</f>
        <v/>
      </c>
      <c r="AQ25" s="23" t="str">
        <f t="shared" si="29"/>
        <v/>
      </c>
      <c r="AR25" s="23" t="str">
        <f t="shared" si="29"/>
        <v/>
      </c>
      <c r="AS25" s="23" t="str">
        <f t="shared" si="29"/>
        <v/>
      </c>
      <c r="AT25" s="23" t="str">
        <f t="shared" si="29"/>
        <v/>
      </c>
      <c r="AU25" s="23" t="str">
        <f t="shared" si="29"/>
        <v/>
      </c>
      <c r="AV25" s="23" t="str">
        <f t="shared" si="29"/>
        <v/>
      </c>
      <c r="AW25" s="23" t="str">
        <f t="shared" si="29"/>
        <v/>
      </c>
      <c r="AX25" s="23" t="str">
        <f t="shared" si="29"/>
        <v/>
      </c>
      <c r="AY25" s="23" t="str">
        <f t="shared" si="29"/>
        <v/>
      </c>
      <c r="AZ25" s="23" t="str">
        <f t="shared" ref="AZ25:BI28" si="30">IF(AND(AZ$4&gt;=$I25,AZ$4&lt;=$J25),1,"")</f>
        <v/>
      </c>
      <c r="BA25" s="23" t="str">
        <f t="shared" si="30"/>
        <v/>
      </c>
      <c r="BB25" s="23" t="str">
        <f t="shared" si="30"/>
        <v/>
      </c>
      <c r="BC25" s="23" t="str">
        <f t="shared" si="30"/>
        <v/>
      </c>
      <c r="BD25" s="23" t="str">
        <f t="shared" si="30"/>
        <v/>
      </c>
      <c r="BE25" s="23" t="str">
        <f t="shared" si="30"/>
        <v/>
      </c>
      <c r="BF25" s="23" t="str">
        <f t="shared" si="30"/>
        <v/>
      </c>
      <c r="BG25" s="23" t="str">
        <f t="shared" si="30"/>
        <v/>
      </c>
      <c r="BH25" s="23" t="str">
        <f t="shared" si="30"/>
        <v/>
      </c>
      <c r="BI25" s="23" t="str">
        <f t="shared" si="30"/>
        <v/>
      </c>
      <c r="BJ25" s="23" t="str">
        <f t="shared" ref="BJ25:BT28" si="31">IF(AND(BJ$4&gt;=$I25,BJ$4&lt;=$J25),1,"")</f>
        <v/>
      </c>
      <c r="BK25" s="23" t="str">
        <f t="shared" si="31"/>
        <v/>
      </c>
      <c r="BL25" s="23" t="str">
        <f t="shared" si="31"/>
        <v/>
      </c>
      <c r="BM25" s="23" t="str">
        <f t="shared" si="31"/>
        <v/>
      </c>
      <c r="BN25" s="23" t="str">
        <f t="shared" si="31"/>
        <v/>
      </c>
      <c r="BO25" s="23" t="str">
        <f t="shared" si="31"/>
        <v/>
      </c>
      <c r="BP25" s="23" t="str">
        <f t="shared" si="31"/>
        <v/>
      </c>
      <c r="BQ25" s="23" t="str">
        <f t="shared" si="31"/>
        <v/>
      </c>
      <c r="BR25" s="23" t="str">
        <f t="shared" si="31"/>
        <v/>
      </c>
      <c r="BS25" s="23" t="str">
        <f t="shared" si="31"/>
        <v/>
      </c>
      <c r="BT25" s="23" t="str">
        <f t="shared" si="31"/>
        <v/>
      </c>
      <c r="BU25" s="24" t="str">
        <f>IF(IF(G25+H25-1&lt;=29,MAX(ROUND((G25+H25-1)*(29+SlipWeeks)/29,0),$I25),G25+H25-1+SlipWeeks)&gt;61,"▶ clipped","")</f>
        <v/>
      </c>
      <c r="BV25" s="29" t="s">
        <v>1001</v>
      </c>
    </row>
    <row r="26" spans="1:74" ht="34" hidden="1" outlineLevel="1" x14ac:dyDescent="0.2">
      <c r="A26" s="6" t="s">
        <v>1002</v>
      </c>
      <c r="B26" s="25" t="s">
        <v>1003</v>
      </c>
      <c r="C26" s="6" t="s">
        <v>56</v>
      </c>
      <c r="D26" s="24" t="s">
        <v>951</v>
      </c>
      <c r="F26" s="6"/>
      <c r="G26" s="22">
        <v>13</v>
      </c>
      <c r="H26" s="22">
        <v>2</v>
      </c>
      <c r="I26" s="22">
        <f>MEDIAN($I$25,$J$25,$I$25+ROUND((G26-$G$25)/$H$25*($J$25-$I$25+1),0))</f>
        <v>13</v>
      </c>
      <c r="J26" s="22">
        <f>MEDIAN(I26,$J$25,$I$25+ROUND((G26+H26-$G$25)/$H$25*($J$25-$I$25+1),0)-1)</f>
        <v>14</v>
      </c>
      <c r="L26" s="23" t="str">
        <f t="shared" si="26"/>
        <v/>
      </c>
      <c r="M26" s="23" t="str">
        <f t="shared" si="26"/>
        <v/>
      </c>
      <c r="N26" s="23" t="str">
        <f t="shared" si="26"/>
        <v/>
      </c>
      <c r="O26" s="23" t="str">
        <f t="shared" si="26"/>
        <v/>
      </c>
      <c r="P26" s="23" t="str">
        <f t="shared" si="26"/>
        <v/>
      </c>
      <c r="Q26" s="23" t="str">
        <f t="shared" si="26"/>
        <v/>
      </c>
      <c r="R26" s="23" t="str">
        <f t="shared" si="26"/>
        <v/>
      </c>
      <c r="S26" s="23" t="str">
        <f t="shared" si="26"/>
        <v/>
      </c>
      <c r="T26" s="23" t="str">
        <f t="shared" si="26"/>
        <v/>
      </c>
      <c r="U26" s="23" t="str">
        <f t="shared" si="26"/>
        <v/>
      </c>
      <c r="V26" s="23" t="str">
        <f t="shared" si="27"/>
        <v/>
      </c>
      <c r="W26" s="23" t="str">
        <f t="shared" si="27"/>
        <v/>
      </c>
      <c r="X26" s="23">
        <f t="shared" si="27"/>
        <v>1</v>
      </c>
      <c r="Y26" s="23">
        <f t="shared" si="27"/>
        <v>1</v>
      </c>
      <c r="Z26" s="23" t="str">
        <f t="shared" si="27"/>
        <v/>
      </c>
      <c r="AA26" s="23" t="str">
        <f t="shared" si="27"/>
        <v/>
      </c>
      <c r="AB26" s="23" t="str">
        <f t="shared" si="27"/>
        <v/>
      </c>
      <c r="AC26" s="23" t="str">
        <f t="shared" si="27"/>
        <v/>
      </c>
      <c r="AD26" s="23" t="str">
        <f t="shared" si="27"/>
        <v/>
      </c>
      <c r="AE26" s="23" t="str">
        <f t="shared" si="27"/>
        <v/>
      </c>
      <c r="AF26" s="23" t="str">
        <f t="shared" si="28"/>
        <v/>
      </c>
      <c r="AG26" s="23" t="str">
        <f t="shared" si="28"/>
        <v/>
      </c>
      <c r="AH26" s="23" t="str">
        <f t="shared" si="28"/>
        <v/>
      </c>
      <c r="AI26" s="23" t="str">
        <f t="shared" si="28"/>
        <v/>
      </c>
      <c r="AJ26" s="23" t="str">
        <f t="shared" si="28"/>
        <v/>
      </c>
      <c r="AK26" s="23" t="str">
        <f t="shared" si="28"/>
        <v/>
      </c>
      <c r="AL26" s="23" t="str">
        <f t="shared" si="28"/>
        <v/>
      </c>
      <c r="AM26" s="23" t="str">
        <f t="shared" si="28"/>
        <v/>
      </c>
      <c r="AN26" s="23" t="str">
        <f t="shared" si="28"/>
        <v/>
      </c>
      <c r="AO26" s="23" t="str">
        <f t="shared" si="28"/>
        <v/>
      </c>
      <c r="AP26" s="23" t="str">
        <f t="shared" si="29"/>
        <v/>
      </c>
      <c r="AQ26" s="23" t="str">
        <f t="shared" si="29"/>
        <v/>
      </c>
      <c r="AR26" s="23" t="str">
        <f t="shared" si="29"/>
        <v/>
      </c>
      <c r="AS26" s="23" t="str">
        <f t="shared" si="29"/>
        <v/>
      </c>
      <c r="AT26" s="23" t="str">
        <f t="shared" si="29"/>
        <v/>
      </c>
      <c r="AU26" s="23" t="str">
        <f t="shared" si="29"/>
        <v/>
      </c>
      <c r="AV26" s="23" t="str">
        <f t="shared" si="29"/>
        <v/>
      </c>
      <c r="AW26" s="23" t="str">
        <f t="shared" si="29"/>
        <v/>
      </c>
      <c r="AX26" s="23" t="str">
        <f t="shared" si="29"/>
        <v/>
      </c>
      <c r="AY26" s="23" t="str">
        <f t="shared" si="29"/>
        <v/>
      </c>
      <c r="AZ26" s="23" t="str">
        <f t="shared" si="30"/>
        <v/>
      </c>
      <c r="BA26" s="23" t="str">
        <f t="shared" si="30"/>
        <v/>
      </c>
      <c r="BB26" s="23" t="str">
        <f t="shared" si="30"/>
        <v/>
      </c>
      <c r="BC26" s="23" t="str">
        <f t="shared" si="30"/>
        <v/>
      </c>
      <c r="BD26" s="23" t="str">
        <f t="shared" si="30"/>
        <v/>
      </c>
      <c r="BE26" s="23" t="str">
        <f t="shared" si="30"/>
        <v/>
      </c>
      <c r="BF26" s="23" t="str">
        <f t="shared" si="30"/>
        <v/>
      </c>
      <c r="BG26" s="23" t="str">
        <f t="shared" si="30"/>
        <v/>
      </c>
      <c r="BH26" s="23" t="str">
        <f t="shared" si="30"/>
        <v/>
      </c>
      <c r="BI26" s="23" t="str">
        <f t="shared" si="30"/>
        <v/>
      </c>
      <c r="BJ26" s="23" t="str">
        <f t="shared" si="31"/>
        <v/>
      </c>
      <c r="BK26" s="23" t="str">
        <f t="shared" si="31"/>
        <v/>
      </c>
      <c r="BL26" s="23" t="str">
        <f t="shared" si="31"/>
        <v/>
      </c>
      <c r="BM26" s="23" t="str">
        <f t="shared" si="31"/>
        <v/>
      </c>
      <c r="BN26" s="23" t="str">
        <f t="shared" si="31"/>
        <v/>
      </c>
      <c r="BO26" s="23" t="str">
        <f t="shared" si="31"/>
        <v/>
      </c>
      <c r="BP26" s="23" t="str">
        <f t="shared" si="31"/>
        <v/>
      </c>
      <c r="BQ26" s="23" t="str">
        <f t="shared" si="31"/>
        <v/>
      </c>
      <c r="BR26" s="23" t="str">
        <f t="shared" si="31"/>
        <v/>
      </c>
      <c r="BS26" s="23" t="str">
        <f t="shared" si="31"/>
        <v/>
      </c>
      <c r="BT26" s="23" t="str">
        <f t="shared" si="31"/>
        <v/>
      </c>
      <c r="BV26" s="29" t="s">
        <v>1004</v>
      </c>
    </row>
    <row r="27" spans="1:74" ht="34" hidden="1" outlineLevel="1" x14ac:dyDescent="0.2">
      <c r="A27" s="6" t="s">
        <v>1005</v>
      </c>
      <c r="B27" s="25" t="s">
        <v>1006</v>
      </c>
      <c r="C27" s="6" t="s">
        <v>56</v>
      </c>
      <c r="D27" s="24" t="s">
        <v>951</v>
      </c>
      <c r="F27" s="6" t="s">
        <v>1002</v>
      </c>
      <c r="G27" s="22">
        <v>15</v>
      </c>
      <c r="H27" s="22">
        <v>2</v>
      </c>
      <c r="I27" s="22">
        <f>MEDIAN($I$25,$J$25,$I$25+ROUND((G27-$G$25)/$H$25*($J$25-$I$25+1),0))</f>
        <v>15</v>
      </c>
      <c r="J27" s="22">
        <f>MEDIAN(I27,$J$25,$I$25+ROUND((G27+H27-$G$25)/$H$25*($J$25-$I$25+1),0)-1)</f>
        <v>16</v>
      </c>
      <c r="L27" s="23" t="str">
        <f t="shared" si="26"/>
        <v/>
      </c>
      <c r="M27" s="23" t="str">
        <f t="shared" si="26"/>
        <v/>
      </c>
      <c r="N27" s="23" t="str">
        <f t="shared" si="26"/>
        <v/>
      </c>
      <c r="O27" s="23" t="str">
        <f t="shared" si="26"/>
        <v/>
      </c>
      <c r="P27" s="23" t="str">
        <f t="shared" si="26"/>
        <v/>
      </c>
      <c r="Q27" s="23" t="str">
        <f t="shared" si="26"/>
        <v/>
      </c>
      <c r="R27" s="23" t="str">
        <f t="shared" si="26"/>
        <v/>
      </c>
      <c r="S27" s="23" t="str">
        <f t="shared" si="26"/>
        <v/>
      </c>
      <c r="T27" s="23" t="str">
        <f t="shared" si="26"/>
        <v/>
      </c>
      <c r="U27" s="23" t="str">
        <f t="shared" si="26"/>
        <v/>
      </c>
      <c r="V27" s="23" t="str">
        <f t="shared" si="27"/>
        <v/>
      </c>
      <c r="W27" s="23" t="str">
        <f t="shared" si="27"/>
        <v/>
      </c>
      <c r="X27" s="23" t="str">
        <f t="shared" si="27"/>
        <v/>
      </c>
      <c r="Y27" s="23" t="str">
        <f t="shared" si="27"/>
        <v/>
      </c>
      <c r="Z27" s="23">
        <f t="shared" si="27"/>
        <v>1</v>
      </c>
      <c r="AA27" s="23">
        <f t="shared" si="27"/>
        <v>1</v>
      </c>
      <c r="AB27" s="23" t="str">
        <f t="shared" si="27"/>
        <v/>
      </c>
      <c r="AC27" s="23" t="str">
        <f t="shared" si="27"/>
        <v/>
      </c>
      <c r="AD27" s="23" t="str">
        <f t="shared" si="27"/>
        <v/>
      </c>
      <c r="AE27" s="23" t="str">
        <f t="shared" si="27"/>
        <v/>
      </c>
      <c r="AF27" s="23" t="str">
        <f t="shared" si="28"/>
        <v/>
      </c>
      <c r="AG27" s="23" t="str">
        <f t="shared" si="28"/>
        <v/>
      </c>
      <c r="AH27" s="23" t="str">
        <f t="shared" si="28"/>
        <v/>
      </c>
      <c r="AI27" s="23" t="str">
        <f t="shared" si="28"/>
        <v/>
      </c>
      <c r="AJ27" s="23" t="str">
        <f t="shared" si="28"/>
        <v/>
      </c>
      <c r="AK27" s="23" t="str">
        <f t="shared" si="28"/>
        <v/>
      </c>
      <c r="AL27" s="23" t="str">
        <f t="shared" si="28"/>
        <v/>
      </c>
      <c r="AM27" s="23" t="str">
        <f t="shared" si="28"/>
        <v/>
      </c>
      <c r="AN27" s="23" t="str">
        <f t="shared" si="28"/>
        <v/>
      </c>
      <c r="AO27" s="23" t="str">
        <f t="shared" si="28"/>
        <v/>
      </c>
      <c r="AP27" s="23" t="str">
        <f t="shared" si="29"/>
        <v/>
      </c>
      <c r="AQ27" s="23" t="str">
        <f t="shared" si="29"/>
        <v/>
      </c>
      <c r="AR27" s="23" t="str">
        <f t="shared" si="29"/>
        <v/>
      </c>
      <c r="AS27" s="23" t="str">
        <f t="shared" si="29"/>
        <v/>
      </c>
      <c r="AT27" s="23" t="str">
        <f t="shared" si="29"/>
        <v/>
      </c>
      <c r="AU27" s="23" t="str">
        <f t="shared" si="29"/>
        <v/>
      </c>
      <c r="AV27" s="23" t="str">
        <f t="shared" si="29"/>
        <v/>
      </c>
      <c r="AW27" s="23" t="str">
        <f t="shared" si="29"/>
        <v/>
      </c>
      <c r="AX27" s="23" t="str">
        <f t="shared" si="29"/>
        <v/>
      </c>
      <c r="AY27" s="23" t="str">
        <f t="shared" si="29"/>
        <v/>
      </c>
      <c r="AZ27" s="23" t="str">
        <f t="shared" si="30"/>
        <v/>
      </c>
      <c r="BA27" s="23" t="str">
        <f t="shared" si="30"/>
        <v/>
      </c>
      <c r="BB27" s="23" t="str">
        <f t="shared" si="30"/>
        <v/>
      </c>
      <c r="BC27" s="23" t="str">
        <f t="shared" si="30"/>
        <v/>
      </c>
      <c r="BD27" s="23" t="str">
        <f t="shared" si="30"/>
        <v/>
      </c>
      <c r="BE27" s="23" t="str">
        <f t="shared" si="30"/>
        <v/>
      </c>
      <c r="BF27" s="23" t="str">
        <f t="shared" si="30"/>
        <v/>
      </c>
      <c r="BG27" s="23" t="str">
        <f t="shared" si="30"/>
        <v/>
      </c>
      <c r="BH27" s="23" t="str">
        <f t="shared" si="30"/>
        <v/>
      </c>
      <c r="BI27" s="23" t="str">
        <f t="shared" si="30"/>
        <v/>
      </c>
      <c r="BJ27" s="23" t="str">
        <f t="shared" si="31"/>
        <v/>
      </c>
      <c r="BK27" s="23" t="str">
        <f t="shared" si="31"/>
        <v/>
      </c>
      <c r="BL27" s="23" t="str">
        <f t="shared" si="31"/>
        <v/>
      </c>
      <c r="BM27" s="23" t="str">
        <f t="shared" si="31"/>
        <v/>
      </c>
      <c r="BN27" s="23" t="str">
        <f t="shared" si="31"/>
        <v/>
      </c>
      <c r="BO27" s="23" t="str">
        <f t="shared" si="31"/>
        <v/>
      </c>
      <c r="BP27" s="23" t="str">
        <f t="shared" si="31"/>
        <v/>
      </c>
      <c r="BQ27" s="23" t="str">
        <f t="shared" si="31"/>
        <v/>
      </c>
      <c r="BR27" s="23" t="str">
        <f t="shared" si="31"/>
        <v/>
      </c>
      <c r="BS27" s="23" t="str">
        <f t="shared" si="31"/>
        <v/>
      </c>
      <c r="BT27" s="23" t="str">
        <f t="shared" si="31"/>
        <v/>
      </c>
      <c r="BV27" s="29" t="s">
        <v>1007</v>
      </c>
    </row>
    <row r="28" spans="1:74" ht="34" hidden="1" outlineLevel="1" x14ac:dyDescent="0.2">
      <c r="A28" s="6" t="s">
        <v>1008</v>
      </c>
      <c r="B28" s="25" t="s">
        <v>1009</v>
      </c>
      <c r="C28" s="6" t="s">
        <v>56</v>
      </c>
      <c r="D28" s="24" t="s">
        <v>951</v>
      </c>
      <c r="F28" s="6" t="s">
        <v>1005</v>
      </c>
      <c r="G28" s="22">
        <v>17</v>
      </c>
      <c r="H28" s="22">
        <v>2</v>
      </c>
      <c r="I28" s="22">
        <f>MEDIAN($I$25,$J$25,$I$25+ROUND((G28-$G$25)/$H$25*($J$25-$I$25+1),0))</f>
        <v>17</v>
      </c>
      <c r="J28" s="22">
        <f>MEDIAN(I28,$J$25,$I$25+ROUND((G28+H28-$G$25)/$H$25*($J$25-$I$25+1),0)-1)</f>
        <v>18</v>
      </c>
      <c r="L28" s="23" t="str">
        <f t="shared" si="26"/>
        <v/>
      </c>
      <c r="M28" s="23" t="str">
        <f t="shared" si="26"/>
        <v/>
      </c>
      <c r="N28" s="23" t="str">
        <f t="shared" si="26"/>
        <v/>
      </c>
      <c r="O28" s="23" t="str">
        <f t="shared" si="26"/>
        <v/>
      </c>
      <c r="P28" s="23" t="str">
        <f t="shared" si="26"/>
        <v/>
      </c>
      <c r="Q28" s="23" t="str">
        <f t="shared" si="26"/>
        <v/>
      </c>
      <c r="R28" s="23" t="str">
        <f t="shared" si="26"/>
        <v/>
      </c>
      <c r="S28" s="23" t="str">
        <f t="shared" si="26"/>
        <v/>
      </c>
      <c r="T28" s="23" t="str">
        <f t="shared" si="26"/>
        <v/>
      </c>
      <c r="U28" s="23" t="str">
        <f t="shared" si="26"/>
        <v/>
      </c>
      <c r="V28" s="23" t="str">
        <f t="shared" si="27"/>
        <v/>
      </c>
      <c r="W28" s="23" t="str">
        <f t="shared" si="27"/>
        <v/>
      </c>
      <c r="X28" s="23" t="str">
        <f t="shared" si="27"/>
        <v/>
      </c>
      <c r="Y28" s="23" t="str">
        <f t="shared" si="27"/>
        <v/>
      </c>
      <c r="Z28" s="23" t="str">
        <f t="shared" si="27"/>
        <v/>
      </c>
      <c r="AA28" s="23" t="str">
        <f t="shared" si="27"/>
        <v/>
      </c>
      <c r="AB28" s="23">
        <f t="shared" si="27"/>
        <v>1</v>
      </c>
      <c r="AC28" s="23">
        <f t="shared" si="27"/>
        <v>1</v>
      </c>
      <c r="AD28" s="23" t="str">
        <f t="shared" si="27"/>
        <v/>
      </c>
      <c r="AE28" s="23" t="str">
        <f t="shared" si="27"/>
        <v/>
      </c>
      <c r="AF28" s="23" t="str">
        <f t="shared" si="28"/>
        <v/>
      </c>
      <c r="AG28" s="23" t="str">
        <f t="shared" si="28"/>
        <v/>
      </c>
      <c r="AH28" s="23" t="str">
        <f t="shared" si="28"/>
        <v/>
      </c>
      <c r="AI28" s="23" t="str">
        <f t="shared" si="28"/>
        <v/>
      </c>
      <c r="AJ28" s="23" t="str">
        <f t="shared" si="28"/>
        <v/>
      </c>
      <c r="AK28" s="23" t="str">
        <f t="shared" si="28"/>
        <v/>
      </c>
      <c r="AL28" s="23" t="str">
        <f t="shared" si="28"/>
        <v/>
      </c>
      <c r="AM28" s="23" t="str">
        <f t="shared" si="28"/>
        <v/>
      </c>
      <c r="AN28" s="23" t="str">
        <f t="shared" si="28"/>
        <v/>
      </c>
      <c r="AO28" s="23" t="str">
        <f t="shared" si="28"/>
        <v/>
      </c>
      <c r="AP28" s="23" t="str">
        <f t="shared" si="29"/>
        <v/>
      </c>
      <c r="AQ28" s="23" t="str">
        <f t="shared" si="29"/>
        <v/>
      </c>
      <c r="AR28" s="23" t="str">
        <f t="shared" si="29"/>
        <v/>
      </c>
      <c r="AS28" s="23" t="str">
        <f t="shared" si="29"/>
        <v/>
      </c>
      <c r="AT28" s="23" t="str">
        <f t="shared" si="29"/>
        <v/>
      </c>
      <c r="AU28" s="23" t="str">
        <f t="shared" si="29"/>
        <v/>
      </c>
      <c r="AV28" s="23" t="str">
        <f t="shared" si="29"/>
        <v/>
      </c>
      <c r="AW28" s="23" t="str">
        <f t="shared" si="29"/>
        <v/>
      </c>
      <c r="AX28" s="23" t="str">
        <f t="shared" si="29"/>
        <v/>
      </c>
      <c r="AY28" s="23" t="str">
        <f t="shared" si="29"/>
        <v/>
      </c>
      <c r="AZ28" s="23" t="str">
        <f t="shared" si="30"/>
        <v/>
      </c>
      <c r="BA28" s="23" t="str">
        <f t="shared" si="30"/>
        <v/>
      </c>
      <c r="BB28" s="23" t="str">
        <f t="shared" si="30"/>
        <v/>
      </c>
      <c r="BC28" s="23" t="str">
        <f t="shared" si="30"/>
        <v/>
      </c>
      <c r="BD28" s="23" t="str">
        <f t="shared" si="30"/>
        <v/>
      </c>
      <c r="BE28" s="23" t="str">
        <f t="shared" si="30"/>
        <v/>
      </c>
      <c r="BF28" s="23" t="str">
        <f t="shared" si="30"/>
        <v/>
      </c>
      <c r="BG28" s="23" t="str">
        <f t="shared" si="30"/>
        <v/>
      </c>
      <c r="BH28" s="23" t="str">
        <f t="shared" si="30"/>
        <v/>
      </c>
      <c r="BI28" s="23" t="str">
        <f t="shared" si="30"/>
        <v/>
      </c>
      <c r="BJ28" s="23" t="str">
        <f t="shared" si="31"/>
        <v/>
      </c>
      <c r="BK28" s="23" t="str">
        <f t="shared" si="31"/>
        <v/>
      </c>
      <c r="BL28" s="23" t="str">
        <f t="shared" si="31"/>
        <v/>
      </c>
      <c r="BM28" s="23" t="str">
        <f t="shared" si="31"/>
        <v/>
      </c>
      <c r="BN28" s="23" t="str">
        <f t="shared" si="31"/>
        <v/>
      </c>
      <c r="BO28" s="23" t="str">
        <f t="shared" si="31"/>
        <v/>
      </c>
      <c r="BP28" s="23" t="str">
        <f t="shared" si="31"/>
        <v/>
      </c>
      <c r="BQ28" s="23" t="str">
        <f t="shared" si="31"/>
        <v/>
      </c>
      <c r="BR28" s="23" t="str">
        <f t="shared" si="31"/>
        <v/>
      </c>
      <c r="BS28" s="23" t="str">
        <f t="shared" si="31"/>
        <v/>
      </c>
      <c r="BT28" s="23" t="str">
        <f t="shared" si="31"/>
        <v/>
      </c>
      <c r="BV28" s="29" t="s">
        <v>1010</v>
      </c>
    </row>
    <row r="30" spans="1:74" ht="17" collapsed="1" x14ac:dyDescent="0.2">
      <c r="A30" s="19" t="s">
        <v>1011</v>
      </c>
      <c r="B30" s="20" t="s">
        <v>1012</v>
      </c>
      <c r="C30" s="19" t="s">
        <v>55</v>
      </c>
      <c r="D30" s="21" t="s">
        <v>951</v>
      </c>
      <c r="E30" s="19" t="s">
        <v>1013</v>
      </c>
      <c r="F30" s="19" t="s">
        <v>998</v>
      </c>
      <c r="G30" s="22">
        <v>19</v>
      </c>
      <c r="H30" s="22">
        <v>13</v>
      </c>
      <c r="I30" s="22">
        <f>MIN(61,IF(G30&lt;=29,ROUND((G30-1)*(29+SlipWeeks)/29,0)+1,G30+SlipWeeks))</f>
        <v>19</v>
      </c>
      <c r="J30" s="22">
        <f>MIN(61,IF(G30+H30-1&lt;=29,MAX(ROUND((G30+H30-1)*(29+SlipWeeks)/29,0),I30),G30+H30-1+SlipWeeks))</f>
        <v>31</v>
      </c>
      <c r="K30" s="29" t="s">
        <v>1014</v>
      </c>
      <c r="L30" s="23" t="str">
        <f t="shared" ref="L30:U35" si="32">IF(AND(L$4&gt;=$I30,L$4&lt;=$J30),1,"")</f>
        <v/>
      </c>
      <c r="M30" s="23" t="str">
        <f t="shared" si="32"/>
        <v/>
      </c>
      <c r="N30" s="23" t="str">
        <f t="shared" si="32"/>
        <v/>
      </c>
      <c r="O30" s="23" t="str">
        <f t="shared" si="32"/>
        <v/>
      </c>
      <c r="P30" s="23" t="str">
        <f t="shared" si="32"/>
        <v/>
      </c>
      <c r="Q30" s="23" t="str">
        <f t="shared" si="32"/>
        <v/>
      </c>
      <c r="R30" s="23" t="str">
        <f t="shared" si="32"/>
        <v/>
      </c>
      <c r="S30" s="23" t="str">
        <f t="shared" si="32"/>
        <v/>
      </c>
      <c r="T30" s="23" t="str">
        <f t="shared" si="32"/>
        <v/>
      </c>
      <c r="U30" s="23" t="str">
        <f t="shared" si="32"/>
        <v/>
      </c>
      <c r="V30" s="23" t="str">
        <f t="shared" ref="V30:AE35" si="33">IF(AND(V$4&gt;=$I30,V$4&lt;=$J30),1,"")</f>
        <v/>
      </c>
      <c r="W30" s="23" t="str">
        <f t="shared" si="33"/>
        <v/>
      </c>
      <c r="X30" s="23" t="str">
        <f t="shared" si="33"/>
        <v/>
      </c>
      <c r="Y30" s="23" t="str">
        <f t="shared" si="33"/>
        <v/>
      </c>
      <c r="Z30" s="23" t="str">
        <f t="shared" si="33"/>
        <v/>
      </c>
      <c r="AA30" s="23" t="str">
        <f t="shared" si="33"/>
        <v/>
      </c>
      <c r="AB30" s="23" t="str">
        <f t="shared" si="33"/>
        <v/>
      </c>
      <c r="AC30" s="23" t="str">
        <f t="shared" si="33"/>
        <v/>
      </c>
      <c r="AD30" s="23">
        <f t="shared" si="33"/>
        <v>1</v>
      </c>
      <c r="AE30" s="23">
        <f t="shared" si="33"/>
        <v>1</v>
      </c>
      <c r="AF30" s="23">
        <f t="shared" ref="AF30:AO35" si="34">IF(AND(AF$4&gt;=$I30,AF$4&lt;=$J30),1,"")</f>
        <v>1</v>
      </c>
      <c r="AG30" s="23">
        <f t="shared" si="34"/>
        <v>1</v>
      </c>
      <c r="AH30" s="23">
        <f t="shared" si="34"/>
        <v>1</v>
      </c>
      <c r="AI30" s="23">
        <f t="shared" si="34"/>
        <v>1</v>
      </c>
      <c r="AJ30" s="23">
        <f t="shared" si="34"/>
        <v>1</v>
      </c>
      <c r="AK30" s="23">
        <f t="shared" si="34"/>
        <v>1</v>
      </c>
      <c r="AL30" s="23">
        <f t="shared" si="34"/>
        <v>1</v>
      </c>
      <c r="AM30" s="23">
        <f t="shared" si="34"/>
        <v>1</v>
      </c>
      <c r="AN30" s="23">
        <f t="shared" si="34"/>
        <v>1</v>
      </c>
      <c r="AO30" s="23">
        <f t="shared" si="34"/>
        <v>1</v>
      </c>
      <c r="AP30" s="23">
        <f t="shared" ref="AP30:AY35" si="35">IF(AND(AP$4&gt;=$I30,AP$4&lt;=$J30),1,"")</f>
        <v>1</v>
      </c>
      <c r="AQ30" s="23" t="str">
        <f t="shared" si="35"/>
        <v/>
      </c>
      <c r="AR30" s="23" t="str">
        <f t="shared" si="35"/>
        <v/>
      </c>
      <c r="AS30" s="23" t="str">
        <f t="shared" si="35"/>
        <v/>
      </c>
      <c r="AT30" s="23" t="str">
        <f t="shared" si="35"/>
        <v/>
      </c>
      <c r="AU30" s="23" t="str">
        <f t="shared" si="35"/>
        <v/>
      </c>
      <c r="AV30" s="23" t="str">
        <f t="shared" si="35"/>
        <v/>
      </c>
      <c r="AW30" s="23" t="str">
        <f t="shared" si="35"/>
        <v/>
      </c>
      <c r="AX30" s="23" t="str">
        <f t="shared" si="35"/>
        <v/>
      </c>
      <c r="AY30" s="23" t="str">
        <f t="shared" si="35"/>
        <v/>
      </c>
      <c r="AZ30" s="23" t="str">
        <f t="shared" ref="AZ30:BI35" si="36">IF(AND(AZ$4&gt;=$I30,AZ$4&lt;=$J30),1,"")</f>
        <v/>
      </c>
      <c r="BA30" s="23" t="str">
        <f t="shared" si="36"/>
        <v/>
      </c>
      <c r="BB30" s="23" t="str">
        <f t="shared" si="36"/>
        <v/>
      </c>
      <c r="BC30" s="23" t="str">
        <f t="shared" si="36"/>
        <v/>
      </c>
      <c r="BD30" s="23" t="str">
        <f t="shared" si="36"/>
        <v/>
      </c>
      <c r="BE30" s="23" t="str">
        <f t="shared" si="36"/>
        <v/>
      </c>
      <c r="BF30" s="23" t="str">
        <f t="shared" si="36"/>
        <v/>
      </c>
      <c r="BG30" s="23" t="str">
        <f t="shared" si="36"/>
        <v/>
      </c>
      <c r="BH30" s="23" t="str">
        <f t="shared" si="36"/>
        <v/>
      </c>
      <c r="BI30" s="23" t="str">
        <f t="shared" si="36"/>
        <v/>
      </c>
      <c r="BJ30" s="23" t="str">
        <f t="shared" ref="BJ30:BT35" si="37">IF(AND(BJ$4&gt;=$I30,BJ$4&lt;=$J30),1,"")</f>
        <v/>
      </c>
      <c r="BK30" s="23" t="str">
        <f t="shared" si="37"/>
        <v/>
      </c>
      <c r="BL30" s="23" t="str">
        <f t="shared" si="37"/>
        <v/>
      </c>
      <c r="BM30" s="23" t="str">
        <f t="shared" si="37"/>
        <v/>
      </c>
      <c r="BN30" s="23" t="str">
        <f t="shared" si="37"/>
        <v/>
      </c>
      <c r="BO30" s="23" t="str">
        <f t="shared" si="37"/>
        <v/>
      </c>
      <c r="BP30" s="23" t="str">
        <f t="shared" si="37"/>
        <v/>
      </c>
      <c r="BQ30" s="23" t="str">
        <f t="shared" si="37"/>
        <v/>
      </c>
      <c r="BR30" s="23" t="str">
        <f t="shared" si="37"/>
        <v/>
      </c>
      <c r="BS30" s="23" t="str">
        <f t="shared" si="37"/>
        <v/>
      </c>
      <c r="BT30" s="23" t="str">
        <f t="shared" si="37"/>
        <v/>
      </c>
      <c r="BU30" s="24" t="str">
        <f>IF(IF(G30+H30-1&lt;=29,MAX(ROUND((G30+H30-1)*(29+SlipWeeks)/29,0),$I30),G30+H30-1+SlipWeeks)&gt;61,"▶ clipped","")</f>
        <v/>
      </c>
      <c r="BV30" s="29" t="s">
        <v>1015</v>
      </c>
    </row>
    <row r="31" spans="1:74" ht="34" hidden="1" outlineLevel="1" x14ac:dyDescent="0.2">
      <c r="A31" s="6" t="s">
        <v>1016</v>
      </c>
      <c r="B31" s="25" t="s">
        <v>1017</v>
      </c>
      <c r="C31" s="6" t="s">
        <v>55</v>
      </c>
      <c r="D31" s="24" t="s">
        <v>951</v>
      </c>
      <c r="F31" s="6"/>
      <c r="G31" s="22">
        <v>19</v>
      </c>
      <c r="H31" s="22">
        <v>3</v>
      </c>
      <c r="I31" s="22">
        <f>MEDIAN($I$30,$J$30,$I$30+ROUND((G31-$G$30)/$H$30*($J$30-$I$30+1),0))</f>
        <v>19</v>
      </c>
      <c r="J31" s="22">
        <f>MEDIAN(I31,$J$30,$I$30+ROUND((G31+H31-$G$30)/$H$30*($J$30-$I$30+1),0)-1)</f>
        <v>21</v>
      </c>
      <c r="L31" s="23" t="str">
        <f t="shared" si="32"/>
        <v/>
      </c>
      <c r="M31" s="23" t="str">
        <f t="shared" si="32"/>
        <v/>
      </c>
      <c r="N31" s="23" t="str">
        <f t="shared" si="32"/>
        <v/>
      </c>
      <c r="O31" s="23" t="str">
        <f t="shared" si="32"/>
        <v/>
      </c>
      <c r="P31" s="23" t="str">
        <f t="shared" si="32"/>
        <v/>
      </c>
      <c r="Q31" s="23" t="str">
        <f t="shared" si="32"/>
        <v/>
      </c>
      <c r="R31" s="23" t="str">
        <f t="shared" si="32"/>
        <v/>
      </c>
      <c r="S31" s="23" t="str">
        <f t="shared" si="32"/>
        <v/>
      </c>
      <c r="T31" s="23" t="str">
        <f t="shared" si="32"/>
        <v/>
      </c>
      <c r="U31" s="23" t="str">
        <f t="shared" si="32"/>
        <v/>
      </c>
      <c r="V31" s="23" t="str">
        <f t="shared" si="33"/>
        <v/>
      </c>
      <c r="W31" s="23" t="str">
        <f t="shared" si="33"/>
        <v/>
      </c>
      <c r="X31" s="23" t="str">
        <f t="shared" si="33"/>
        <v/>
      </c>
      <c r="Y31" s="23" t="str">
        <f t="shared" si="33"/>
        <v/>
      </c>
      <c r="Z31" s="23" t="str">
        <f t="shared" si="33"/>
        <v/>
      </c>
      <c r="AA31" s="23" t="str">
        <f t="shared" si="33"/>
        <v/>
      </c>
      <c r="AB31" s="23" t="str">
        <f t="shared" si="33"/>
        <v/>
      </c>
      <c r="AC31" s="23" t="str">
        <f t="shared" si="33"/>
        <v/>
      </c>
      <c r="AD31" s="23">
        <f t="shared" si="33"/>
        <v>1</v>
      </c>
      <c r="AE31" s="23">
        <f t="shared" si="33"/>
        <v>1</v>
      </c>
      <c r="AF31" s="23">
        <f t="shared" si="34"/>
        <v>1</v>
      </c>
      <c r="AG31" s="23" t="str">
        <f t="shared" si="34"/>
        <v/>
      </c>
      <c r="AH31" s="23" t="str">
        <f t="shared" si="34"/>
        <v/>
      </c>
      <c r="AI31" s="23" t="str">
        <f t="shared" si="34"/>
        <v/>
      </c>
      <c r="AJ31" s="23" t="str">
        <f t="shared" si="34"/>
        <v/>
      </c>
      <c r="AK31" s="23" t="str">
        <f t="shared" si="34"/>
        <v/>
      </c>
      <c r="AL31" s="23" t="str">
        <f t="shared" si="34"/>
        <v/>
      </c>
      <c r="AM31" s="23" t="str">
        <f t="shared" si="34"/>
        <v/>
      </c>
      <c r="AN31" s="23" t="str">
        <f t="shared" si="34"/>
        <v/>
      </c>
      <c r="AO31" s="23" t="str">
        <f t="shared" si="34"/>
        <v/>
      </c>
      <c r="AP31" s="23" t="str">
        <f t="shared" si="35"/>
        <v/>
      </c>
      <c r="AQ31" s="23" t="str">
        <f t="shared" si="35"/>
        <v/>
      </c>
      <c r="AR31" s="23" t="str">
        <f t="shared" si="35"/>
        <v/>
      </c>
      <c r="AS31" s="23" t="str">
        <f t="shared" si="35"/>
        <v/>
      </c>
      <c r="AT31" s="23" t="str">
        <f t="shared" si="35"/>
        <v/>
      </c>
      <c r="AU31" s="23" t="str">
        <f t="shared" si="35"/>
        <v/>
      </c>
      <c r="AV31" s="23" t="str">
        <f t="shared" si="35"/>
        <v/>
      </c>
      <c r="AW31" s="23" t="str">
        <f t="shared" si="35"/>
        <v/>
      </c>
      <c r="AX31" s="23" t="str">
        <f t="shared" si="35"/>
        <v/>
      </c>
      <c r="AY31" s="23" t="str">
        <f t="shared" si="35"/>
        <v/>
      </c>
      <c r="AZ31" s="23" t="str">
        <f t="shared" si="36"/>
        <v/>
      </c>
      <c r="BA31" s="23" t="str">
        <f t="shared" si="36"/>
        <v/>
      </c>
      <c r="BB31" s="23" t="str">
        <f t="shared" si="36"/>
        <v/>
      </c>
      <c r="BC31" s="23" t="str">
        <f t="shared" si="36"/>
        <v/>
      </c>
      <c r="BD31" s="23" t="str">
        <f t="shared" si="36"/>
        <v/>
      </c>
      <c r="BE31" s="23" t="str">
        <f t="shared" si="36"/>
        <v/>
      </c>
      <c r="BF31" s="23" t="str">
        <f t="shared" si="36"/>
        <v/>
      </c>
      <c r="BG31" s="23" t="str">
        <f t="shared" si="36"/>
        <v/>
      </c>
      <c r="BH31" s="23" t="str">
        <f t="shared" si="36"/>
        <v/>
      </c>
      <c r="BI31" s="23" t="str">
        <f t="shared" si="36"/>
        <v/>
      </c>
      <c r="BJ31" s="23" t="str">
        <f t="shared" si="37"/>
        <v/>
      </c>
      <c r="BK31" s="23" t="str">
        <f t="shared" si="37"/>
        <v/>
      </c>
      <c r="BL31" s="23" t="str">
        <f t="shared" si="37"/>
        <v/>
      </c>
      <c r="BM31" s="23" t="str">
        <f t="shared" si="37"/>
        <v/>
      </c>
      <c r="BN31" s="23" t="str">
        <f t="shared" si="37"/>
        <v/>
      </c>
      <c r="BO31" s="23" t="str">
        <f t="shared" si="37"/>
        <v/>
      </c>
      <c r="BP31" s="23" t="str">
        <f t="shared" si="37"/>
        <v/>
      </c>
      <c r="BQ31" s="23" t="str">
        <f t="shared" si="37"/>
        <v/>
      </c>
      <c r="BR31" s="23" t="str">
        <f t="shared" si="37"/>
        <v/>
      </c>
      <c r="BS31" s="23" t="str">
        <f t="shared" si="37"/>
        <v/>
      </c>
      <c r="BT31" s="23" t="str">
        <f t="shared" si="37"/>
        <v/>
      </c>
      <c r="BV31" s="29" t="s">
        <v>1018</v>
      </c>
    </row>
    <row r="32" spans="1:74" ht="51" hidden="1" outlineLevel="1" x14ac:dyDescent="0.2">
      <c r="A32" s="6" t="s">
        <v>1019</v>
      </c>
      <c r="B32" s="25" t="s">
        <v>1020</v>
      </c>
      <c r="C32" s="6" t="s">
        <v>55</v>
      </c>
      <c r="D32" s="24" t="s">
        <v>951</v>
      </c>
      <c r="F32" s="6" t="s">
        <v>1016</v>
      </c>
      <c r="G32" s="22">
        <v>22</v>
      </c>
      <c r="H32" s="22">
        <v>2</v>
      </c>
      <c r="I32" s="22">
        <f>MEDIAN($I$30,$J$30,$I$30+ROUND((G32-$G$30)/$H$30*($J$30-$I$30+1),0))</f>
        <v>22</v>
      </c>
      <c r="J32" s="22">
        <f>MEDIAN(I32,$J$30,$I$30+ROUND((G32+H32-$G$30)/$H$30*($J$30-$I$30+1),0)-1)</f>
        <v>23</v>
      </c>
      <c r="L32" s="23" t="str">
        <f t="shared" si="32"/>
        <v/>
      </c>
      <c r="M32" s="23" t="str">
        <f t="shared" si="32"/>
        <v/>
      </c>
      <c r="N32" s="23" t="str">
        <f t="shared" si="32"/>
        <v/>
      </c>
      <c r="O32" s="23" t="str">
        <f t="shared" si="32"/>
        <v/>
      </c>
      <c r="P32" s="23" t="str">
        <f t="shared" si="32"/>
        <v/>
      </c>
      <c r="Q32" s="23" t="str">
        <f t="shared" si="32"/>
        <v/>
      </c>
      <c r="R32" s="23" t="str">
        <f t="shared" si="32"/>
        <v/>
      </c>
      <c r="S32" s="23" t="str">
        <f t="shared" si="32"/>
        <v/>
      </c>
      <c r="T32" s="23" t="str">
        <f t="shared" si="32"/>
        <v/>
      </c>
      <c r="U32" s="23" t="str">
        <f t="shared" si="32"/>
        <v/>
      </c>
      <c r="V32" s="23" t="str">
        <f t="shared" si="33"/>
        <v/>
      </c>
      <c r="W32" s="23" t="str">
        <f t="shared" si="33"/>
        <v/>
      </c>
      <c r="X32" s="23" t="str">
        <f t="shared" si="33"/>
        <v/>
      </c>
      <c r="Y32" s="23" t="str">
        <f t="shared" si="33"/>
        <v/>
      </c>
      <c r="Z32" s="23" t="str">
        <f t="shared" si="33"/>
        <v/>
      </c>
      <c r="AA32" s="23" t="str">
        <f t="shared" si="33"/>
        <v/>
      </c>
      <c r="AB32" s="23" t="str">
        <f t="shared" si="33"/>
        <v/>
      </c>
      <c r="AC32" s="23" t="str">
        <f t="shared" si="33"/>
        <v/>
      </c>
      <c r="AD32" s="23" t="str">
        <f t="shared" si="33"/>
        <v/>
      </c>
      <c r="AE32" s="23" t="str">
        <f t="shared" si="33"/>
        <v/>
      </c>
      <c r="AF32" s="23" t="str">
        <f t="shared" si="34"/>
        <v/>
      </c>
      <c r="AG32" s="23">
        <f t="shared" si="34"/>
        <v>1</v>
      </c>
      <c r="AH32" s="23">
        <f t="shared" si="34"/>
        <v>1</v>
      </c>
      <c r="AI32" s="23" t="str">
        <f t="shared" si="34"/>
        <v/>
      </c>
      <c r="AJ32" s="23" t="str">
        <f t="shared" si="34"/>
        <v/>
      </c>
      <c r="AK32" s="23" t="str">
        <f t="shared" si="34"/>
        <v/>
      </c>
      <c r="AL32" s="23" t="str">
        <f t="shared" si="34"/>
        <v/>
      </c>
      <c r="AM32" s="23" t="str">
        <f t="shared" si="34"/>
        <v/>
      </c>
      <c r="AN32" s="23" t="str">
        <f t="shared" si="34"/>
        <v/>
      </c>
      <c r="AO32" s="23" t="str">
        <f t="shared" si="34"/>
        <v/>
      </c>
      <c r="AP32" s="23" t="str">
        <f t="shared" si="35"/>
        <v/>
      </c>
      <c r="AQ32" s="23" t="str">
        <f t="shared" si="35"/>
        <v/>
      </c>
      <c r="AR32" s="23" t="str">
        <f t="shared" si="35"/>
        <v/>
      </c>
      <c r="AS32" s="23" t="str">
        <f t="shared" si="35"/>
        <v/>
      </c>
      <c r="AT32" s="23" t="str">
        <f t="shared" si="35"/>
        <v/>
      </c>
      <c r="AU32" s="23" t="str">
        <f t="shared" si="35"/>
        <v/>
      </c>
      <c r="AV32" s="23" t="str">
        <f t="shared" si="35"/>
        <v/>
      </c>
      <c r="AW32" s="23" t="str">
        <f t="shared" si="35"/>
        <v/>
      </c>
      <c r="AX32" s="23" t="str">
        <f t="shared" si="35"/>
        <v/>
      </c>
      <c r="AY32" s="23" t="str">
        <f t="shared" si="35"/>
        <v/>
      </c>
      <c r="AZ32" s="23" t="str">
        <f t="shared" si="36"/>
        <v/>
      </c>
      <c r="BA32" s="23" t="str">
        <f t="shared" si="36"/>
        <v/>
      </c>
      <c r="BB32" s="23" t="str">
        <f t="shared" si="36"/>
        <v/>
      </c>
      <c r="BC32" s="23" t="str">
        <f t="shared" si="36"/>
        <v/>
      </c>
      <c r="BD32" s="23" t="str">
        <f t="shared" si="36"/>
        <v/>
      </c>
      <c r="BE32" s="23" t="str">
        <f t="shared" si="36"/>
        <v/>
      </c>
      <c r="BF32" s="23" t="str">
        <f t="shared" si="36"/>
        <v/>
      </c>
      <c r="BG32" s="23" t="str">
        <f t="shared" si="36"/>
        <v/>
      </c>
      <c r="BH32" s="23" t="str">
        <f t="shared" si="36"/>
        <v/>
      </c>
      <c r="BI32" s="23" t="str">
        <f t="shared" si="36"/>
        <v/>
      </c>
      <c r="BJ32" s="23" t="str">
        <f t="shared" si="37"/>
        <v/>
      </c>
      <c r="BK32" s="23" t="str">
        <f t="shared" si="37"/>
        <v/>
      </c>
      <c r="BL32" s="23" t="str">
        <f t="shared" si="37"/>
        <v/>
      </c>
      <c r="BM32" s="23" t="str">
        <f t="shared" si="37"/>
        <v/>
      </c>
      <c r="BN32" s="23" t="str">
        <f t="shared" si="37"/>
        <v/>
      </c>
      <c r="BO32" s="23" t="str">
        <f t="shared" si="37"/>
        <v/>
      </c>
      <c r="BP32" s="23" t="str">
        <f t="shared" si="37"/>
        <v/>
      </c>
      <c r="BQ32" s="23" t="str">
        <f t="shared" si="37"/>
        <v/>
      </c>
      <c r="BR32" s="23" t="str">
        <f t="shared" si="37"/>
        <v/>
      </c>
      <c r="BS32" s="23" t="str">
        <f t="shared" si="37"/>
        <v/>
      </c>
      <c r="BT32" s="23" t="str">
        <f t="shared" si="37"/>
        <v/>
      </c>
      <c r="BV32" s="29" t="s">
        <v>1021</v>
      </c>
    </row>
    <row r="33" spans="1:74" ht="34" hidden="1" outlineLevel="1" x14ac:dyDescent="0.2">
      <c r="A33" s="6" t="s">
        <v>1022</v>
      </c>
      <c r="B33" s="25" t="s">
        <v>1023</v>
      </c>
      <c r="C33" s="6" t="s">
        <v>55</v>
      </c>
      <c r="D33" s="24" t="s">
        <v>951</v>
      </c>
      <c r="F33" s="6" t="s">
        <v>1019</v>
      </c>
      <c r="G33" s="22">
        <v>24</v>
      </c>
      <c r="H33" s="22">
        <v>2</v>
      </c>
      <c r="I33" s="22">
        <f>MEDIAN($I$30,$J$30,$I$30+ROUND((G33-$G$30)/$H$30*($J$30-$I$30+1),0))</f>
        <v>24</v>
      </c>
      <c r="J33" s="22">
        <f>MEDIAN(I33,$J$30,$I$30+ROUND((G33+H33-$G$30)/$H$30*($J$30-$I$30+1),0)-1)</f>
        <v>25</v>
      </c>
      <c r="L33" s="23" t="str">
        <f t="shared" si="32"/>
        <v/>
      </c>
      <c r="M33" s="23" t="str">
        <f t="shared" si="32"/>
        <v/>
      </c>
      <c r="N33" s="23" t="str">
        <f t="shared" si="32"/>
        <v/>
      </c>
      <c r="O33" s="23" t="str">
        <f t="shared" si="32"/>
        <v/>
      </c>
      <c r="P33" s="23" t="str">
        <f t="shared" si="32"/>
        <v/>
      </c>
      <c r="Q33" s="23" t="str">
        <f t="shared" si="32"/>
        <v/>
      </c>
      <c r="R33" s="23" t="str">
        <f t="shared" si="32"/>
        <v/>
      </c>
      <c r="S33" s="23" t="str">
        <f t="shared" si="32"/>
        <v/>
      </c>
      <c r="T33" s="23" t="str">
        <f t="shared" si="32"/>
        <v/>
      </c>
      <c r="U33" s="23" t="str">
        <f t="shared" si="32"/>
        <v/>
      </c>
      <c r="V33" s="23" t="str">
        <f t="shared" si="33"/>
        <v/>
      </c>
      <c r="W33" s="23" t="str">
        <f t="shared" si="33"/>
        <v/>
      </c>
      <c r="X33" s="23" t="str">
        <f t="shared" si="33"/>
        <v/>
      </c>
      <c r="Y33" s="23" t="str">
        <f t="shared" si="33"/>
        <v/>
      </c>
      <c r="Z33" s="23" t="str">
        <f t="shared" si="33"/>
        <v/>
      </c>
      <c r="AA33" s="23" t="str">
        <f t="shared" si="33"/>
        <v/>
      </c>
      <c r="AB33" s="23" t="str">
        <f t="shared" si="33"/>
        <v/>
      </c>
      <c r="AC33" s="23" t="str">
        <f t="shared" si="33"/>
        <v/>
      </c>
      <c r="AD33" s="23" t="str">
        <f t="shared" si="33"/>
        <v/>
      </c>
      <c r="AE33" s="23" t="str">
        <f t="shared" si="33"/>
        <v/>
      </c>
      <c r="AF33" s="23" t="str">
        <f t="shared" si="34"/>
        <v/>
      </c>
      <c r="AG33" s="23" t="str">
        <f t="shared" si="34"/>
        <v/>
      </c>
      <c r="AH33" s="23" t="str">
        <f t="shared" si="34"/>
        <v/>
      </c>
      <c r="AI33" s="23">
        <f t="shared" si="34"/>
        <v>1</v>
      </c>
      <c r="AJ33" s="23">
        <f t="shared" si="34"/>
        <v>1</v>
      </c>
      <c r="AK33" s="23" t="str">
        <f t="shared" si="34"/>
        <v/>
      </c>
      <c r="AL33" s="23" t="str">
        <f t="shared" si="34"/>
        <v/>
      </c>
      <c r="AM33" s="23" t="str">
        <f t="shared" si="34"/>
        <v/>
      </c>
      <c r="AN33" s="23" t="str">
        <f t="shared" si="34"/>
        <v/>
      </c>
      <c r="AO33" s="23" t="str">
        <f t="shared" si="34"/>
        <v/>
      </c>
      <c r="AP33" s="23" t="str">
        <f t="shared" si="35"/>
        <v/>
      </c>
      <c r="AQ33" s="23" t="str">
        <f t="shared" si="35"/>
        <v/>
      </c>
      <c r="AR33" s="23" t="str">
        <f t="shared" si="35"/>
        <v/>
      </c>
      <c r="AS33" s="23" t="str">
        <f t="shared" si="35"/>
        <v/>
      </c>
      <c r="AT33" s="23" t="str">
        <f t="shared" si="35"/>
        <v/>
      </c>
      <c r="AU33" s="23" t="str">
        <f t="shared" si="35"/>
        <v/>
      </c>
      <c r="AV33" s="23" t="str">
        <f t="shared" si="35"/>
        <v/>
      </c>
      <c r="AW33" s="23" t="str">
        <f t="shared" si="35"/>
        <v/>
      </c>
      <c r="AX33" s="23" t="str">
        <f t="shared" si="35"/>
        <v/>
      </c>
      <c r="AY33" s="23" t="str">
        <f t="shared" si="35"/>
        <v/>
      </c>
      <c r="AZ33" s="23" t="str">
        <f t="shared" si="36"/>
        <v/>
      </c>
      <c r="BA33" s="23" t="str">
        <f t="shared" si="36"/>
        <v/>
      </c>
      <c r="BB33" s="23" t="str">
        <f t="shared" si="36"/>
        <v/>
      </c>
      <c r="BC33" s="23" t="str">
        <f t="shared" si="36"/>
        <v/>
      </c>
      <c r="BD33" s="23" t="str">
        <f t="shared" si="36"/>
        <v/>
      </c>
      <c r="BE33" s="23" t="str">
        <f t="shared" si="36"/>
        <v/>
      </c>
      <c r="BF33" s="23" t="str">
        <f t="shared" si="36"/>
        <v/>
      </c>
      <c r="BG33" s="23" t="str">
        <f t="shared" si="36"/>
        <v/>
      </c>
      <c r="BH33" s="23" t="str">
        <f t="shared" si="36"/>
        <v/>
      </c>
      <c r="BI33" s="23" t="str">
        <f t="shared" si="36"/>
        <v/>
      </c>
      <c r="BJ33" s="23" t="str">
        <f t="shared" si="37"/>
        <v/>
      </c>
      <c r="BK33" s="23" t="str">
        <f t="shared" si="37"/>
        <v/>
      </c>
      <c r="BL33" s="23" t="str">
        <f t="shared" si="37"/>
        <v/>
      </c>
      <c r="BM33" s="23" t="str">
        <f t="shared" si="37"/>
        <v/>
      </c>
      <c r="BN33" s="23" t="str">
        <f t="shared" si="37"/>
        <v/>
      </c>
      <c r="BO33" s="23" t="str">
        <f t="shared" si="37"/>
        <v/>
      </c>
      <c r="BP33" s="23" t="str">
        <f t="shared" si="37"/>
        <v/>
      </c>
      <c r="BQ33" s="23" t="str">
        <f t="shared" si="37"/>
        <v/>
      </c>
      <c r="BR33" s="23" t="str">
        <f t="shared" si="37"/>
        <v/>
      </c>
      <c r="BS33" s="23" t="str">
        <f t="shared" si="37"/>
        <v/>
      </c>
      <c r="BT33" s="23" t="str">
        <f t="shared" si="37"/>
        <v/>
      </c>
      <c r="BV33" s="29" t="s">
        <v>1024</v>
      </c>
    </row>
    <row r="34" spans="1:74" ht="17" hidden="1" outlineLevel="1" x14ac:dyDescent="0.2">
      <c r="A34" s="6" t="s">
        <v>1025</v>
      </c>
      <c r="B34" s="25" t="s">
        <v>1026</v>
      </c>
      <c r="C34" s="6" t="s">
        <v>55</v>
      </c>
      <c r="D34" s="24" t="s">
        <v>951</v>
      </c>
      <c r="F34" s="6" t="s">
        <v>1022</v>
      </c>
      <c r="G34" s="22">
        <v>26</v>
      </c>
      <c r="H34" s="22">
        <v>2</v>
      </c>
      <c r="I34" s="22">
        <f>MEDIAN($I$30,$J$30,$I$30+ROUND((G34-$G$30)/$H$30*($J$30-$I$30+1),0))</f>
        <v>26</v>
      </c>
      <c r="J34" s="22">
        <f>MEDIAN(I34,$J$30,$I$30+ROUND((G34+H34-$G$30)/$H$30*($J$30-$I$30+1),0)-1)</f>
        <v>27</v>
      </c>
      <c r="L34" s="23" t="str">
        <f t="shared" si="32"/>
        <v/>
      </c>
      <c r="M34" s="23" t="str">
        <f t="shared" si="32"/>
        <v/>
      </c>
      <c r="N34" s="23" t="str">
        <f t="shared" si="32"/>
        <v/>
      </c>
      <c r="O34" s="23" t="str">
        <f t="shared" si="32"/>
        <v/>
      </c>
      <c r="P34" s="23" t="str">
        <f t="shared" si="32"/>
        <v/>
      </c>
      <c r="Q34" s="23" t="str">
        <f t="shared" si="32"/>
        <v/>
      </c>
      <c r="R34" s="23" t="str">
        <f t="shared" si="32"/>
        <v/>
      </c>
      <c r="S34" s="23" t="str">
        <f t="shared" si="32"/>
        <v/>
      </c>
      <c r="T34" s="23" t="str">
        <f t="shared" si="32"/>
        <v/>
      </c>
      <c r="U34" s="23" t="str">
        <f t="shared" si="32"/>
        <v/>
      </c>
      <c r="V34" s="23" t="str">
        <f t="shared" si="33"/>
        <v/>
      </c>
      <c r="W34" s="23" t="str">
        <f t="shared" si="33"/>
        <v/>
      </c>
      <c r="X34" s="23" t="str">
        <f t="shared" si="33"/>
        <v/>
      </c>
      <c r="Y34" s="23" t="str">
        <f t="shared" si="33"/>
        <v/>
      </c>
      <c r="Z34" s="23" t="str">
        <f t="shared" si="33"/>
        <v/>
      </c>
      <c r="AA34" s="23" t="str">
        <f t="shared" si="33"/>
        <v/>
      </c>
      <c r="AB34" s="23" t="str">
        <f t="shared" si="33"/>
        <v/>
      </c>
      <c r="AC34" s="23" t="str">
        <f t="shared" si="33"/>
        <v/>
      </c>
      <c r="AD34" s="23" t="str">
        <f t="shared" si="33"/>
        <v/>
      </c>
      <c r="AE34" s="23" t="str">
        <f t="shared" si="33"/>
        <v/>
      </c>
      <c r="AF34" s="23" t="str">
        <f t="shared" si="34"/>
        <v/>
      </c>
      <c r="AG34" s="23" t="str">
        <f t="shared" si="34"/>
        <v/>
      </c>
      <c r="AH34" s="23" t="str">
        <f t="shared" si="34"/>
        <v/>
      </c>
      <c r="AI34" s="23" t="str">
        <f t="shared" si="34"/>
        <v/>
      </c>
      <c r="AJ34" s="23" t="str">
        <f t="shared" si="34"/>
        <v/>
      </c>
      <c r="AK34" s="23">
        <f t="shared" si="34"/>
        <v>1</v>
      </c>
      <c r="AL34" s="23">
        <f t="shared" si="34"/>
        <v>1</v>
      </c>
      <c r="AM34" s="23" t="str">
        <f t="shared" si="34"/>
        <v/>
      </c>
      <c r="AN34" s="23" t="str">
        <f t="shared" si="34"/>
        <v/>
      </c>
      <c r="AO34" s="23" t="str">
        <f t="shared" si="34"/>
        <v/>
      </c>
      <c r="AP34" s="23" t="str">
        <f t="shared" si="35"/>
        <v/>
      </c>
      <c r="AQ34" s="23" t="str">
        <f t="shared" si="35"/>
        <v/>
      </c>
      <c r="AR34" s="23" t="str">
        <f t="shared" si="35"/>
        <v/>
      </c>
      <c r="AS34" s="23" t="str">
        <f t="shared" si="35"/>
        <v/>
      </c>
      <c r="AT34" s="23" t="str">
        <f t="shared" si="35"/>
        <v/>
      </c>
      <c r="AU34" s="23" t="str">
        <f t="shared" si="35"/>
        <v/>
      </c>
      <c r="AV34" s="23" t="str">
        <f t="shared" si="35"/>
        <v/>
      </c>
      <c r="AW34" s="23" t="str">
        <f t="shared" si="35"/>
        <v/>
      </c>
      <c r="AX34" s="23" t="str">
        <f t="shared" si="35"/>
        <v/>
      </c>
      <c r="AY34" s="23" t="str">
        <f t="shared" si="35"/>
        <v/>
      </c>
      <c r="AZ34" s="23" t="str">
        <f t="shared" si="36"/>
        <v/>
      </c>
      <c r="BA34" s="23" t="str">
        <f t="shared" si="36"/>
        <v/>
      </c>
      <c r="BB34" s="23" t="str">
        <f t="shared" si="36"/>
        <v/>
      </c>
      <c r="BC34" s="23" t="str">
        <f t="shared" si="36"/>
        <v/>
      </c>
      <c r="BD34" s="23" t="str">
        <f t="shared" si="36"/>
        <v/>
      </c>
      <c r="BE34" s="23" t="str">
        <f t="shared" si="36"/>
        <v/>
      </c>
      <c r="BF34" s="23" t="str">
        <f t="shared" si="36"/>
        <v/>
      </c>
      <c r="BG34" s="23" t="str">
        <f t="shared" si="36"/>
        <v/>
      </c>
      <c r="BH34" s="23" t="str">
        <f t="shared" si="36"/>
        <v/>
      </c>
      <c r="BI34" s="23" t="str">
        <f t="shared" si="36"/>
        <v/>
      </c>
      <c r="BJ34" s="23" t="str">
        <f t="shared" si="37"/>
        <v/>
      </c>
      <c r="BK34" s="23" t="str">
        <f t="shared" si="37"/>
        <v/>
      </c>
      <c r="BL34" s="23" t="str">
        <f t="shared" si="37"/>
        <v/>
      </c>
      <c r="BM34" s="23" t="str">
        <f t="shared" si="37"/>
        <v/>
      </c>
      <c r="BN34" s="23" t="str">
        <f t="shared" si="37"/>
        <v/>
      </c>
      <c r="BO34" s="23" t="str">
        <f t="shared" si="37"/>
        <v/>
      </c>
      <c r="BP34" s="23" t="str">
        <f t="shared" si="37"/>
        <v/>
      </c>
      <c r="BQ34" s="23" t="str">
        <f t="shared" si="37"/>
        <v/>
      </c>
      <c r="BR34" s="23" t="str">
        <f t="shared" si="37"/>
        <v/>
      </c>
      <c r="BS34" s="23" t="str">
        <f t="shared" si="37"/>
        <v/>
      </c>
      <c r="BT34" s="23" t="str">
        <f t="shared" si="37"/>
        <v/>
      </c>
      <c r="BV34" s="29" t="s">
        <v>1027</v>
      </c>
    </row>
    <row r="35" spans="1:74" ht="34" hidden="1" outlineLevel="1" x14ac:dyDescent="0.2">
      <c r="A35" s="6" t="s">
        <v>1028</v>
      </c>
      <c r="B35" s="25" t="s">
        <v>1029</v>
      </c>
      <c r="C35" s="6" t="s">
        <v>55</v>
      </c>
      <c r="D35" s="24" t="s">
        <v>951</v>
      </c>
      <c r="F35" s="6" t="s">
        <v>1025</v>
      </c>
      <c r="G35" s="22">
        <v>28</v>
      </c>
      <c r="H35" s="22">
        <v>4</v>
      </c>
      <c r="I35" s="22">
        <f>MEDIAN($I$30,$J$30,$I$30+ROUND((G35-$G$30)/$H$30*($J$30-$I$30+1),0))</f>
        <v>28</v>
      </c>
      <c r="J35" s="22">
        <f>MEDIAN(I35,$J$30,$I$30+ROUND((G35+H35-$G$30)/$H$30*($J$30-$I$30+1),0)-1)</f>
        <v>31</v>
      </c>
      <c r="L35" s="23" t="str">
        <f t="shared" si="32"/>
        <v/>
      </c>
      <c r="M35" s="23" t="str">
        <f t="shared" si="32"/>
        <v/>
      </c>
      <c r="N35" s="23" t="str">
        <f t="shared" si="32"/>
        <v/>
      </c>
      <c r="O35" s="23" t="str">
        <f t="shared" si="32"/>
        <v/>
      </c>
      <c r="P35" s="23" t="str">
        <f t="shared" si="32"/>
        <v/>
      </c>
      <c r="Q35" s="23" t="str">
        <f t="shared" si="32"/>
        <v/>
      </c>
      <c r="R35" s="23" t="str">
        <f t="shared" si="32"/>
        <v/>
      </c>
      <c r="S35" s="23" t="str">
        <f t="shared" si="32"/>
        <v/>
      </c>
      <c r="T35" s="23" t="str">
        <f t="shared" si="32"/>
        <v/>
      </c>
      <c r="U35" s="23" t="str">
        <f t="shared" si="32"/>
        <v/>
      </c>
      <c r="V35" s="23" t="str">
        <f t="shared" si="33"/>
        <v/>
      </c>
      <c r="W35" s="23" t="str">
        <f t="shared" si="33"/>
        <v/>
      </c>
      <c r="X35" s="23" t="str">
        <f t="shared" si="33"/>
        <v/>
      </c>
      <c r="Y35" s="23" t="str">
        <f t="shared" si="33"/>
        <v/>
      </c>
      <c r="Z35" s="23" t="str">
        <f t="shared" si="33"/>
        <v/>
      </c>
      <c r="AA35" s="23" t="str">
        <f t="shared" si="33"/>
        <v/>
      </c>
      <c r="AB35" s="23" t="str">
        <f t="shared" si="33"/>
        <v/>
      </c>
      <c r="AC35" s="23" t="str">
        <f t="shared" si="33"/>
        <v/>
      </c>
      <c r="AD35" s="23" t="str">
        <f t="shared" si="33"/>
        <v/>
      </c>
      <c r="AE35" s="23" t="str">
        <f t="shared" si="33"/>
        <v/>
      </c>
      <c r="AF35" s="23" t="str">
        <f t="shared" si="34"/>
        <v/>
      </c>
      <c r="AG35" s="23" t="str">
        <f t="shared" si="34"/>
        <v/>
      </c>
      <c r="AH35" s="23" t="str">
        <f t="shared" si="34"/>
        <v/>
      </c>
      <c r="AI35" s="23" t="str">
        <f t="shared" si="34"/>
        <v/>
      </c>
      <c r="AJ35" s="23" t="str">
        <f t="shared" si="34"/>
        <v/>
      </c>
      <c r="AK35" s="23" t="str">
        <f t="shared" si="34"/>
        <v/>
      </c>
      <c r="AL35" s="23" t="str">
        <f t="shared" si="34"/>
        <v/>
      </c>
      <c r="AM35" s="23">
        <f t="shared" si="34"/>
        <v>1</v>
      </c>
      <c r="AN35" s="23">
        <f t="shared" si="34"/>
        <v>1</v>
      </c>
      <c r="AO35" s="23">
        <f t="shared" si="34"/>
        <v>1</v>
      </c>
      <c r="AP35" s="23">
        <f t="shared" si="35"/>
        <v>1</v>
      </c>
      <c r="AQ35" s="23" t="str">
        <f t="shared" si="35"/>
        <v/>
      </c>
      <c r="AR35" s="23" t="str">
        <f t="shared" si="35"/>
        <v/>
      </c>
      <c r="AS35" s="23" t="str">
        <f t="shared" si="35"/>
        <v/>
      </c>
      <c r="AT35" s="23" t="str">
        <f t="shared" si="35"/>
        <v/>
      </c>
      <c r="AU35" s="23" t="str">
        <f t="shared" si="35"/>
        <v/>
      </c>
      <c r="AV35" s="23" t="str">
        <f t="shared" si="35"/>
        <v/>
      </c>
      <c r="AW35" s="23" t="str">
        <f t="shared" si="35"/>
        <v/>
      </c>
      <c r="AX35" s="23" t="str">
        <f t="shared" si="35"/>
        <v/>
      </c>
      <c r="AY35" s="23" t="str">
        <f t="shared" si="35"/>
        <v/>
      </c>
      <c r="AZ35" s="23" t="str">
        <f t="shared" si="36"/>
        <v/>
      </c>
      <c r="BA35" s="23" t="str">
        <f t="shared" si="36"/>
        <v/>
      </c>
      <c r="BB35" s="23" t="str">
        <f t="shared" si="36"/>
        <v/>
      </c>
      <c r="BC35" s="23" t="str">
        <f t="shared" si="36"/>
        <v/>
      </c>
      <c r="BD35" s="23" t="str">
        <f t="shared" si="36"/>
        <v/>
      </c>
      <c r="BE35" s="23" t="str">
        <f t="shared" si="36"/>
        <v/>
      </c>
      <c r="BF35" s="23" t="str">
        <f t="shared" si="36"/>
        <v/>
      </c>
      <c r="BG35" s="23" t="str">
        <f t="shared" si="36"/>
        <v/>
      </c>
      <c r="BH35" s="23" t="str">
        <f t="shared" si="36"/>
        <v/>
      </c>
      <c r="BI35" s="23" t="str">
        <f t="shared" si="36"/>
        <v/>
      </c>
      <c r="BJ35" s="23" t="str">
        <f t="shared" si="37"/>
        <v/>
      </c>
      <c r="BK35" s="23" t="str">
        <f t="shared" si="37"/>
        <v/>
      </c>
      <c r="BL35" s="23" t="str">
        <f t="shared" si="37"/>
        <v/>
      </c>
      <c r="BM35" s="23" t="str">
        <f t="shared" si="37"/>
        <v/>
      </c>
      <c r="BN35" s="23" t="str">
        <f t="shared" si="37"/>
        <v/>
      </c>
      <c r="BO35" s="23" t="str">
        <f t="shared" si="37"/>
        <v/>
      </c>
      <c r="BP35" s="23" t="str">
        <f t="shared" si="37"/>
        <v/>
      </c>
      <c r="BQ35" s="23" t="str">
        <f t="shared" si="37"/>
        <v/>
      </c>
      <c r="BR35" s="23" t="str">
        <f t="shared" si="37"/>
        <v/>
      </c>
      <c r="BS35" s="23" t="str">
        <f t="shared" si="37"/>
        <v/>
      </c>
      <c r="BT35" s="23" t="str">
        <f t="shared" si="37"/>
        <v/>
      </c>
      <c r="BV35" s="29" t="s">
        <v>1030</v>
      </c>
    </row>
    <row r="37" spans="1:74" ht="17" collapsed="1" x14ac:dyDescent="0.2">
      <c r="A37" s="19" t="s">
        <v>1031</v>
      </c>
      <c r="B37" s="20" t="s">
        <v>567</v>
      </c>
      <c r="C37" s="19" t="s">
        <v>56</v>
      </c>
      <c r="D37" s="21" t="s">
        <v>951</v>
      </c>
      <c r="E37" s="19" t="s">
        <v>82</v>
      </c>
      <c r="F37" s="19" t="s">
        <v>998</v>
      </c>
      <c r="G37" s="22">
        <v>22</v>
      </c>
      <c r="H37" s="22">
        <v>2</v>
      </c>
      <c r="I37" s="22">
        <f>MIN(61,IF(G37&lt;=29,ROUND((G37-1)*(29+SlipWeeks)/29,0)+1,G37+SlipWeeks))</f>
        <v>22</v>
      </c>
      <c r="J37" s="22">
        <f>MIN(61,IF(G37+H37-1&lt;=29,MAX(ROUND((G37+H37-1)*(29+SlipWeeks)/29,0),I37),G37+H37-1+SlipWeeks))</f>
        <v>23</v>
      </c>
      <c r="K37" s="29" t="s">
        <v>1032</v>
      </c>
      <c r="L37" s="23" t="str">
        <f t="shared" ref="L37:U39" si="38">IF(AND(L$4&gt;=$I37,L$4&lt;=$J37),1,"")</f>
        <v/>
      </c>
      <c r="M37" s="23" t="str">
        <f t="shared" si="38"/>
        <v/>
      </c>
      <c r="N37" s="23" t="str">
        <f t="shared" si="38"/>
        <v/>
      </c>
      <c r="O37" s="23" t="str">
        <f t="shared" si="38"/>
        <v/>
      </c>
      <c r="P37" s="23" t="str">
        <f t="shared" si="38"/>
        <v/>
      </c>
      <c r="Q37" s="23" t="str">
        <f t="shared" si="38"/>
        <v/>
      </c>
      <c r="R37" s="23" t="str">
        <f t="shared" si="38"/>
        <v/>
      </c>
      <c r="S37" s="23" t="str">
        <f t="shared" si="38"/>
        <v/>
      </c>
      <c r="T37" s="23" t="str">
        <f t="shared" si="38"/>
        <v/>
      </c>
      <c r="U37" s="23" t="str">
        <f t="shared" si="38"/>
        <v/>
      </c>
      <c r="V37" s="23" t="str">
        <f t="shared" ref="V37:AE39" si="39">IF(AND(V$4&gt;=$I37,V$4&lt;=$J37),1,"")</f>
        <v/>
      </c>
      <c r="W37" s="23" t="str">
        <f t="shared" si="39"/>
        <v/>
      </c>
      <c r="X37" s="23" t="str">
        <f t="shared" si="39"/>
        <v/>
      </c>
      <c r="Y37" s="23" t="str">
        <f t="shared" si="39"/>
        <v/>
      </c>
      <c r="Z37" s="23" t="str">
        <f t="shared" si="39"/>
        <v/>
      </c>
      <c r="AA37" s="23" t="str">
        <f t="shared" si="39"/>
        <v/>
      </c>
      <c r="AB37" s="23" t="str">
        <f t="shared" si="39"/>
        <v/>
      </c>
      <c r="AC37" s="23" t="str">
        <f t="shared" si="39"/>
        <v/>
      </c>
      <c r="AD37" s="23" t="str">
        <f t="shared" si="39"/>
        <v/>
      </c>
      <c r="AE37" s="23" t="str">
        <f t="shared" si="39"/>
        <v/>
      </c>
      <c r="AF37" s="23" t="str">
        <f t="shared" ref="AF37:AO39" si="40">IF(AND(AF$4&gt;=$I37,AF$4&lt;=$J37),1,"")</f>
        <v/>
      </c>
      <c r="AG37" s="23">
        <f t="shared" si="40"/>
        <v>1</v>
      </c>
      <c r="AH37" s="23">
        <f t="shared" si="40"/>
        <v>1</v>
      </c>
      <c r="AI37" s="23" t="str">
        <f t="shared" si="40"/>
        <v/>
      </c>
      <c r="AJ37" s="23" t="str">
        <f t="shared" si="40"/>
        <v/>
      </c>
      <c r="AK37" s="23" t="str">
        <f t="shared" si="40"/>
        <v/>
      </c>
      <c r="AL37" s="23" t="str">
        <f t="shared" si="40"/>
        <v/>
      </c>
      <c r="AM37" s="23" t="str">
        <f t="shared" si="40"/>
        <v/>
      </c>
      <c r="AN37" s="23" t="str">
        <f t="shared" si="40"/>
        <v/>
      </c>
      <c r="AO37" s="23" t="str">
        <f t="shared" si="40"/>
        <v/>
      </c>
      <c r="AP37" s="23" t="str">
        <f t="shared" ref="AP37:AY39" si="41">IF(AND(AP$4&gt;=$I37,AP$4&lt;=$J37),1,"")</f>
        <v/>
      </c>
      <c r="AQ37" s="23" t="str">
        <f t="shared" si="41"/>
        <v/>
      </c>
      <c r="AR37" s="23" t="str">
        <f t="shared" si="41"/>
        <v/>
      </c>
      <c r="AS37" s="23" t="str">
        <f t="shared" si="41"/>
        <v/>
      </c>
      <c r="AT37" s="23" t="str">
        <f t="shared" si="41"/>
        <v/>
      </c>
      <c r="AU37" s="23" t="str">
        <f t="shared" si="41"/>
        <v/>
      </c>
      <c r="AV37" s="23" t="str">
        <f t="shared" si="41"/>
        <v/>
      </c>
      <c r="AW37" s="23" t="str">
        <f t="shared" si="41"/>
        <v/>
      </c>
      <c r="AX37" s="23" t="str">
        <f t="shared" si="41"/>
        <v/>
      </c>
      <c r="AY37" s="23" t="str">
        <f t="shared" si="41"/>
        <v/>
      </c>
      <c r="AZ37" s="23" t="str">
        <f t="shared" ref="AZ37:BI39" si="42">IF(AND(AZ$4&gt;=$I37,AZ$4&lt;=$J37),1,"")</f>
        <v/>
      </c>
      <c r="BA37" s="23" t="str">
        <f t="shared" si="42"/>
        <v/>
      </c>
      <c r="BB37" s="23" t="str">
        <f t="shared" si="42"/>
        <v/>
      </c>
      <c r="BC37" s="23" t="str">
        <f t="shared" si="42"/>
        <v/>
      </c>
      <c r="BD37" s="23" t="str">
        <f t="shared" si="42"/>
        <v/>
      </c>
      <c r="BE37" s="23" t="str">
        <f t="shared" si="42"/>
        <v/>
      </c>
      <c r="BF37" s="23" t="str">
        <f t="shared" si="42"/>
        <v/>
      </c>
      <c r="BG37" s="23" t="str">
        <f t="shared" si="42"/>
        <v/>
      </c>
      <c r="BH37" s="23" t="str">
        <f t="shared" si="42"/>
        <v/>
      </c>
      <c r="BI37" s="23" t="str">
        <f t="shared" si="42"/>
        <v/>
      </c>
      <c r="BJ37" s="23" t="str">
        <f t="shared" ref="BJ37:BT39" si="43">IF(AND(BJ$4&gt;=$I37,BJ$4&lt;=$J37),1,"")</f>
        <v/>
      </c>
      <c r="BK37" s="23" t="str">
        <f t="shared" si="43"/>
        <v/>
      </c>
      <c r="BL37" s="23" t="str">
        <f t="shared" si="43"/>
        <v/>
      </c>
      <c r="BM37" s="23" t="str">
        <f t="shared" si="43"/>
        <v/>
      </c>
      <c r="BN37" s="23" t="str">
        <f t="shared" si="43"/>
        <v/>
      </c>
      <c r="BO37" s="23" t="str">
        <f t="shared" si="43"/>
        <v/>
      </c>
      <c r="BP37" s="23" t="str">
        <f t="shared" si="43"/>
        <v/>
      </c>
      <c r="BQ37" s="23" t="str">
        <f t="shared" si="43"/>
        <v/>
      </c>
      <c r="BR37" s="23" t="str">
        <f t="shared" si="43"/>
        <v/>
      </c>
      <c r="BS37" s="23" t="str">
        <f t="shared" si="43"/>
        <v/>
      </c>
      <c r="BT37" s="23" t="str">
        <f t="shared" si="43"/>
        <v/>
      </c>
      <c r="BU37" s="24" t="str">
        <f>IF(IF(G37+H37-1&lt;=29,MAX(ROUND((G37+H37-1)*(29+SlipWeeks)/29,0),$I37),G37+H37-1+SlipWeeks)&gt;61,"▶ clipped","")</f>
        <v/>
      </c>
      <c r="BV37" s="29" t="s">
        <v>1033</v>
      </c>
    </row>
    <row r="38" spans="1:74" ht="51" hidden="1" outlineLevel="1" x14ac:dyDescent="0.2">
      <c r="A38" s="6" t="s">
        <v>1034</v>
      </c>
      <c r="B38" s="25" t="s">
        <v>1035</v>
      </c>
      <c r="C38" s="6" t="s">
        <v>56</v>
      </c>
      <c r="D38" s="24" t="s">
        <v>951</v>
      </c>
      <c r="F38" s="6"/>
      <c r="G38" s="22">
        <v>22</v>
      </c>
      <c r="H38" s="22">
        <v>1</v>
      </c>
      <c r="I38" s="22">
        <f>MEDIAN($I$37,$J$37,$I$37+ROUND((G38-$G$37)/$H$37*($J$37-$I$37+1),0))</f>
        <v>22</v>
      </c>
      <c r="J38" s="22">
        <f>MEDIAN(I38,$J$37,$I$37+ROUND((G38+H38-$G$37)/$H$37*($J$37-$I$37+1),0)-1)</f>
        <v>22</v>
      </c>
      <c r="L38" s="23" t="str">
        <f t="shared" si="38"/>
        <v/>
      </c>
      <c r="M38" s="23" t="str">
        <f t="shared" si="38"/>
        <v/>
      </c>
      <c r="N38" s="23" t="str">
        <f t="shared" si="38"/>
        <v/>
      </c>
      <c r="O38" s="23" t="str">
        <f t="shared" si="38"/>
        <v/>
      </c>
      <c r="P38" s="23" t="str">
        <f t="shared" si="38"/>
        <v/>
      </c>
      <c r="Q38" s="23" t="str">
        <f t="shared" si="38"/>
        <v/>
      </c>
      <c r="R38" s="23" t="str">
        <f t="shared" si="38"/>
        <v/>
      </c>
      <c r="S38" s="23" t="str">
        <f t="shared" si="38"/>
        <v/>
      </c>
      <c r="T38" s="23" t="str">
        <f t="shared" si="38"/>
        <v/>
      </c>
      <c r="U38" s="23" t="str">
        <f t="shared" si="38"/>
        <v/>
      </c>
      <c r="V38" s="23" t="str">
        <f t="shared" si="39"/>
        <v/>
      </c>
      <c r="W38" s="23" t="str">
        <f t="shared" si="39"/>
        <v/>
      </c>
      <c r="X38" s="23" t="str">
        <f t="shared" si="39"/>
        <v/>
      </c>
      <c r="Y38" s="23" t="str">
        <f t="shared" si="39"/>
        <v/>
      </c>
      <c r="Z38" s="23" t="str">
        <f t="shared" si="39"/>
        <v/>
      </c>
      <c r="AA38" s="23" t="str">
        <f t="shared" si="39"/>
        <v/>
      </c>
      <c r="AB38" s="23" t="str">
        <f t="shared" si="39"/>
        <v/>
      </c>
      <c r="AC38" s="23" t="str">
        <f t="shared" si="39"/>
        <v/>
      </c>
      <c r="AD38" s="23" t="str">
        <f t="shared" si="39"/>
        <v/>
      </c>
      <c r="AE38" s="23" t="str">
        <f t="shared" si="39"/>
        <v/>
      </c>
      <c r="AF38" s="23" t="str">
        <f t="shared" si="40"/>
        <v/>
      </c>
      <c r="AG38" s="23">
        <f t="shared" si="40"/>
        <v>1</v>
      </c>
      <c r="AH38" s="23" t="str">
        <f t="shared" si="40"/>
        <v/>
      </c>
      <c r="AI38" s="23" t="str">
        <f t="shared" si="40"/>
        <v/>
      </c>
      <c r="AJ38" s="23" t="str">
        <f t="shared" si="40"/>
        <v/>
      </c>
      <c r="AK38" s="23" t="str">
        <f t="shared" si="40"/>
        <v/>
      </c>
      <c r="AL38" s="23" t="str">
        <f t="shared" si="40"/>
        <v/>
      </c>
      <c r="AM38" s="23" t="str">
        <f t="shared" si="40"/>
        <v/>
      </c>
      <c r="AN38" s="23" t="str">
        <f t="shared" si="40"/>
        <v/>
      </c>
      <c r="AO38" s="23" t="str">
        <f t="shared" si="40"/>
        <v/>
      </c>
      <c r="AP38" s="23" t="str">
        <f t="shared" si="41"/>
        <v/>
      </c>
      <c r="AQ38" s="23" t="str">
        <f t="shared" si="41"/>
        <v/>
      </c>
      <c r="AR38" s="23" t="str">
        <f t="shared" si="41"/>
        <v/>
      </c>
      <c r="AS38" s="23" t="str">
        <f t="shared" si="41"/>
        <v/>
      </c>
      <c r="AT38" s="23" t="str">
        <f t="shared" si="41"/>
        <v/>
      </c>
      <c r="AU38" s="23" t="str">
        <f t="shared" si="41"/>
        <v/>
      </c>
      <c r="AV38" s="23" t="str">
        <f t="shared" si="41"/>
        <v/>
      </c>
      <c r="AW38" s="23" t="str">
        <f t="shared" si="41"/>
        <v/>
      </c>
      <c r="AX38" s="23" t="str">
        <f t="shared" si="41"/>
        <v/>
      </c>
      <c r="AY38" s="23" t="str">
        <f t="shared" si="41"/>
        <v/>
      </c>
      <c r="AZ38" s="23" t="str">
        <f t="shared" si="42"/>
        <v/>
      </c>
      <c r="BA38" s="23" t="str">
        <f t="shared" si="42"/>
        <v/>
      </c>
      <c r="BB38" s="23" t="str">
        <f t="shared" si="42"/>
        <v/>
      </c>
      <c r="BC38" s="23" t="str">
        <f t="shared" si="42"/>
        <v/>
      </c>
      <c r="BD38" s="23" t="str">
        <f t="shared" si="42"/>
        <v/>
      </c>
      <c r="BE38" s="23" t="str">
        <f t="shared" si="42"/>
        <v/>
      </c>
      <c r="BF38" s="23" t="str">
        <f t="shared" si="42"/>
        <v/>
      </c>
      <c r="BG38" s="23" t="str">
        <f t="shared" si="42"/>
        <v/>
      </c>
      <c r="BH38" s="23" t="str">
        <f t="shared" si="42"/>
        <v/>
      </c>
      <c r="BI38" s="23" t="str">
        <f t="shared" si="42"/>
        <v/>
      </c>
      <c r="BJ38" s="23" t="str">
        <f t="shared" si="43"/>
        <v/>
      </c>
      <c r="BK38" s="23" t="str">
        <f t="shared" si="43"/>
        <v/>
      </c>
      <c r="BL38" s="23" t="str">
        <f t="shared" si="43"/>
        <v/>
      </c>
      <c r="BM38" s="23" t="str">
        <f t="shared" si="43"/>
        <v/>
      </c>
      <c r="BN38" s="23" t="str">
        <f t="shared" si="43"/>
        <v/>
      </c>
      <c r="BO38" s="23" t="str">
        <f t="shared" si="43"/>
        <v/>
      </c>
      <c r="BP38" s="23" t="str">
        <f t="shared" si="43"/>
        <v/>
      </c>
      <c r="BQ38" s="23" t="str">
        <f t="shared" si="43"/>
        <v/>
      </c>
      <c r="BR38" s="23" t="str">
        <f t="shared" si="43"/>
        <v/>
      </c>
      <c r="BS38" s="23" t="str">
        <f t="shared" si="43"/>
        <v/>
      </c>
      <c r="BT38" s="23" t="str">
        <f t="shared" si="43"/>
        <v/>
      </c>
      <c r="BV38" s="29" t="s">
        <v>1036</v>
      </c>
    </row>
    <row r="39" spans="1:74" ht="51" hidden="1" outlineLevel="1" x14ac:dyDescent="0.2">
      <c r="A39" s="6" t="s">
        <v>1037</v>
      </c>
      <c r="B39" s="25" t="s">
        <v>1038</v>
      </c>
      <c r="C39" s="6" t="s">
        <v>56</v>
      </c>
      <c r="D39" s="24" t="s">
        <v>951</v>
      </c>
      <c r="F39" s="6" t="s">
        <v>1034</v>
      </c>
      <c r="G39" s="22">
        <v>23</v>
      </c>
      <c r="H39" s="22">
        <v>1</v>
      </c>
      <c r="I39" s="22">
        <f>MEDIAN($I$37,$J$37,$I$37+ROUND((G39-$G$37)/$H$37*($J$37-$I$37+1),0))</f>
        <v>23</v>
      </c>
      <c r="J39" s="22">
        <f>MEDIAN(I39,$J$37,$I$37+ROUND((G39+H39-$G$37)/$H$37*($J$37-$I$37+1),0)-1)</f>
        <v>23</v>
      </c>
      <c r="L39" s="23" t="str">
        <f t="shared" si="38"/>
        <v/>
      </c>
      <c r="M39" s="23" t="str">
        <f t="shared" si="38"/>
        <v/>
      </c>
      <c r="N39" s="23" t="str">
        <f t="shared" si="38"/>
        <v/>
      </c>
      <c r="O39" s="23" t="str">
        <f t="shared" si="38"/>
        <v/>
      </c>
      <c r="P39" s="23" t="str">
        <f t="shared" si="38"/>
        <v/>
      </c>
      <c r="Q39" s="23" t="str">
        <f t="shared" si="38"/>
        <v/>
      </c>
      <c r="R39" s="23" t="str">
        <f t="shared" si="38"/>
        <v/>
      </c>
      <c r="S39" s="23" t="str">
        <f t="shared" si="38"/>
        <v/>
      </c>
      <c r="T39" s="23" t="str">
        <f t="shared" si="38"/>
        <v/>
      </c>
      <c r="U39" s="23" t="str">
        <f t="shared" si="38"/>
        <v/>
      </c>
      <c r="V39" s="23" t="str">
        <f t="shared" si="39"/>
        <v/>
      </c>
      <c r="W39" s="23" t="str">
        <f t="shared" si="39"/>
        <v/>
      </c>
      <c r="X39" s="23" t="str">
        <f t="shared" si="39"/>
        <v/>
      </c>
      <c r="Y39" s="23" t="str">
        <f t="shared" si="39"/>
        <v/>
      </c>
      <c r="Z39" s="23" t="str">
        <f t="shared" si="39"/>
        <v/>
      </c>
      <c r="AA39" s="23" t="str">
        <f t="shared" si="39"/>
        <v/>
      </c>
      <c r="AB39" s="23" t="str">
        <f t="shared" si="39"/>
        <v/>
      </c>
      <c r="AC39" s="23" t="str">
        <f t="shared" si="39"/>
        <v/>
      </c>
      <c r="AD39" s="23" t="str">
        <f t="shared" si="39"/>
        <v/>
      </c>
      <c r="AE39" s="23" t="str">
        <f t="shared" si="39"/>
        <v/>
      </c>
      <c r="AF39" s="23" t="str">
        <f t="shared" si="40"/>
        <v/>
      </c>
      <c r="AG39" s="23" t="str">
        <f t="shared" si="40"/>
        <v/>
      </c>
      <c r="AH39" s="23">
        <f t="shared" si="40"/>
        <v>1</v>
      </c>
      <c r="AI39" s="23" t="str">
        <f t="shared" si="40"/>
        <v/>
      </c>
      <c r="AJ39" s="23" t="str">
        <f t="shared" si="40"/>
        <v/>
      </c>
      <c r="AK39" s="23" t="str">
        <f t="shared" si="40"/>
        <v/>
      </c>
      <c r="AL39" s="23" t="str">
        <f t="shared" si="40"/>
        <v/>
      </c>
      <c r="AM39" s="23" t="str">
        <f t="shared" si="40"/>
        <v/>
      </c>
      <c r="AN39" s="23" t="str">
        <f t="shared" si="40"/>
        <v/>
      </c>
      <c r="AO39" s="23" t="str">
        <f t="shared" si="40"/>
        <v/>
      </c>
      <c r="AP39" s="23" t="str">
        <f t="shared" si="41"/>
        <v/>
      </c>
      <c r="AQ39" s="23" t="str">
        <f t="shared" si="41"/>
        <v/>
      </c>
      <c r="AR39" s="23" t="str">
        <f t="shared" si="41"/>
        <v/>
      </c>
      <c r="AS39" s="23" t="str">
        <f t="shared" si="41"/>
        <v/>
      </c>
      <c r="AT39" s="23" t="str">
        <f t="shared" si="41"/>
        <v/>
      </c>
      <c r="AU39" s="23" t="str">
        <f t="shared" si="41"/>
        <v/>
      </c>
      <c r="AV39" s="23" t="str">
        <f t="shared" si="41"/>
        <v/>
      </c>
      <c r="AW39" s="23" t="str">
        <f t="shared" si="41"/>
        <v/>
      </c>
      <c r="AX39" s="23" t="str">
        <f t="shared" si="41"/>
        <v/>
      </c>
      <c r="AY39" s="23" t="str">
        <f t="shared" si="41"/>
        <v/>
      </c>
      <c r="AZ39" s="23" t="str">
        <f t="shared" si="42"/>
        <v/>
      </c>
      <c r="BA39" s="23" t="str">
        <f t="shared" si="42"/>
        <v/>
      </c>
      <c r="BB39" s="23" t="str">
        <f t="shared" si="42"/>
        <v/>
      </c>
      <c r="BC39" s="23" t="str">
        <f t="shared" si="42"/>
        <v/>
      </c>
      <c r="BD39" s="23" t="str">
        <f t="shared" si="42"/>
        <v/>
      </c>
      <c r="BE39" s="23" t="str">
        <f t="shared" si="42"/>
        <v/>
      </c>
      <c r="BF39" s="23" t="str">
        <f t="shared" si="42"/>
        <v/>
      </c>
      <c r="BG39" s="23" t="str">
        <f t="shared" si="42"/>
        <v/>
      </c>
      <c r="BH39" s="23" t="str">
        <f t="shared" si="42"/>
        <v/>
      </c>
      <c r="BI39" s="23" t="str">
        <f t="shared" si="42"/>
        <v/>
      </c>
      <c r="BJ39" s="23" t="str">
        <f t="shared" si="43"/>
        <v/>
      </c>
      <c r="BK39" s="23" t="str">
        <f t="shared" si="43"/>
        <v/>
      </c>
      <c r="BL39" s="23" t="str">
        <f t="shared" si="43"/>
        <v/>
      </c>
      <c r="BM39" s="23" t="str">
        <f t="shared" si="43"/>
        <v/>
      </c>
      <c r="BN39" s="23" t="str">
        <f t="shared" si="43"/>
        <v/>
      </c>
      <c r="BO39" s="23" t="str">
        <f t="shared" si="43"/>
        <v/>
      </c>
      <c r="BP39" s="23" t="str">
        <f t="shared" si="43"/>
        <v/>
      </c>
      <c r="BQ39" s="23" t="str">
        <f t="shared" si="43"/>
        <v/>
      </c>
      <c r="BR39" s="23" t="str">
        <f t="shared" si="43"/>
        <v/>
      </c>
      <c r="BS39" s="23" t="str">
        <f t="shared" si="43"/>
        <v/>
      </c>
      <c r="BT39" s="23" t="str">
        <f t="shared" si="43"/>
        <v/>
      </c>
      <c r="BV39" s="29" t="s">
        <v>1039</v>
      </c>
    </row>
    <row r="41" spans="1:74" ht="17" collapsed="1" x14ac:dyDescent="0.2">
      <c r="A41" s="19" t="s">
        <v>1040</v>
      </c>
      <c r="B41" s="20" t="s">
        <v>595</v>
      </c>
      <c r="C41" s="19" t="s">
        <v>58</v>
      </c>
      <c r="D41" s="21" t="s">
        <v>951</v>
      </c>
      <c r="E41" s="19" t="s">
        <v>84</v>
      </c>
      <c r="F41" s="19"/>
      <c r="G41" s="22">
        <v>26</v>
      </c>
      <c r="H41" s="22">
        <v>3</v>
      </c>
      <c r="I41" s="22">
        <f>MIN(61,IF(G41&lt;=29,ROUND((G41-1)*(29+SlipWeeks)/29,0)+1,G41+SlipWeeks))</f>
        <v>26</v>
      </c>
      <c r="J41" s="22">
        <f>MIN(61,I41+H41-1)</f>
        <v>28</v>
      </c>
      <c r="K41" s="29" t="s">
        <v>1041</v>
      </c>
      <c r="L41" s="23" t="str">
        <f t="shared" ref="L41:U44" si="44">IF(AND(L$4&gt;=$I41,L$4&lt;=$J41),1,"")</f>
        <v/>
      </c>
      <c r="M41" s="23" t="str">
        <f t="shared" si="44"/>
        <v/>
      </c>
      <c r="N41" s="23" t="str">
        <f t="shared" si="44"/>
        <v/>
      </c>
      <c r="O41" s="23" t="str">
        <f t="shared" si="44"/>
        <v/>
      </c>
      <c r="P41" s="23" t="str">
        <f t="shared" si="44"/>
        <v/>
      </c>
      <c r="Q41" s="23" t="str">
        <f t="shared" si="44"/>
        <v/>
      </c>
      <c r="R41" s="23" t="str">
        <f t="shared" si="44"/>
        <v/>
      </c>
      <c r="S41" s="23" t="str">
        <f t="shared" si="44"/>
        <v/>
      </c>
      <c r="T41" s="23" t="str">
        <f t="shared" si="44"/>
        <v/>
      </c>
      <c r="U41" s="23" t="str">
        <f t="shared" si="44"/>
        <v/>
      </c>
      <c r="V41" s="23" t="str">
        <f t="shared" ref="V41:AE44" si="45">IF(AND(V$4&gt;=$I41,V$4&lt;=$J41),1,"")</f>
        <v/>
      </c>
      <c r="W41" s="23" t="str">
        <f t="shared" si="45"/>
        <v/>
      </c>
      <c r="X41" s="23" t="str">
        <f t="shared" si="45"/>
        <v/>
      </c>
      <c r="Y41" s="23" t="str">
        <f t="shared" si="45"/>
        <v/>
      </c>
      <c r="Z41" s="23" t="str">
        <f t="shared" si="45"/>
        <v/>
      </c>
      <c r="AA41" s="23" t="str">
        <f t="shared" si="45"/>
        <v/>
      </c>
      <c r="AB41" s="23" t="str">
        <f t="shared" si="45"/>
        <v/>
      </c>
      <c r="AC41" s="23" t="str">
        <f t="shared" si="45"/>
        <v/>
      </c>
      <c r="AD41" s="23" t="str">
        <f t="shared" si="45"/>
        <v/>
      </c>
      <c r="AE41" s="23" t="str">
        <f t="shared" si="45"/>
        <v/>
      </c>
      <c r="AF41" s="23" t="str">
        <f t="shared" ref="AF41:AO44" si="46">IF(AND(AF$4&gt;=$I41,AF$4&lt;=$J41),1,"")</f>
        <v/>
      </c>
      <c r="AG41" s="23" t="str">
        <f t="shared" si="46"/>
        <v/>
      </c>
      <c r="AH41" s="23" t="str">
        <f t="shared" si="46"/>
        <v/>
      </c>
      <c r="AI41" s="23" t="str">
        <f t="shared" si="46"/>
        <v/>
      </c>
      <c r="AJ41" s="23" t="str">
        <f t="shared" si="46"/>
        <v/>
      </c>
      <c r="AK41" s="23">
        <f t="shared" si="46"/>
        <v>1</v>
      </c>
      <c r="AL41" s="23">
        <f t="shared" si="46"/>
        <v>1</v>
      </c>
      <c r="AM41" s="23">
        <f t="shared" si="46"/>
        <v>1</v>
      </c>
      <c r="AN41" s="23" t="str">
        <f t="shared" si="46"/>
        <v/>
      </c>
      <c r="AO41" s="23" t="str">
        <f t="shared" si="46"/>
        <v/>
      </c>
      <c r="AP41" s="23" t="str">
        <f t="shared" ref="AP41:AY44" si="47">IF(AND(AP$4&gt;=$I41,AP$4&lt;=$J41),1,"")</f>
        <v/>
      </c>
      <c r="AQ41" s="23" t="str">
        <f t="shared" si="47"/>
        <v/>
      </c>
      <c r="AR41" s="23" t="str">
        <f t="shared" si="47"/>
        <v/>
      </c>
      <c r="AS41" s="23" t="str">
        <f t="shared" si="47"/>
        <v/>
      </c>
      <c r="AT41" s="23" t="str">
        <f t="shared" si="47"/>
        <v/>
      </c>
      <c r="AU41" s="23" t="str">
        <f t="shared" si="47"/>
        <v/>
      </c>
      <c r="AV41" s="23" t="str">
        <f t="shared" si="47"/>
        <v/>
      </c>
      <c r="AW41" s="23" t="str">
        <f t="shared" si="47"/>
        <v/>
      </c>
      <c r="AX41" s="23" t="str">
        <f t="shared" si="47"/>
        <v/>
      </c>
      <c r="AY41" s="23" t="str">
        <f t="shared" si="47"/>
        <v/>
      </c>
      <c r="AZ41" s="23" t="str">
        <f t="shared" ref="AZ41:BI44" si="48">IF(AND(AZ$4&gt;=$I41,AZ$4&lt;=$J41),1,"")</f>
        <v/>
      </c>
      <c r="BA41" s="23" t="str">
        <f t="shared" si="48"/>
        <v/>
      </c>
      <c r="BB41" s="23" t="str">
        <f t="shared" si="48"/>
        <v/>
      </c>
      <c r="BC41" s="23" t="str">
        <f t="shared" si="48"/>
        <v/>
      </c>
      <c r="BD41" s="23" t="str">
        <f t="shared" si="48"/>
        <v/>
      </c>
      <c r="BE41" s="23" t="str">
        <f t="shared" si="48"/>
        <v/>
      </c>
      <c r="BF41" s="23" t="str">
        <f t="shared" si="48"/>
        <v/>
      </c>
      <c r="BG41" s="23" t="str">
        <f t="shared" si="48"/>
        <v/>
      </c>
      <c r="BH41" s="23" t="str">
        <f t="shared" si="48"/>
        <v/>
      </c>
      <c r="BI41" s="23" t="str">
        <f t="shared" si="48"/>
        <v/>
      </c>
      <c r="BJ41" s="23" t="str">
        <f t="shared" ref="BJ41:BT44" si="49">IF(AND(BJ$4&gt;=$I41,BJ$4&lt;=$J41),1,"")</f>
        <v/>
      </c>
      <c r="BK41" s="23" t="str">
        <f t="shared" si="49"/>
        <v/>
      </c>
      <c r="BL41" s="23" t="str">
        <f t="shared" si="49"/>
        <v/>
      </c>
      <c r="BM41" s="23" t="str">
        <f t="shared" si="49"/>
        <v/>
      </c>
      <c r="BN41" s="23" t="str">
        <f t="shared" si="49"/>
        <v/>
      </c>
      <c r="BO41" s="23" t="str">
        <f t="shared" si="49"/>
        <v/>
      </c>
      <c r="BP41" s="23" t="str">
        <f t="shared" si="49"/>
        <v/>
      </c>
      <c r="BQ41" s="23" t="str">
        <f t="shared" si="49"/>
        <v/>
      </c>
      <c r="BR41" s="23" t="str">
        <f t="shared" si="49"/>
        <v/>
      </c>
      <c r="BS41" s="23" t="str">
        <f t="shared" si="49"/>
        <v/>
      </c>
      <c r="BT41" s="23" t="str">
        <f t="shared" si="49"/>
        <v/>
      </c>
      <c r="BU41" s="24" t="str">
        <f>IF($I41+H41-1&gt;61,"▶ clipped","")</f>
        <v/>
      </c>
      <c r="BV41" s="29" t="s">
        <v>1042</v>
      </c>
    </row>
    <row r="42" spans="1:74" ht="34" hidden="1" outlineLevel="1" x14ac:dyDescent="0.2">
      <c r="A42" s="6" t="s">
        <v>1043</v>
      </c>
      <c r="B42" s="25" t="s">
        <v>1044</v>
      </c>
      <c r="C42" s="6" t="s">
        <v>58</v>
      </c>
      <c r="D42" s="24" t="s">
        <v>951</v>
      </c>
      <c r="F42" s="6"/>
      <c r="G42" s="22">
        <v>26</v>
      </c>
      <c r="H42" s="22">
        <v>1</v>
      </c>
      <c r="I42" s="22">
        <f>MEDIAN($I$41,$J$41,$I$41+ROUND((G42-$G$41)/$H$41*($J$41-$I$41+1),0))</f>
        <v>26</v>
      </c>
      <c r="J42" s="22">
        <f>MEDIAN(I42,$J$41,$I$41+ROUND((G42+H42-$G$41)/$H$41*($J$41-$I$41+1),0)-1)</f>
        <v>26</v>
      </c>
      <c r="L42" s="23" t="str">
        <f t="shared" si="44"/>
        <v/>
      </c>
      <c r="M42" s="23" t="str">
        <f t="shared" si="44"/>
        <v/>
      </c>
      <c r="N42" s="23" t="str">
        <f t="shared" si="44"/>
        <v/>
      </c>
      <c r="O42" s="23" t="str">
        <f t="shared" si="44"/>
        <v/>
      </c>
      <c r="P42" s="23" t="str">
        <f t="shared" si="44"/>
        <v/>
      </c>
      <c r="Q42" s="23" t="str">
        <f t="shared" si="44"/>
        <v/>
      </c>
      <c r="R42" s="23" t="str">
        <f t="shared" si="44"/>
        <v/>
      </c>
      <c r="S42" s="23" t="str">
        <f t="shared" si="44"/>
        <v/>
      </c>
      <c r="T42" s="23" t="str">
        <f t="shared" si="44"/>
        <v/>
      </c>
      <c r="U42" s="23" t="str">
        <f t="shared" si="44"/>
        <v/>
      </c>
      <c r="V42" s="23" t="str">
        <f t="shared" si="45"/>
        <v/>
      </c>
      <c r="W42" s="23" t="str">
        <f t="shared" si="45"/>
        <v/>
      </c>
      <c r="X42" s="23" t="str">
        <f t="shared" si="45"/>
        <v/>
      </c>
      <c r="Y42" s="23" t="str">
        <f t="shared" si="45"/>
        <v/>
      </c>
      <c r="Z42" s="23" t="str">
        <f t="shared" si="45"/>
        <v/>
      </c>
      <c r="AA42" s="23" t="str">
        <f t="shared" si="45"/>
        <v/>
      </c>
      <c r="AB42" s="23" t="str">
        <f t="shared" si="45"/>
        <v/>
      </c>
      <c r="AC42" s="23" t="str">
        <f t="shared" si="45"/>
        <v/>
      </c>
      <c r="AD42" s="23" t="str">
        <f t="shared" si="45"/>
        <v/>
      </c>
      <c r="AE42" s="23" t="str">
        <f t="shared" si="45"/>
        <v/>
      </c>
      <c r="AF42" s="23" t="str">
        <f t="shared" si="46"/>
        <v/>
      </c>
      <c r="AG42" s="23" t="str">
        <f t="shared" si="46"/>
        <v/>
      </c>
      <c r="AH42" s="23" t="str">
        <f t="shared" si="46"/>
        <v/>
      </c>
      <c r="AI42" s="23" t="str">
        <f t="shared" si="46"/>
        <v/>
      </c>
      <c r="AJ42" s="23" t="str">
        <f t="shared" si="46"/>
        <v/>
      </c>
      <c r="AK42" s="23">
        <f t="shared" si="46"/>
        <v>1</v>
      </c>
      <c r="AL42" s="23" t="str">
        <f t="shared" si="46"/>
        <v/>
      </c>
      <c r="AM42" s="23" t="str">
        <f t="shared" si="46"/>
        <v/>
      </c>
      <c r="AN42" s="23" t="str">
        <f t="shared" si="46"/>
        <v/>
      </c>
      <c r="AO42" s="23" t="str">
        <f t="shared" si="46"/>
        <v/>
      </c>
      <c r="AP42" s="23" t="str">
        <f t="shared" si="47"/>
        <v/>
      </c>
      <c r="AQ42" s="23" t="str">
        <f t="shared" si="47"/>
        <v/>
      </c>
      <c r="AR42" s="23" t="str">
        <f t="shared" si="47"/>
        <v/>
      </c>
      <c r="AS42" s="23" t="str">
        <f t="shared" si="47"/>
        <v/>
      </c>
      <c r="AT42" s="23" t="str">
        <f t="shared" si="47"/>
        <v/>
      </c>
      <c r="AU42" s="23" t="str">
        <f t="shared" si="47"/>
        <v/>
      </c>
      <c r="AV42" s="23" t="str">
        <f t="shared" si="47"/>
        <v/>
      </c>
      <c r="AW42" s="23" t="str">
        <f t="shared" si="47"/>
        <v/>
      </c>
      <c r="AX42" s="23" t="str">
        <f t="shared" si="47"/>
        <v/>
      </c>
      <c r="AY42" s="23" t="str">
        <f t="shared" si="47"/>
        <v/>
      </c>
      <c r="AZ42" s="23" t="str">
        <f t="shared" si="48"/>
        <v/>
      </c>
      <c r="BA42" s="23" t="str">
        <f t="shared" si="48"/>
        <v/>
      </c>
      <c r="BB42" s="23" t="str">
        <f t="shared" si="48"/>
        <v/>
      </c>
      <c r="BC42" s="23" t="str">
        <f t="shared" si="48"/>
        <v/>
      </c>
      <c r="BD42" s="23" t="str">
        <f t="shared" si="48"/>
        <v/>
      </c>
      <c r="BE42" s="23" t="str">
        <f t="shared" si="48"/>
        <v/>
      </c>
      <c r="BF42" s="23" t="str">
        <f t="shared" si="48"/>
        <v/>
      </c>
      <c r="BG42" s="23" t="str">
        <f t="shared" si="48"/>
        <v/>
      </c>
      <c r="BH42" s="23" t="str">
        <f t="shared" si="48"/>
        <v/>
      </c>
      <c r="BI42" s="23" t="str">
        <f t="shared" si="48"/>
        <v/>
      </c>
      <c r="BJ42" s="23" t="str">
        <f t="shared" si="49"/>
        <v/>
      </c>
      <c r="BK42" s="23" t="str">
        <f t="shared" si="49"/>
        <v/>
      </c>
      <c r="BL42" s="23" t="str">
        <f t="shared" si="49"/>
        <v/>
      </c>
      <c r="BM42" s="23" t="str">
        <f t="shared" si="49"/>
        <v/>
      </c>
      <c r="BN42" s="23" t="str">
        <f t="shared" si="49"/>
        <v/>
      </c>
      <c r="BO42" s="23" t="str">
        <f t="shared" si="49"/>
        <v/>
      </c>
      <c r="BP42" s="23" t="str">
        <f t="shared" si="49"/>
        <v/>
      </c>
      <c r="BQ42" s="23" t="str">
        <f t="shared" si="49"/>
        <v/>
      </c>
      <c r="BR42" s="23" t="str">
        <f t="shared" si="49"/>
        <v/>
      </c>
      <c r="BS42" s="23" t="str">
        <f t="shared" si="49"/>
        <v/>
      </c>
      <c r="BT42" s="23" t="str">
        <f t="shared" si="49"/>
        <v/>
      </c>
      <c r="BV42" s="29" t="s">
        <v>1045</v>
      </c>
    </row>
    <row r="43" spans="1:74" ht="34" hidden="1" outlineLevel="1" x14ac:dyDescent="0.2">
      <c r="A43" s="6" t="s">
        <v>1046</v>
      </c>
      <c r="B43" s="25" t="s">
        <v>1047</v>
      </c>
      <c r="C43" s="6" t="s">
        <v>58</v>
      </c>
      <c r="D43" s="24" t="s">
        <v>951</v>
      </c>
      <c r="F43" s="6" t="s">
        <v>1043</v>
      </c>
      <c r="G43" s="22">
        <v>27</v>
      </c>
      <c r="H43" s="22">
        <v>1</v>
      </c>
      <c r="I43" s="22">
        <f>MEDIAN($I$41,$J$41,$I$41+ROUND((G43-$G$41)/$H$41*($J$41-$I$41+1),0))</f>
        <v>27</v>
      </c>
      <c r="J43" s="22">
        <f>MEDIAN(I43,$J$41,$I$41+ROUND((G43+H43-$G$41)/$H$41*($J$41-$I$41+1),0)-1)</f>
        <v>27</v>
      </c>
      <c r="L43" s="23" t="str">
        <f t="shared" si="44"/>
        <v/>
      </c>
      <c r="M43" s="23" t="str">
        <f t="shared" si="44"/>
        <v/>
      </c>
      <c r="N43" s="23" t="str">
        <f t="shared" si="44"/>
        <v/>
      </c>
      <c r="O43" s="23" t="str">
        <f t="shared" si="44"/>
        <v/>
      </c>
      <c r="P43" s="23" t="str">
        <f t="shared" si="44"/>
        <v/>
      </c>
      <c r="Q43" s="23" t="str">
        <f t="shared" si="44"/>
        <v/>
      </c>
      <c r="R43" s="23" t="str">
        <f t="shared" si="44"/>
        <v/>
      </c>
      <c r="S43" s="23" t="str">
        <f t="shared" si="44"/>
        <v/>
      </c>
      <c r="T43" s="23" t="str">
        <f t="shared" si="44"/>
        <v/>
      </c>
      <c r="U43" s="23" t="str">
        <f t="shared" si="44"/>
        <v/>
      </c>
      <c r="V43" s="23" t="str">
        <f t="shared" si="45"/>
        <v/>
      </c>
      <c r="W43" s="23" t="str">
        <f t="shared" si="45"/>
        <v/>
      </c>
      <c r="X43" s="23" t="str">
        <f t="shared" si="45"/>
        <v/>
      </c>
      <c r="Y43" s="23" t="str">
        <f t="shared" si="45"/>
        <v/>
      </c>
      <c r="Z43" s="23" t="str">
        <f t="shared" si="45"/>
        <v/>
      </c>
      <c r="AA43" s="23" t="str">
        <f t="shared" si="45"/>
        <v/>
      </c>
      <c r="AB43" s="23" t="str">
        <f t="shared" si="45"/>
        <v/>
      </c>
      <c r="AC43" s="23" t="str">
        <f t="shared" si="45"/>
        <v/>
      </c>
      <c r="AD43" s="23" t="str">
        <f t="shared" si="45"/>
        <v/>
      </c>
      <c r="AE43" s="23" t="str">
        <f t="shared" si="45"/>
        <v/>
      </c>
      <c r="AF43" s="23" t="str">
        <f t="shared" si="46"/>
        <v/>
      </c>
      <c r="AG43" s="23" t="str">
        <f t="shared" si="46"/>
        <v/>
      </c>
      <c r="AH43" s="23" t="str">
        <f t="shared" si="46"/>
        <v/>
      </c>
      <c r="AI43" s="23" t="str">
        <f t="shared" si="46"/>
        <v/>
      </c>
      <c r="AJ43" s="23" t="str">
        <f t="shared" si="46"/>
        <v/>
      </c>
      <c r="AK43" s="23" t="str">
        <f t="shared" si="46"/>
        <v/>
      </c>
      <c r="AL43" s="23">
        <f t="shared" si="46"/>
        <v>1</v>
      </c>
      <c r="AM43" s="23" t="str">
        <f t="shared" si="46"/>
        <v/>
      </c>
      <c r="AN43" s="23" t="str">
        <f t="shared" si="46"/>
        <v/>
      </c>
      <c r="AO43" s="23" t="str">
        <f t="shared" si="46"/>
        <v/>
      </c>
      <c r="AP43" s="23" t="str">
        <f t="shared" si="47"/>
        <v/>
      </c>
      <c r="AQ43" s="23" t="str">
        <f t="shared" si="47"/>
        <v/>
      </c>
      <c r="AR43" s="23" t="str">
        <f t="shared" si="47"/>
        <v/>
      </c>
      <c r="AS43" s="23" t="str">
        <f t="shared" si="47"/>
        <v/>
      </c>
      <c r="AT43" s="23" t="str">
        <f t="shared" si="47"/>
        <v/>
      </c>
      <c r="AU43" s="23" t="str">
        <f t="shared" si="47"/>
        <v/>
      </c>
      <c r="AV43" s="23" t="str">
        <f t="shared" si="47"/>
        <v/>
      </c>
      <c r="AW43" s="23" t="str">
        <f t="shared" si="47"/>
        <v/>
      </c>
      <c r="AX43" s="23" t="str">
        <f t="shared" si="47"/>
        <v/>
      </c>
      <c r="AY43" s="23" t="str">
        <f t="shared" si="47"/>
        <v/>
      </c>
      <c r="AZ43" s="23" t="str">
        <f t="shared" si="48"/>
        <v/>
      </c>
      <c r="BA43" s="23" t="str">
        <f t="shared" si="48"/>
        <v/>
      </c>
      <c r="BB43" s="23" t="str">
        <f t="shared" si="48"/>
        <v/>
      </c>
      <c r="BC43" s="23" t="str">
        <f t="shared" si="48"/>
        <v/>
      </c>
      <c r="BD43" s="23" t="str">
        <f t="shared" si="48"/>
        <v/>
      </c>
      <c r="BE43" s="23" t="str">
        <f t="shared" si="48"/>
        <v/>
      </c>
      <c r="BF43" s="23" t="str">
        <f t="shared" si="48"/>
        <v/>
      </c>
      <c r="BG43" s="23" t="str">
        <f t="shared" si="48"/>
        <v/>
      </c>
      <c r="BH43" s="23" t="str">
        <f t="shared" si="48"/>
        <v/>
      </c>
      <c r="BI43" s="23" t="str">
        <f t="shared" si="48"/>
        <v/>
      </c>
      <c r="BJ43" s="23" t="str">
        <f t="shared" si="49"/>
        <v/>
      </c>
      <c r="BK43" s="23" t="str">
        <f t="shared" si="49"/>
        <v/>
      </c>
      <c r="BL43" s="23" t="str">
        <f t="shared" si="49"/>
        <v/>
      </c>
      <c r="BM43" s="23" t="str">
        <f t="shared" si="49"/>
        <v/>
      </c>
      <c r="BN43" s="23" t="str">
        <f t="shared" si="49"/>
        <v/>
      </c>
      <c r="BO43" s="23" t="str">
        <f t="shared" si="49"/>
        <v/>
      </c>
      <c r="BP43" s="23" t="str">
        <f t="shared" si="49"/>
        <v/>
      </c>
      <c r="BQ43" s="23" t="str">
        <f t="shared" si="49"/>
        <v/>
      </c>
      <c r="BR43" s="23" t="str">
        <f t="shared" si="49"/>
        <v/>
      </c>
      <c r="BS43" s="23" t="str">
        <f t="shared" si="49"/>
        <v/>
      </c>
      <c r="BT43" s="23" t="str">
        <f t="shared" si="49"/>
        <v/>
      </c>
      <c r="BV43" s="29" t="s">
        <v>1048</v>
      </c>
    </row>
    <row r="44" spans="1:74" ht="34" hidden="1" outlineLevel="1" x14ac:dyDescent="0.2">
      <c r="A44" s="6" t="s">
        <v>1049</v>
      </c>
      <c r="B44" s="25" t="s">
        <v>1050</v>
      </c>
      <c r="C44" s="6" t="s">
        <v>58</v>
      </c>
      <c r="D44" s="24" t="s">
        <v>951</v>
      </c>
      <c r="F44" s="6" t="s">
        <v>1046</v>
      </c>
      <c r="G44" s="22">
        <v>28</v>
      </c>
      <c r="H44" s="22">
        <v>1</v>
      </c>
      <c r="I44" s="22">
        <f>MEDIAN($I$41,$J$41,$I$41+ROUND((G44-$G$41)/$H$41*($J$41-$I$41+1),0))</f>
        <v>28</v>
      </c>
      <c r="J44" s="22">
        <f>MEDIAN(I44,$J$41,$I$41+ROUND((G44+H44-$G$41)/$H$41*($J$41-$I$41+1),0)-1)</f>
        <v>28</v>
      </c>
      <c r="L44" s="23" t="str">
        <f t="shared" si="44"/>
        <v/>
      </c>
      <c r="M44" s="23" t="str">
        <f t="shared" si="44"/>
        <v/>
      </c>
      <c r="N44" s="23" t="str">
        <f t="shared" si="44"/>
        <v/>
      </c>
      <c r="O44" s="23" t="str">
        <f t="shared" si="44"/>
        <v/>
      </c>
      <c r="P44" s="23" t="str">
        <f t="shared" si="44"/>
        <v/>
      </c>
      <c r="Q44" s="23" t="str">
        <f t="shared" si="44"/>
        <v/>
      </c>
      <c r="R44" s="23" t="str">
        <f t="shared" si="44"/>
        <v/>
      </c>
      <c r="S44" s="23" t="str">
        <f t="shared" si="44"/>
        <v/>
      </c>
      <c r="T44" s="23" t="str">
        <f t="shared" si="44"/>
        <v/>
      </c>
      <c r="U44" s="23" t="str">
        <f t="shared" si="44"/>
        <v/>
      </c>
      <c r="V44" s="23" t="str">
        <f t="shared" si="45"/>
        <v/>
      </c>
      <c r="W44" s="23" t="str">
        <f t="shared" si="45"/>
        <v/>
      </c>
      <c r="X44" s="23" t="str">
        <f t="shared" si="45"/>
        <v/>
      </c>
      <c r="Y44" s="23" t="str">
        <f t="shared" si="45"/>
        <v/>
      </c>
      <c r="Z44" s="23" t="str">
        <f t="shared" si="45"/>
        <v/>
      </c>
      <c r="AA44" s="23" t="str">
        <f t="shared" si="45"/>
        <v/>
      </c>
      <c r="AB44" s="23" t="str">
        <f t="shared" si="45"/>
        <v/>
      </c>
      <c r="AC44" s="23" t="str">
        <f t="shared" si="45"/>
        <v/>
      </c>
      <c r="AD44" s="23" t="str">
        <f t="shared" si="45"/>
        <v/>
      </c>
      <c r="AE44" s="23" t="str">
        <f t="shared" si="45"/>
        <v/>
      </c>
      <c r="AF44" s="23" t="str">
        <f t="shared" si="46"/>
        <v/>
      </c>
      <c r="AG44" s="23" t="str">
        <f t="shared" si="46"/>
        <v/>
      </c>
      <c r="AH44" s="23" t="str">
        <f t="shared" si="46"/>
        <v/>
      </c>
      <c r="AI44" s="23" t="str">
        <f t="shared" si="46"/>
        <v/>
      </c>
      <c r="AJ44" s="23" t="str">
        <f t="shared" si="46"/>
        <v/>
      </c>
      <c r="AK44" s="23" t="str">
        <f t="shared" si="46"/>
        <v/>
      </c>
      <c r="AL44" s="23" t="str">
        <f t="shared" si="46"/>
        <v/>
      </c>
      <c r="AM44" s="23">
        <f t="shared" si="46"/>
        <v>1</v>
      </c>
      <c r="AN44" s="23" t="str">
        <f t="shared" si="46"/>
        <v/>
      </c>
      <c r="AO44" s="23" t="str">
        <f t="shared" si="46"/>
        <v/>
      </c>
      <c r="AP44" s="23" t="str">
        <f t="shared" si="47"/>
        <v/>
      </c>
      <c r="AQ44" s="23" t="str">
        <f t="shared" si="47"/>
        <v/>
      </c>
      <c r="AR44" s="23" t="str">
        <f t="shared" si="47"/>
        <v/>
      </c>
      <c r="AS44" s="23" t="str">
        <f t="shared" si="47"/>
        <v/>
      </c>
      <c r="AT44" s="23" t="str">
        <f t="shared" si="47"/>
        <v/>
      </c>
      <c r="AU44" s="23" t="str">
        <f t="shared" si="47"/>
        <v/>
      </c>
      <c r="AV44" s="23" t="str">
        <f t="shared" si="47"/>
        <v/>
      </c>
      <c r="AW44" s="23" t="str">
        <f t="shared" si="47"/>
        <v/>
      </c>
      <c r="AX44" s="23" t="str">
        <f t="shared" si="47"/>
        <v/>
      </c>
      <c r="AY44" s="23" t="str">
        <f t="shared" si="47"/>
        <v/>
      </c>
      <c r="AZ44" s="23" t="str">
        <f t="shared" si="48"/>
        <v/>
      </c>
      <c r="BA44" s="23" t="str">
        <f t="shared" si="48"/>
        <v/>
      </c>
      <c r="BB44" s="23" t="str">
        <f t="shared" si="48"/>
        <v/>
      </c>
      <c r="BC44" s="23" t="str">
        <f t="shared" si="48"/>
        <v/>
      </c>
      <c r="BD44" s="23" t="str">
        <f t="shared" si="48"/>
        <v/>
      </c>
      <c r="BE44" s="23" t="str">
        <f t="shared" si="48"/>
        <v/>
      </c>
      <c r="BF44" s="23" t="str">
        <f t="shared" si="48"/>
        <v/>
      </c>
      <c r="BG44" s="23" t="str">
        <f t="shared" si="48"/>
        <v/>
      </c>
      <c r="BH44" s="23" t="str">
        <f t="shared" si="48"/>
        <v/>
      </c>
      <c r="BI44" s="23" t="str">
        <f t="shared" si="48"/>
        <v/>
      </c>
      <c r="BJ44" s="23" t="str">
        <f t="shared" si="49"/>
        <v/>
      </c>
      <c r="BK44" s="23" t="str">
        <f t="shared" si="49"/>
        <v/>
      </c>
      <c r="BL44" s="23" t="str">
        <f t="shared" si="49"/>
        <v/>
      </c>
      <c r="BM44" s="23" t="str">
        <f t="shared" si="49"/>
        <v/>
      </c>
      <c r="BN44" s="23" t="str">
        <f t="shared" si="49"/>
        <v/>
      </c>
      <c r="BO44" s="23" t="str">
        <f t="shared" si="49"/>
        <v/>
      </c>
      <c r="BP44" s="23" t="str">
        <f t="shared" si="49"/>
        <v/>
      </c>
      <c r="BQ44" s="23" t="str">
        <f t="shared" si="49"/>
        <v/>
      </c>
      <c r="BR44" s="23" t="str">
        <f t="shared" si="49"/>
        <v/>
      </c>
      <c r="BS44" s="23" t="str">
        <f t="shared" si="49"/>
        <v/>
      </c>
      <c r="BT44" s="23" t="str">
        <f t="shared" si="49"/>
        <v/>
      </c>
      <c r="BV44" s="29" t="s">
        <v>1051</v>
      </c>
    </row>
  </sheetData>
  <mergeCells count="1">
    <mergeCell ref="A2:BV2"/>
  </mergeCells>
  <conditionalFormatting sqref="L6:BT6">
    <cfRule type="expression" dxfId="15" priority="1">
      <formula>AND(L$4&gt;=$I6,L$4&lt;=$J6)</formula>
    </cfRule>
  </conditionalFormatting>
  <conditionalFormatting sqref="L7:BT8">
    <cfRule type="expression" dxfId="14" priority="2">
      <formula>AND(L$4&gt;=$I7,L$4&lt;=$J7)</formula>
    </cfRule>
  </conditionalFormatting>
  <conditionalFormatting sqref="L10:BT10">
    <cfRule type="expression" dxfId="13" priority="4">
      <formula>AND(L$4&gt;=$I10,L$4&lt;=$J10)</formula>
    </cfRule>
  </conditionalFormatting>
  <conditionalFormatting sqref="L11:BT13">
    <cfRule type="expression" dxfId="12" priority="5">
      <formula>AND(L$4&gt;=$I11,L$4&lt;=$J11)</formula>
    </cfRule>
  </conditionalFormatting>
  <conditionalFormatting sqref="L15:BT15">
    <cfRule type="expression" dxfId="11" priority="8">
      <formula>AND(L$4&gt;=$I15,L$4&lt;=$J15)</formula>
    </cfRule>
  </conditionalFormatting>
  <conditionalFormatting sqref="L16:BT18">
    <cfRule type="expression" dxfId="10" priority="9">
      <formula>AND(L$4&gt;=$I16,L$4&lt;=$J16)</formula>
    </cfRule>
  </conditionalFormatting>
  <conditionalFormatting sqref="L20:BT20">
    <cfRule type="expression" dxfId="9" priority="12">
      <formula>AND(L$4&gt;=$I20,L$4&lt;=$J20)</formula>
    </cfRule>
  </conditionalFormatting>
  <conditionalFormatting sqref="L21:BT23">
    <cfRule type="expression" dxfId="8" priority="13">
      <formula>AND(L$4&gt;=$I21,L$4&lt;=$J21)</formula>
    </cfRule>
  </conditionalFormatting>
  <conditionalFormatting sqref="L25:BT25">
    <cfRule type="expression" dxfId="7" priority="16">
      <formula>AND(L$4&gt;=$I25,L$4&lt;=$J25)</formula>
    </cfRule>
  </conditionalFormatting>
  <conditionalFormatting sqref="L26:BT28">
    <cfRule type="expression" dxfId="6" priority="17">
      <formula>AND(L$4&gt;=$I26,L$4&lt;=$J26)</formula>
    </cfRule>
  </conditionalFormatting>
  <conditionalFormatting sqref="L30:BT30">
    <cfRule type="expression" dxfId="5" priority="20">
      <formula>AND(L$4&gt;=$I30,L$4&lt;=$J30)</formula>
    </cfRule>
  </conditionalFormatting>
  <conditionalFormatting sqref="L31:BT35">
    <cfRule type="expression" dxfId="4" priority="21">
      <formula>AND(L$4&gt;=$I31,L$4&lt;=$J31)</formula>
    </cfRule>
  </conditionalFormatting>
  <conditionalFormatting sqref="L37:BT37">
    <cfRule type="expression" dxfId="3" priority="26">
      <formula>AND(L$4&gt;=$I37,L$4&lt;=$J37)</formula>
    </cfRule>
  </conditionalFormatting>
  <conditionalFormatting sqref="L38:BT39">
    <cfRule type="expression" dxfId="2" priority="27">
      <formula>AND(L$4&gt;=$I38,L$4&lt;=$J38)</formula>
    </cfRule>
  </conditionalFormatting>
  <conditionalFormatting sqref="L41:BT41">
    <cfRule type="expression" dxfId="1" priority="29">
      <formula>AND(L$4&gt;=$I41,L$4&lt;=$J41)</formula>
    </cfRule>
  </conditionalFormatting>
  <conditionalFormatting sqref="L42:BT44">
    <cfRule type="expression" dxfId="0" priority="30">
      <formula>AND(L$4&gt;=$I42,L$4&lt;=$J42)</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D35"/>
  <sheetViews>
    <sheetView showGridLines="0" workbookViewId="0">
      <pane ySplit="2" topLeftCell="A3" activePane="bottomLeft" state="frozen"/>
      <selection pane="bottomLeft" activeCell="D62" sqref="D62"/>
    </sheetView>
  </sheetViews>
  <sheetFormatPr baseColWidth="10" defaultColWidth="8.83203125" defaultRowHeight="15" x14ac:dyDescent="0.2"/>
  <cols>
    <col min="1" max="1" width="46" customWidth="1"/>
    <col min="2" max="2" width="16" customWidth="1"/>
    <col min="3" max="3" width="18" customWidth="1"/>
    <col min="4" max="4" width="84" customWidth="1"/>
  </cols>
  <sheetData>
    <row r="1" spans="1:4" ht="18" x14ac:dyDescent="0.2">
      <c r="A1" s="1" t="s">
        <v>1052</v>
      </c>
      <c r="B1" s="1"/>
      <c r="C1" s="1"/>
      <c r="D1" s="1"/>
    </row>
    <row r="2" spans="1:4" ht="16" x14ac:dyDescent="0.2">
      <c r="A2" s="36" t="s">
        <v>1053</v>
      </c>
      <c r="B2" s="37"/>
      <c r="C2" s="37"/>
      <c r="D2" s="37"/>
    </row>
    <row r="4" spans="1:4" ht="16" x14ac:dyDescent="0.2">
      <c r="A4" s="2" t="s">
        <v>1054</v>
      </c>
      <c r="B4" s="2"/>
      <c r="C4" s="2"/>
      <c r="D4" s="2"/>
    </row>
    <row r="5" spans="1:4" ht="16" x14ac:dyDescent="0.2">
      <c r="A5" s="11" t="s">
        <v>1055</v>
      </c>
      <c r="B5" s="26" t="s">
        <v>1056</v>
      </c>
      <c r="C5" s="27" t="s">
        <v>128</v>
      </c>
      <c r="D5" s="9" t="s">
        <v>1057</v>
      </c>
    </row>
    <row r="6" spans="1:4" ht="16" x14ac:dyDescent="0.2">
      <c r="A6" s="11" t="s">
        <v>1058</v>
      </c>
      <c r="B6" s="26" t="s">
        <v>1059</v>
      </c>
      <c r="C6" s="27" t="s">
        <v>128</v>
      </c>
      <c r="D6" s="9" t="s">
        <v>1060</v>
      </c>
    </row>
    <row r="7" spans="1:4" ht="16" x14ac:dyDescent="0.2">
      <c r="A7" s="11" t="s">
        <v>1061</v>
      </c>
      <c r="B7" s="26" t="s">
        <v>1062</v>
      </c>
      <c r="C7" s="27" t="s">
        <v>128</v>
      </c>
      <c r="D7" s="9" t="s">
        <v>1063</v>
      </c>
    </row>
    <row r="8" spans="1:4" ht="16" x14ac:dyDescent="0.2">
      <c r="A8" s="11" t="s">
        <v>1064</v>
      </c>
      <c r="B8" s="26">
        <v>4</v>
      </c>
      <c r="C8" s="27" t="s">
        <v>128</v>
      </c>
      <c r="D8" s="9" t="s">
        <v>1065</v>
      </c>
    </row>
    <row r="9" spans="1:4" ht="16" x14ac:dyDescent="0.2">
      <c r="A9" s="11" t="s">
        <v>1066</v>
      </c>
      <c r="B9" s="26" t="s">
        <v>1067</v>
      </c>
      <c r="C9" s="27" t="s">
        <v>128</v>
      </c>
      <c r="D9" s="9" t="s">
        <v>1068</v>
      </c>
    </row>
    <row r="10" spans="1:4" ht="16" x14ac:dyDescent="0.2">
      <c r="A10" s="11" t="s">
        <v>1069</v>
      </c>
      <c r="B10" s="26" t="s">
        <v>1070</v>
      </c>
      <c r="C10" s="27" t="s">
        <v>128</v>
      </c>
      <c r="D10" s="9" t="s">
        <v>1071</v>
      </c>
    </row>
    <row r="11" spans="1:4" ht="16" x14ac:dyDescent="0.2">
      <c r="A11" s="11" t="s">
        <v>1072</v>
      </c>
      <c r="B11" s="28">
        <v>850</v>
      </c>
      <c r="C11" s="27" t="s">
        <v>128</v>
      </c>
      <c r="D11" s="9" t="s">
        <v>1073</v>
      </c>
    </row>
    <row r="12" spans="1:4" ht="16" x14ac:dyDescent="0.2">
      <c r="A12" s="11" t="s">
        <v>1074</v>
      </c>
      <c r="B12" s="28">
        <v>0.15</v>
      </c>
      <c r="C12" s="27" t="s">
        <v>128</v>
      </c>
      <c r="D12" s="9" t="s">
        <v>1075</v>
      </c>
    </row>
    <row r="13" spans="1:4" ht="16" x14ac:dyDescent="0.2">
      <c r="A13" s="11" t="s">
        <v>1076</v>
      </c>
      <c r="B13" s="28">
        <v>0.03</v>
      </c>
      <c r="C13" s="27" t="s">
        <v>128</v>
      </c>
      <c r="D13" s="9" t="s">
        <v>1077</v>
      </c>
    </row>
    <row r="14" spans="1:4" ht="16" x14ac:dyDescent="0.2">
      <c r="A14" s="11" t="s">
        <v>1078</v>
      </c>
      <c r="B14" s="28">
        <v>0</v>
      </c>
      <c r="C14" s="27" t="s">
        <v>128</v>
      </c>
      <c r="D14" s="9" t="s">
        <v>1079</v>
      </c>
    </row>
    <row r="15" spans="1:4" ht="16" x14ac:dyDescent="0.2">
      <c r="A15" s="11" t="s">
        <v>1080</v>
      </c>
      <c r="B15" s="28">
        <v>0</v>
      </c>
      <c r="C15" s="27" t="s">
        <v>128</v>
      </c>
      <c r="D15" s="9" t="s">
        <v>1081</v>
      </c>
    </row>
    <row r="16" spans="1:4" ht="16" x14ac:dyDescent="0.2">
      <c r="A16" s="11" t="s">
        <v>1082</v>
      </c>
      <c r="B16" s="28">
        <v>700</v>
      </c>
      <c r="C16" s="27" t="s">
        <v>128</v>
      </c>
      <c r="D16" s="9" t="s">
        <v>1083</v>
      </c>
    </row>
    <row r="17" spans="1:4" ht="16" x14ac:dyDescent="0.2">
      <c r="A17" s="11" t="s">
        <v>1084</v>
      </c>
      <c r="B17" s="26" t="s">
        <v>57</v>
      </c>
      <c r="C17" s="27" t="s">
        <v>128</v>
      </c>
      <c r="D17" s="9" t="s">
        <v>1085</v>
      </c>
    </row>
    <row r="18" spans="1:4" ht="16" x14ac:dyDescent="0.2">
      <c r="A18" s="11" t="s">
        <v>1086</v>
      </c>
      <c r="B18" s="26" t="s">
        <v>1087</v>
      </c>
      <c r="C18" s="27" t="s">
        <v>128</v>
      </c>
      <c r="D18" s="9" t="s">
        <v>1088</v>
      </c>
    </row>
    <row r="19" spans="1:4" ht="16" x14ac:dyDescent="0.2">
      <c r="A19" s="11" t="s">
        <v>1089</v>
      </c>
      <c r="B19" s="26" t="s">
        <v>1090</v>
      </c>
      <c r="C19" s="27" t="s">
        <v>128</v>
      </c>
      <c r="D19" s="9" t="s">
        <v>1091</v>
      </c>
    </row>
    <row r="20" spans="1:4" ht="16" x14ac:dyDescent="0.2">
      <c r="A20" s="11" t="s">
        <v>1092</v>
      </c>
      <c r="B20" s="26" t="s">
        <v>1093</v>
      </c>
      <c r="C20" s="27" t="s">
        <v>128</v>
      </c>
      <c r="D20" s="9" t="s">
        <v>1094</v>
      </c>
    </row>
    <row r="21" spans="1:4" ht="16" x14ac:dyDescent="0.2">
      <c r="A21" s="11" t="s">
        <v>1095</v>
      </c>
      <c r="B21" s="26" t="s">
        <v>1096</v>
      </c>
      <c r="C21" s="27" t="s">
        <v>128</v>
      </c>
      <c r="D21" s="9" t="s">
        <v>1097</v>
      </c>
    </row>
    <row r="22" spans="1:4" ht="16" x14ac:dyDescent="0.2">
      <c r="A22" s="11" t="s">
        <v>1098</v>
      </c>
      <c r="B22" s="28">
        <v>1</v>
      </c>
      <c r="C22" s="27" t="s">
        <v>128</v>
      </c>
      <c r="D22" s="9" t="s">
        <v>1099</v>
      </c>
    </row>
    <row r="23" spans="1:4" ht="16" x14ac:dyDescent="0.2">
      <c r="A23" s="11" t="s">
        <v>1100</v>
      </c>
      <c r="B23" s="28">
        <v>2</v>
      </c>
      <c r="C23" s="27" t="s">
        <v>128</v>
      </c>
      <c r="D23" s="9" t="s">
        <v>1101</v>
      </c>
    </row>
    <row r="25" spans="1:4" ht="16" x14ac:dyDescent="0.2">
      <c r="A25" s="2" t="s">
        <v>1102</v>
      </c>
      <c r="B25" s="2"/>
      <c r="C25" s="2"/>
      <c r="D25" s="2"/>
    </row>
    <row r="26" spans="1:4" ht="16" x14ac:dyDescent="0.2">
      <c r="A26" s="36" t="s">
        <v>1103</v>
      </c>
      <c r="B26" s="37"/>
      <c r="C26" s="37"/>
      <c r="D26" s="37"/>
    </row>
    <row r="27" spans="1:4" ht="16" x14ac:dyDescent="0.2">
      <c r="A27" s="36" t="s">
        <v>1104</v>
      </c>
      <c r="B27" s="37"/>
      <c r="C27" s="37"/>
      <c r="D27" s="37"/>
    </row>
    <row r="28" spans="1:4" ht="16" x14ac:dyDescent="0.2">
      <c r="A28" s="36" t="s">
        <v>1105</v>
      </c>
      <c r="B28" s="37"/>
      <c r="C28" s="37"/>
      <c r="D28" s="37"/>
    </row>
    <row r="29" spans="1:4" ht="16" x14ac:dyDescent="0.2">
      <c r="A29" s="36" t="s">
        <v>1106</v>
      </c>
      <c r="B29" s="37"/>
      <c r="C29" s="37"/>
      <c r="D29" s="37"/>
    </row>
    <row r="30" spans="1:4" ht="16" x14ac:dyDescent="0.2">
      <c r="A30" s="36" t="s">
        <v>1107</v>
      </c>
      <c r="B30" s="37"/>
      <c r="C30" s="37"/>
      <c r="D30" s="37"/>
    </row>
    <row r="31" spans="1:4" ht="16" x14ac:dyDescent="0.2">
      <c r="A31" s="36" t="s">
        <v>1108</v>
      </c>
      <c r="B31" s="37"/>
      <c r="C31" s="37"/>
      <c r="D31" s="37"/>
    </row>
    <row r="32" spans="1:4" ht="16" x14ac:dyDescent="0.2">
      <c r="A32" s="36" t="s">
        <v>1109</v>
      </c>
      <c r="B32" s="37"/>
      <c r="C32" s="37"/>
      <c r="D32" s="37"/>
    </row>
    <row r="33" spans="1:4" ht="16" x14ac:dyDescent="0.2">
      <c r="A33" s="36" t="s">
        <v>1110</v>
      </c>
      <c r="B33" s="37"/>
      <c r="C33" s="37"/>
      <c r="D33" s="37"/>
    </row>
    <row r="34" spans="1:4" ht="16" x14ac:dyDescent="0.2">
      <c r="A34" s="36" t="s">
        <v>1111</v>
      </c>
      <c r="B34" s="37"/>
      <c r="C34" s="37"/>
      <c r="D34" s="37"/>
    </row>
    <row r="35" spans="1:4" ht="16" x14ac:dyDescent="0.2">
      <c r="A35" s="36" t="s">
        <v>1112</v>
      </c>
      <c r="B35" s="37"/>
      <c r="C35" s="37"/>
      <c r="D35" s="37"/>
    </row>
  </sheetData>
  <mergeCells count="11">
    <mergeCell ref="A34:D34"/>
    <mergeCell ref="A35:D35"/>
    <mergeCell ref="A26:D26"/>
    <mergeCell ref="A30:D30"/>
    <mergeCell ref="A29:D29"/>
    <mergeCell ref="A2:D2"/>
    <mergeCell ref="A33:D33"/>
    <mergeCell ref="A28:D28"/>
    <mergeCell ref="A32:D32"/>
    <mergeCell ref="A27:D27"/>
    <mergeCell ref="A31:D31"/>
  </mergeCells>
  <dataValidations count="19">
    <dataValidation type="list" sqref="B5" xr:uid="{00000000-0002-0000-0400-000000000000}">
      <formula1>"Include,Exclude"</formula1>
    </dataValidation>
    <dataValidation type="list" sqref="B6" xr:uid="{00000000-0002-0000-0400-000001000000}">
      <formula1>"Low,Likely,High"</formula1>
    </dataValidation>
    <dataValidation type="list" sqref="B7" xr:uid="{00000000-0002-0000-0400-000002000000}">
      <formula1>"AKS,ARO"</formula1>
    </dataValidation>
    <dataValidation type="list" sqref="B8" xr:uid="{00000000-0002-0000-0400-000003000000}">
      <formula1>"2,3,4"</formula1>
    </dataValidation>
    <dataValidation type="list" sqref="B9" xr:uid="{00000000-0002-0000-0400-000004000000}">
      <formula1>"Single,Dual"</formula1>
    </dataValidation>
    <dataValidation type="list" sqref="B10" xr:uid="{00000000-0002-0000-0400-000005000000}">
      <formula1>"S,M,L"</formula1>
    </dataValidation>
    <dataValidation type="decimal" showErrorMessage="1" errorTitle="Out of bounds" error="DayRate must be between 0 and 5000." sqref="B11" xr:uid="{00000000-0002-0000-0400-000006000000}">
      <formula1>0</formula1>
      <formula2>5000</formula2>
    </dataValidation>
    <dataValidation type="decimal" showErrorMessage="1" errorTitle="Out of bounds" error="ContingencyPct must be between 0 and 2.0." sqref="B12" xr:uid="{00000000-0002-0000-0400-000007000000}">
      <formula1>0</formula1>
      <formula2>2</formula2>
    </dataValidation>
    <dataValidation type="decimal" showErrorMessage="1" errorTitle="Out of bounds" error="Indexation must be between 0 and 0.25." sqref="B13" xr:uid="{00000000-0002-0000-0400-000008000000}">
      <formula1>0</formula1>
      <formula2>0.25</formula2>
    </dataValidation>
    <dataValidation type="decimal" showErrorMessage="1" errorTitle="Out of bounds" error="SlipWeeks must be between 0 and 26." sqref="B14" xr:uid="{00000000-0002-0000-0400-000009000000}">
      <formula1>0</formula1>
      <formula2>26</formula2>
    </dataValidation>
    <dataValidation type="decimal" showErrorMessage="1" errorTitle="Out of bounds" error="OverlapWeeks must be between 0 and 6." sqref="B15" xr:uid="{00000000-0002-0000-0400-00000A000000}">
      <formula1>0</formula1>
      <formula2>6</formula2>
    </dataValidation>
    <dataValidation type="decimal" showErrorMessage="1" errorTitle="Out of bounds" error="OrgSize must be between 1 and 20000." sqref="B16" xr:uid="{00000000-0002-0000-0400-00000B000000}">
      <formula1>1</formula1>
      <formula2>20000</formula2>
    </dataValidation>
    <dataValidation type="list" sqref="B17" xr:uid="{00000000-0002-0000-0400-00000C000000}">
      <formula1>"Azure,Datadog"</formula1>
    </dataValidation>
    <dataValidation type="list" sqref="B18" xr:uid="{00000000-0002-0000-0400-00000D000000}">
      <formula1>"AzureOpenAI,ClaudeOnAzure,GrokOnAzure,Llama"</formula1>
    </dataValidation>
    <dataValidation type="list" sqref="B19" xr:uid="{00000000-0002-0000-0400-00000E000000}">
      <formula1>"GPT-4o,GPT-4.1,GPT-5.6-Terra,GPT-5.6-Sol,Claude-Sonnet-5,Claude-Fable-5,Grok-4.3,Grok-4.5,Llama"</formula1>
    </dataValidation>
    <dataValidation type="list" sqref="B20" xr:uid="{00000000-0002-0000-0400-00000F000000}">
      <formula1>"Exclude,Include"</formula1>
    </dataValidation>
    <dataValidation type="list" sqref="B21" xr:uid="{00000000-0002-0000-0400-000010000000}">
      <formula1>"AISearch_Cosmos,CosmosOnly"</formula1>
    </dataValidation>
    <dataValidation type="decimal" showErrorMessage="1" errorTitle="Out of bounds" error="AgentCount must be between 1 and 100." sqref="B22" xr:uid="{00000000-0002-0000-0400-000011000000}">
      <formula1>1</formula1>
      <formula2>100</formula2>
    </dataValidation>
    <dataValidation type="decimal" showErrorMessage="1" errorTitle="Out of bounds" error="McpServerCount must be between 1 and 50." sqref="B23" xr:uid="{00000000-0002-0000-0400-000012000000}">
      <formula1>1</formula1>
      <formula2>50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3"/>
  <sheetViews>
    <sheetView showGridLines="0" workbookViewId="0">
      <pane ySplit="4" topLeftCell="A5" activePane="bottomLeft" state="frozen"/>
      <selection pane="bottomLeft" activeCell="E19" sqref="E19"/>
    </sheetView>
  </sheetViews>
  <sheetFormatPr baseColWidth="10" defaultColWidth="8.83203125" defaultRowHeight="15" x14ac:dyDescent="0.2"/>
  <cols>
    <col min="1" max="1" width="52" style="44" customWidth="1"/>
    <col min="2" max="2" width="30" style="59" customWidth="1"/>
    <col min="3" max="3" width="14" style="59" customWidth="1"/>
    <col min="4" max="4" width="16" style="65" customWidth="1"/>
    <col min="5" max="5" width="60" style="60" customWidth="1"/>
    <col min="6" max="6" width="44" style="60" customWidth="1"/>
  </cols>
  <sheetData>
    <row r="1" spans="1:6" ht="38" x14ac:dyDescent="0.2">
      <c r="A1" s="40" t="s">
        <v>1113</v>
      </c>
      <c r="B1" s="45"/>
      <c r="C1" s="45"/>
      <c r="D1" s="61"/>
      <c r="E1" s="46"/>
      <c r="F1" s="46"/>
    </row>
    <row r="2" spans="1:6" ht="16" x14ac:dyDescent="0.2">
      <c r="A2" s="36" t="s">
        <v>1114</v>
      </c>
      <c r="B2" s="37"/>
      <c r="C2" s="37"/>
      <c r="D2" s="37"/>
      <c r="E2" s="37"/>
      <c r="F2" s="37"/>
    </row>
    <row r="4" spans="1:6" ht="17" x14ac:dyDescent="0.2">
      <c r="A4" s="41" t="s">
        <v>1115</v>
      </c>
      <c r="B4" s="47"/>
      <c r="C4" s="47"/>
      <c r="D4" s="62"/>
      <c r="E4" s="48"/>
      <c r="F4" s="48"/>
    </row>
    <row r="5" spans="1:6" ht="17" x14ac:dyDescent="0.2">
      <c r="A5" s="42" t="s">
        <v>1116</v>
      </c>
      <c r="B5" s="49" t="s">
        <v>1117</v>
      </c>
      <c r="C5" s="49" t="s">
        <v>1118</v>
      </c>
      <c r="D5" s="63" t="s">
        <v>105</v>
      </c>
      <c r="E5" s="50" t="s">
        <v>1119</v>
      </c>
      <c r="F5" s="50" t="s">
        <v>1120</v>
      </c>
    </row>
    <row r="6" spans="1:6" ht="51" x14ac:dyDescent="0.2">
      <c r="A6" s="43" t="s">
        <v>1121</v>
      </c>
      <c r="B6" s="51" t="s">
        <v>1122</v>
      </c>
      <c r="C6" s="52">
        <v>7.5800000000000006E-2</v>
      </c>
      <c r="D6" s="64" t="s">
        <v>1123</v>
      </c>
      <c r="E6" s="54" t="s">
        <v>1124</v>
      </c>
      <c r="F6" s="54" t="s">
        <v>1125</v>
      </c>
    </row>
    <row r="7" spans="1:6" ht="51" x14ac:dyDescent="0.2">
      <c r="A7" s="43" t="s">
        <v>1126</v>
      </c>
      <c r="B7" s="51" t="s">
        <v>1127</v>
      </c>
      <c r="C7" s="52">
        <v>0.16819999999999999</v>
      </c>
      <c r="D7" s="64" t="s">
        <v>1123</v>
      </c>
      <c r="E7" s="54" t="s">
        <v>1128</v>
      </c>
      <c r="F7" s="54" t="s">
        <v>1129</v>
      </c>
    </row>
    <row r="8" spans="1:6" ht="68" x14ac:dyDescent="0.2">
      <c r="A8" s="43" t="s">
        <v>1130</v>
      </c>
      <c r="B8" s="51" t="s">
        <v>1127</v>
      </c>
      <c r="C8" s="52">
        <v>0.19850000000000001</v>
      </c>
      <c r="D8" s="64" t="s">
        <v>1123</v>
      </c>
      <c r="E8" s="54" t="s">
        <v>1131</v>
      </c>
      <c r="F8" s="54" t="s">
        <v>1132</v>
      </c>
    </row>
    <row r="9" spans="1:6" ht="34" x14ac:dyDescent="0.2">
      <c r="A9" s="43" t="s">
        <v>1133</v>
      </c>
      <c r="B9" s="51" t="s">
        <v>1127</v>
      </c>
      <c r="C9" s="52">
        <v>0.33639999999999998</v>
      </c>
      <c r="D9" s="64" t="s">
        <v>1123</v>
      </c>
      <c r="E9" s="54" t="s">
        <v>1134</v>
      </c>
      <c r="F9" s="54" t="s">
        <v>1135</v>
      </c>
    </row>
    <row r="10" spans="1:6" ht="68" x14ac:dyDescent="0.2">
      <c r="A10" s="43" t="s">
        <v>1136</v>
      </c>
      <c r="B10" s="51" t="s">
        <v>1137</v>
      </c>
      <c r="C10" s="52">
        <v>3.2399999999999998E-2</v>
      </c>
      <c r="D10" s="64" t="s">
        <v>1123</v>
      </c>
      <c r="E10" s="54" t="s">
        <v>1138</v>
      </c>
      <c r="F10" s="54" t="s">
        <v>1139</v>
      </c>
    </row>
    <row r="12" spans="1:6" ht="17" x14ac:dyDescent="0.2">
      <c r="A12" s="41" t="s">
        <v>1140</v>
      </c>
      <c r="B12" s="47"/>
      <c r="C12" s="47"/>
      <c r="D12" s="62"/>
      <c r="E12" s="48"/>
      <c r="F12" s="48"/>
    </row>
    <row r="13" spans="1:6" ht="17" x14ac:dyDescent="0.2">
      <c r="A13" s="42" t="s">
        <v>1116</v>
      </c>
      <c r="B13" s="49" t="s">
        <v>1117</v>
      </c>
      <c r="C13" s="49" t="s">
        <v>1118</v>
      </c>
      <c r="D13" s="63" t="s">
        <v>105</v>
      </c>
      <c r="E13" s="50" t="s">
        <v>1119</v>
      </c>
      <c r="F13" s="50" t="s">
        <v>1120</v>
      </c>
    </row>
    <row r="14" spans="1:6" ht="51" x14ac:dyDescent="0.2">
      <c r="A14" s="43" t="s">
        <v>1141</v>
      </c>
      <c r="B14" s="51" t="s">
        <v>1142</v>
      </c>
      <c r="C14" s="52">
        <v>0.31209999999999999</v>
      </c>
      <c r="D14" s="64" t="s">
        <v>1123</v>
      </c>
      <c r="E14" s="54" t="s">
        <v>1143</v>
      </c>
      <c r="F14" s="54" t="s">
        <v>1144</v>
      </c>
    </row>
    <row r="15" spans="1:6" ht="34" x14ac:dyDescent="0.2">
      <c r="A15" s="43" t="s">
        <v>1145</v>
      </c>
      <c r="B15" s="51" t="s">
        <v>1146</v>
      </c>
      <c r="C15" s="52">
        <v>0.1008</v>
      </c>
      <c r="D15" s="64" t="s">
        <v>1123</v>
      </c>
      <c r="E15" s="54" t="s">
        <v>1147</v>
      </c>
      <c r="F15" s="54" t="s">
        <v>1148</v>
      </c>
    </row>
    <row r="16" spans="1:6" ht="51" x14ac:dyDescent="0.2">
      <c r="A16" s="43" t="s">
        <v>1149</v>
      </c>
      <c r="B16" s="51" t="s">
        <v>1142</v>
      </c>
      <c r="C16" s="52">
        <v>0.5766</v>
      </c>
      <c r="D16" s="64" t="s">
        <v>1123</v>
      </c>
      <c r="E16" s="54" t="s">
        <v>1150</v>
      </c>
      <c r="F16" s="54" t="s">
        <v>1151</v>
      </c>
    </row>
    <row r="17" spans="1:6" ht="34" x14ac:dyDescent="0.2">
      <c r="A17" s="43" t="s">
        <v>1152</v>
      </c>
      <c r="B17" s="51" t="s">
        <v>1153</v>
      </c>
      <c r="C17" s="52">
        <v>0.22500000000000001</v>
      </c>
      <c r="D17" s="64" t="s">
        <v>1123</v>
      </c>
      <c r="E17" s="54" t="s">
        <v>1154</v>
      </c>
      <c r="F17" s="54" t="s">
        <v>1155</v>
      </c>
    </row>
    <row r="18" spans="1:6" ht="51" x14ac:dyDescent="0.2">
      <c r="A18" s="43" t="s">
        <v>1156</v>
      </c>
      <c r="B18" s="51" t="s">
        <v>1157</v>
      </c>
      <c r="C18" s="52">
        <v>2.2700000000000001E-2</v>
      </c>
      <c r="D18" s="64" t="s">
        <v>1123</v>
      </c>
      <c r="E18" s="54" t="s">
        <v>1158</v>
      </c>
      <c r="F18" s="54" t="s">
        <v>1159</v>
      </c>
    </row>
    <row r="19" spans="1:6" ht="34" x14ac:dyDescent="0.2">
      <c r="A19" s="43" t="s">
        <v>1160</v>
      </c>
      <c r="B19" s="51" t="s">
        <v>1161</v>
      </c>
      <c r="C19" s="52">
        <v>0.13109999999999999</v>
      </c>
      <c r="D19" s="64" t="s">
        <v>1123</v>
      </c>
      <c r="E19" s="54" t="s">
        <v>1162</v>
      </c>
      <c r="F19" s="54" t="s">
        <v>1163</v>
      </c>
    </row>
    <row r="21" spans="1:6" ht="17" x14ac:dyDescent="0.2">
      <c r="A21" s="41" t="s">
        <v>1164</v>
      </c>
      <c r="B21" s="47"/>
      <c r="C21" s="47"/>
      <c r="D21" s="62"/>
      <c r="E21" s="48"/>
      <c r="F21" s="48"/>
    </row>
    <row r="22" spans="1:6" ht="17" x14ac:dyDescent="0.2">
      <c r="A22" s="42" t="s">
        <v>1116</v>
      </c>
      <c r="B22" s="49" t="s">
        <v>1117</v>
      </c>
      <c r="C22" s="49" t="s">
        <v>1118</v>
      </c>
      <c r="D22" s="63" t="s">
        <v>105</v>
      </c>
      <c r="E22" s="50" t="s">
        <v>1119</v>
      </c>
      <c r="F22" s="50" t="s">
        <v>1120</v>
      </c>
    </row>
    <row r="23" spans="1:6" ht="34" x14ac:dyDescent="0.2">
      <c r="A23" s="43" t="s">
        <v>1165</v>
      </c>
      <c r="B23" s="51" t="s">
        <v>1166</v>
      </c>
      <c r="C23" s="52">
        <v>0.34089999999999998</v>
      </c>
      <c r="D23" s="64" t="s">
        <v>1123</v>
      </c>
      <c r="E23" s="54" t="s">
        <v>1167</v>
      </c>
      <c r="F23" s="54" t="s">
        <v>1168</v>
      </c>
    </row>
    <row r="24" spans="1:6" ht="34" x14ac:dyDescent="0.2">
      <c r="A24" s="43" t="s">
        <v>1169</v>
      </c>
      <c r="B24" s="51" t="s">
        <v>1170</v>
      </c>
      <c r="C24" s="52">
        <v>1.09E-2</v>
      </c>
      <c r="D24" s="64" t="s">
        <v>1123</v>
      </c>
      <c r="E24" s="54" t="s">
        <v>1171</v>
      </c>
      <c r="F24" s="54" t="s">
        <v>1172</v>
      </c>
    </row>
    <row r="25" spans="1:6" ht="68" x14ac:dyDescent="0.2">
      <c r="A25" s="43" t="s">
        <v>1173</v>
      </c>
      <c r="B25" s="51" t="s">
        <v>1174</v>
      </c>
      <c r="C25" s="52">
        <v>0.7127</v>
      </c>
      <c r="D25" s="64" t="s">
        <v>1123</v>
      </c>
      <c r="E25" s="54" t="s">
        <v>1175</v>
      </c>
      <c r="F25" s="54" t="s">
        <v>1176</v>
      </c>
    </row>
    <row r="26" spans="1:6" ht="51" x14ac:dyDescent="0.2">
      <c r="A26" s="43" t="s">
        <v>1177</v>
      </c>
      <c r="B26" s="51" t="s">
        <v>1166</v>
      </c>
      <c r="C26" s="52">
        <v>0.1439</v>
      </c>
      <c r="D26" s="64" t="s">
        <v>1123</v>
      </c>
      <c r="E26" s="54" t="s">
        <v>1178</v>
      </c>
      <c r="F26" s="54" t="s">
        <v>1179</v>
      </c>
    </row>
    <row r="27" spans="1:6" ht="34" x14ac:dyDescent="0.2">
      <c r="A27" s="43" t="s">
        <v>1180</v>
      </c>
      <c r="B27" s="51" t="s">
        <v>1181</v>
      </c>
      <c r="C27" s="52">
        <v>0.37880000000000003</v>
      </c>
      <c r="D27" s="64" t="s">
        <v>1123</v>
      </c>
      <c r="E27" s="54" t="s">
        <v>1182</v>
      </c>
      <c r="F27" s="54" t="s">
        <v>1183</v>
      </c>
    </row>
    <row r="29" spans="1:6" ht="17" x14ac:dyDescent="0.2">
      <c r="A29" s="41" t="s">
        <v>1184</v>
      </c>
      <c r="B29" s="47"/>
      <c r="C29" s="47"/>
      <c r="D29" s="62"/>
      <c r="E29" s="48"/>
      <c r="F29" s="48"/>
    </row>
    <row r="30" spans="1:6" ht="17" x14ac:dyDescent="0.2">
      <c r="A30" s="42" t="s">
        <v>1116</v>
      </c>
      <c r="B30" s="49" t="s">
        <v>1117</v>
      </c>
      <c r="C30" s="49" t="s">
        <v>1118</v>
      </c>
      <c r="D30" s="63" t="s">
        <v>105</v>
      </c>
      <c r="E30" s="50" t="s">
        <v>1119</v>
      </c>
      <c r="F30" s="50" t="s">
        <v>1120</v>
      </c>
    </row>
    <row r="31" spans="1:6" ht="68" x14ac:dyDescent="0.2">
      <c r="A31" s="43" t="s">
        <v>1185</v>
      </c>
      <c r="B31" s="51" t="s">
        <v>1186</v>
      </c>
      <c r="C31" s="55">
        <v>2.1819000000000002</v>
      </c>
      <c r="D31" s="64" t="s">
        <v>1123</v>
      </c>
      <c r="E31" s="54" t="s">
        <v>1187</v>
      </c>
      <c r="F31" s="54" t="s">
        <v>1188</v>
      </c>
    </row>
    <row r="32" spans="1:6" ht="34" x14ac:dyDescent="0.2">
      <c r="A32" s="43" t="s">
        <v>1189</v>
      </c>
      <c r="B32" s="51" t="s">
        <v>1190</v>
      </c>
      <c r="C32" s="52">
        <v>7.5800000000000006E-2</v>
      </c>
      <c r="D32" s="64" t="s">
        <v>1123</v>
      </c>
      <c r="E32" s="54" t="s">
        <v>1191</v>
      </c>
      <c r="F32" s="54" t="s">
        <v>1192</v>
      </c>
    </row>
    <row r="34" spans="1:6" ht="34" x14ac:dyDescent="0.2">
      <c r="A34" s="41" t="s">
        <v>1193</v>
      </c>
      <c r="B34" s="47"/>
      <c r="C34" s="47"/>
      <c r="D34" s="62"/>
      <c r="E34" s="48"/>
      <c r="F34" s="48"/>
    </row>
    <row r="35" spans="1:6" ht="17" x14ac:dyDescent="0.2">
      <c r="A35" s="42" t="s">
        <v>1116</v>
      </c>
      <c r="B35" s="49" t="s">
        <v>1117</v>
      </c>
      <c r="C35" s="49" t="s">
        <v>1118</v>
      </c>
      <c r="D35" s="63" t="s">
        <v>105</v>
      </c>
      <c r="E35" s="50" t="s">
        <v>1119</v>
      </c>
      <c r="F35" s="50" t="s">
        <v>1120</v>
      </c>
    </row>
    <row r="36" spans="1:6" ht="68" x14ac:dyDescent="0.2">
      <c r="A36" s="43" t="s">
        <v>1194</v>
      </c>
      <c r="B36" s="51" t="s">
        <v>1195</v>
      </c>
      <c r="C36" s="56">
        <v>118.42</v>
      </c>
      <c r="D36" s="64" t="s">
        <v>1196</v>
      </c>
      <c r="E36" s="54" t="s">
        <v>1197</v>
      </c>
      <c r="F36" s="54" t="s">
        <v>1198</v>
      </c>
    </row>
    <row r="37" spans="1:6" ht="68" x14ac:dyDescent="0.2">
      <c r="A37" s="43" t="s">
        <v>1199</v>
      </c>
      <c r="B37" s="51" t="s">
        <v>1200</v>
      </c>
      <c r="C37" s="56">
        <v>177.64</v>
      </c>
      <c r="D37" s="64" t="s">
        <v>1196</v>
      </c>
      <c r="E37" s="54" t="s">
        <v>1201</v>
      </c>
      <c r="F37" s="54" t="s">
        <v>1202</v>
      </c>
    </row>
    <row r="38" spans="1:6" ht="68" x14ac:dyDescent="0.2">
      <c r="A38" s="43" t="s">
        <v>1203</v>
      </c>
      <c r="B38" s="51" t="s">
        <v>1204</v>
      </c>
      <c r="C38" s="55">
        <v>3.7</v>
      </c>
      <c r="D38" s="64" t="s">
        <v>1196</v>
      </c>
      <c r="E38" s="54" t="s">
        <v>1205</v>
      </c>
      <c r="F38" s="54" t="s">
        <v>1206</v>
      </c>
    </row>
    <row r="39" spans="1:6" ht="68" x14ac:dyDescent="0.2">
      <c r="A39" s="43" t="s">
        <v>1207</v>
      </c>
      <c r="B39" s="51" t="s">
        <v>1208</v>
      </c>
      <c r="C39" s="55">
        <v>22.94</v>
      </c>
      <c r="D39" s="64" t="s">
        <v>1196</v>
      </c>
      <c r="E39" s="54" t="s">
        <v>1209</v>
      </c>
      <c r="F39" s="54" t="s">
        <v>1210</v>
      </c>
    </row>
    <row r="40" spans="1:6" ht="68" x14ac:dyDescent="0.2">
      <c r="A40" s="43" t="s">
        <v>1211</v>
      </c>
      <c r="B40" s="51" t="s">
        <v>1208</v>
      </c>
      <c r="C40" s="55">
        <v>26.65</v>
      </c>
      <c r="D40" s="64" t="s">
        <v>1196</v>
      </c>
      <c r="E40" s="54" t="s">
        <v>1212</v>
      </c>
      <c r="F40" s="54" t="s">
        <v>1213</v>
      </c>
    </row>
    <row r="41" spans="1:6" ht="68" x14ac:dyDescent="0.2">
      <c r="A41" s="43" t="s">
        <v>1214</v>
      </c>
      <c r="B41" s="51" t="s">
        <v>1215</v>
      </c>
      <c r="C41" s="55">
        <v>11.1</v>
      </c>
      <c r="D41" s="64" t="s">
        <v>1196</v>
      </c>
      <c r="E41" s="54" t="s">
        <v>1216</v>
      </c>
      <c r="F41" s="54" t="s">
        <v>1217</v>
      </c>
    </row>
    <row r="42" spans="1:6" ht="68" x14ac:dyDescent="0.2">
      <c r="A42" s="43" t="s">
        <v>1218</v>
      </c>
      <c r="B42" s="51" t="s">
        <v>1219</v>
      </c>
      <c r="C42" s="57">
        <v>0</v>
      </c>
      <c r="D42" s="64" t="s">
        <v>1220</v>
      </c>
      <c r="E42" s="54" t="s">
        <v>1221</v>
      </c>
      <c r="F42" s="54" t="s">
        <v>1222</v>
      </c>
    </row>
    <row r="44" spans="1:6" ht="17" x14ac:dyDescent="0.2">
      <c r="A44" s="41" t="s">
        <v>1223</v>
      </c>
      <c r="B44" s="47"/>
      <c r="C44" s="47"/>
      <c r="D44" s="62"/>
      <c r="E44" s="48"/>
      <c r="F44" s="48"/>
    </row>
    <row r="45" spans="1:6" ht="17" x14ac:dyDescent="0.2">
      <c r="A45" s="42" t="s">
        <v>1116</v>
      </c>
      <c r="B45" s="49" t="s">
        <v>1117</v>
      </c>
      <c r="C45" s="49" t="s">
        <v>1118</v>
      </c>
      <c r="D45" s="63" t="s">
        <v>105</v>
      </c>
      <c r="E45" s="50" t="s">
        <v>1119</v>
      </c>
      <c r="F45" s="50" t="s">
        <v>1120</v>
      </c>
    </row>
    <row r="46" spans="1:6" ht="34" x14ac:dyDescent="0.2">
      <c r="A46" s="43" t="s">
        <v>1224</v>
      </c>
      <c r="B46" s="51" t="s">
        <v>1225</v>
      </c>
      <c r="C46" s="52">
        <v>2.2700000000000001E-2</v>
      </c>
      <c r="D46" s="64" t="s">
        <v>1123</v>
      </c>
      <c r="E46" s="54" t="s">
        <v>1226</v>
      </c>
      <c r="F46" s="54" t="s">
        <v>1227</v>
      </c>
    </row>
    <row r="47" spans="1:6" ht="68" x14ac:dyDescent="0.2">
      <c r="A47" s="43" t="s">
        <v>1228</v>
      </c>
      <c r="B47" s="51" t="s">
        <v>1229</v>
      </c>
      <c r="C47" s="57">
        <v>0</v>
      </c>
      <c r="D47" s="64" t="s">
        <v>1220</v>
      </c>
      <c r="E47" s="54" t="s">
        <v>1230</v>
      </c>
      <c r="F47" s="54" t="s">
        <v>1231</v>
      </c>
    </row>
    <row r="49" spans="1:6" ht="34" x14ac:dyDescent="0.2">
      <c r="A49" s="41" t="s">
        <v>1232</v>
      </c>
      <c r="B49" s="47"/>
      <c r="C49" s="47"/>
      <c r="D49" s="62"/>
      <c r="E49" s="48"/>
      <c r="F49" s="48"/>
    </row>
    <row r="50" spans="1:6" ht="17" x14ac:dyDescent="0.2">
      <c r="A50" s="42" t="s">
        <v>1116</v>
      </c>
      <c r="B50" s="49" t="s">
        <v>1117</v>
      </c>
      <c r="C50" s="49" t="s">
        <v>1118</v>
      </c>
      <c r="D50" s="63" t="s">
        <v>105</v>
      </c>
      <c r="E50" s="50" t="s">
        <v>1119</v>
      </c>
      <c r="F50" s="50" t="s">
        <v>1120</v>
      </c>
    </row>
    <row r="51" spans="1:6" ht="68" x14ac:dyDescent="0.2">
      <c r="A51" s="43" t="s">
        <v>1233</v>
      </c>
      <c r="B51" s="51" t="s">
        <v>1127</v>
      </c>
      <c r="C51" s="55">
        <v>3.4782000000000002</v>
      </c>
      <c r="D51" s="64" t="s">
        <v>1123</v>
      </c>
      <c r="E51" s="54" t="s">
        <v>1234</v>
      </c>
      <c r="F51" s="54" t="s">
        <v>1235</v>
      </c>
    </row>
    <row r="52" spans="1:6" ht="68" x14ac:dyDescent="0.2">
      <c r="A52" s="43" t="s">
        <v>1236</v>
      </c>
      <c r="B52" s="51" t="s">
        <v>1127</v>
      </c>
      <c r="C52" s="55">
        <v>6.6101000000000001</v>
      </c>
      <c r="D52" s="64" t="s">
        <v>1123</v>
      </c>
      <c r="E52" s="54" t="s">
        <v>1237</v>
      </c>
      <c r="F52" s="54" t="s">
        <v>1238</v>
      </c>
    </row>
    <row r="53" spans="1:6" ht="68" x14ac:dyDescent="0.2">
      <c r="A53" s="43" t="s">
        <v>1239</v>
      </c>
      <c r="B53" s="51" t="s">
        <v>1240</v>
      </c>
      <c r="C53" s="57">
        <v>0</v>
      </c>
      <c r="D53" s="64" t="s">
        <v>1220</v>
      </c>
      <c r="E53" s="54" t="s">
        <v>1241</v>
      </c>
      <c r="F53" s="54" t="s">
        <v>1242</v>
      </c>
    </row>
    <row r="55" spans="1:6" ht="34" x14ac:dyDescent="0.2">
      <c r="A55" s="41" t="s">
        <v>1243</v>
      </c>
      <c r="B55" s="47"/>
      <c r="C55" s="47"/>
      <c r="D55" s="62"/>
      <c r="E55" s="48"/>
      <c r="F55" s="48"/>
    </row>
    <row r="56" spans="1:6" ht="17" x14ac:dyDescent="0.2">
      <c r="A56" s="42" t="s">
        <v>1116</v>
      </c>
      <c r="B56" s="49" t="s">
        <v>1117</v>
      </c>
      <c r="C56" s="49" t="s">
        <v>1118</v>
      </c>
      <c r="D56" s="63" t="s">
        <v>105</v>
      </c>
      <c r="E56" s="50" t="s">
        <v>1119</v>
      </c>
      <c r="F56" s="50" t="s">
        <v>1120</v>
      </c>
    </row>
    <row r="57" spans="1:6" ht="68" x14ac:dyDescent="0.2">
      <c r="A57" s="43" t="s">
        <v>1244</v>
      </c>
      <c r="B57" s="51" t="s">
        <v>1245</v>
      </c>
      <c r="C57" s="55">
        <v>2.2200000000000002</v>
      </c>
      <c r="D57" s="64" t="s">
        <v>1196</v>
      </c>
      <c r="E57" s="54" t="s">
        <v>1246</v>
      </c>
      <c r="F57" s="54" t="s">
        <v>1247</v>
      </c>
    </row>
    <row r="58" spans="1:6" ht="85" x14ac:dyDescent="0.2">
      <c r="A58" s="43" t="s">
        <v>1248</v>
      </c>
      <c r="B58" s="51" t="s">
        <v>1249</v>
      </c>
      <c r="C58" s="55">
        <v>11.1</v>
      </c>
      <c r="D58" s="64" t="s">
        <v>1196</v>
      </c>
      <c r="E58" s="54" t="s">
        <v>1250</v>
      </c>
      <c r="F58" s="54" t="s">
        <v>1251</v>
      </c>
    </row>
    <row r="59" spans="1:6" ht="34" x14ac:dyDescent="0.2">
      <c r="A59" s="43" t="s">
        <v>1252</v>
      </c>
      <c r="B59" s="51" t="s">
        <v>1245</v>
      </c>
      <c r="C59" s="55">
        <v>1.5</v>
      </c>
      <c r="D59" s="64" t="s">
        <v>1123</v>
      </c>
      <c r="E59" s="54" t="s">
        <v>1253</v>
      </c>
      <c r="F59" s="54" t="s">
        <v>1254</v>
      </c>
    </row>
    <row r="60" spans="1:6" ht="34" x14ac:dyDescent="0.2">
      <c r="A60" s="43" t="s">
        <v>1255</v>
      </c>
      <c r="B60" s="51" t="s">
        <v>1249</v>
      </c>
      <c r="C60" s="55">
        <v>6.1</v>
      </c>
      <c r="D60" s="64" t="s">
        <v>1123</v>
      </c>
      <c r="E60" s="54" t="s">
        <v>1256</v>
      </c>
      <c r="F60" s="54"/>
    </row>
    <row r="61" spans="1:6" ht="34" x14ac:dyDescent="0.2">
      <c r="A61" s="43" t="s">
        <v>1257</v>
      </c>
      <c r="B61" s="51" t="s">
        <v>1245</v>
      </c>
      <c r="C61" s="55">
        <v>1.8504</v>
      </c>
      <c r="D61" s="64" t="s">
        <v>1196</v>
      </c>
      <c r="E61" s="54" t="s">
        <v>1258</v>
      </c>
      <c r="F61" s="54" t="s">
        <v>1259</v>
      </c>
    </row>
    <row r="62" spans="1:6" ht="34" x14ac:dyDescent="0.2">
      <c r="A62" s="43" t="s">
        <v>1260</v>
      </c>
      <c r="B62" s="51" t="s">
        <v>1249</v>
      </c>
      <c r="C62" s="55">
        <v>11.1022</v>
      </c>
      <c r="D62" s="64" t="s">
        <v>1196</v>
      </c>
      <c r="E62" s="54" t="s">
        <v>1261</v>
      </c>
      <c r="F62" s="54"/>
    </row>
    <row r="63" spans="1:6" ht="34" x14ac:dyDescent="0.2">
      <c r="A63" s="43" t="s">
        <v>1262</v>
      </c>
      <c r="B63" s="51" t="s">
        <v>1245</v>
      </c>
      <c r="C63" s="55">
        <v>3.7006999999999999</v>
      </c>
      <c r="D63" s="64" t="s">
        <v>1196</v>
      </c>
      <c r="E63" s="54" t="s">
        <v>1263</v>
      </c>
      <c r="F63" s="54" t="s">
        <v>1264</v>
      </c>
    </row>
    <row r="64" spans="1:6" ht="34" x14ac:dyDescent="0.2">
      <c r="A64" s="43" t="s">
        <v>1265</v>
      </c>
      <c r="B64" s="51" t="s">
        <v>1249</v>
      </c>
      <c r="C64" s="55">
        <v>22.204499999999999</v>
      </c>
      <c r="D64" s="64" t="s">
        <v>1196</v>
      </c>
      <c r="E64" s="54" t="s">
        <v>1266</v>
      </c>
      <c r="F64" s="54"/>
    </row>
    <row r="65" spans="1:6" ht="34" x14ac:dyDescent="0.2">
      <c r="A65" s="43" t="s">
        <v>1267</v>
      </c>
      <c r="B65" s="51" t="s">
        <v>1245</v>
      </c>
      <c r="C65" s="55">
        <v>7.4015000000000004</v>
      </c>
      <c r="D65" s="64" t="s">
        <v>1196</v>
      </c>
      <c r="E65" s="54" t="s">
        <v>1268</v>
      </c>
      <c r="F65" s="54" t="s">
        <v>1269</v>
      </c>
    </row>
    <row r="66" spans="1:6" ht="34" x14ac:dyDescent="0.2">
      <c r="A66" s="43" t="s">
        <v>1270</v>
      </c>
      <c r="B66" s="51" t="s">
        <v>1249</v>
      </c>
      <c r="C66" s="55">
        <v>37.0075</v>
      </c>
      <c r="D66" s="64" t="s">
        <v>1196</v>
      </c>
      <c r="E66" s="54" t="s">
        <v>1271</v>
      </c>
      <c r="F66" s="54"/>
    </row>
    <row r="67" spans="1:6" ht="17" x14ac:dyDescent="0.2">
      <c r="A67" s="43" t="s">
        <v>1272</v>
      </c>
      <c r="B67" s="51" t="s">
        <v>1245</v>
      </c>
      <c r="C67" s="52">
        <v>0.92520000000000002</v>
      </c>
      <c r="D67" s="64" t="s">
        <v>1196</v>
      </c>
      <c r="E67" s="54" t="s">
        <v>1273</v>
      </c>
      <c r="F67" s="54" t="s">
        <v>1274</v>
      </c>
    </row>
    <row r="68" spans="1:6" ht="17" x14ac:dyDescent="0.2">
      <c r="A68" s="43" t="s">
        <v>1275</v>
      </c>
      <c r="B68" s="51" t="s">
        <v>1249</v>
      </c>
      <c r="C68" s="55">
        <v>1.8504</v>
      </c>
      <c r="D68" s="64" t="s">
        <v>1196</v>
      </c>
      <c r="E68" s="54" t="s">
        <v>1276</v>
      </c>
      <c r="F68" s="54"/>
    </row>
    <row r="69" spans="1:6" ht="17" x14ac:dyDescent="0.2">
      <c r="A69" s="43" t="s">
        <v>1277</v>
      </c>
      <c r="B69" s="51" t="s">
        <v>1245</v>
      </c>
      <c r="C69" s="55">
        <v>1.4802999999999999</v>
      </c>
      <c r="D69" s="64" t="s">
        <v>1196</v>
      </c>
      <c r="E69" s="54" t="s">
        <v>1278</v>
      </c>
      <c r="F69" s="54" t="s">
        <v>1279</v>
      </c>
    </row>
    <row r="70" spans="1:6" ht="17" x14ac:dyDescent="0.2">
      <c r="A70" s="43" t="s">
        <v>1280</v>
      </c>
      <c r="B70" s="51" t="s">
        <v>1249</v>
      </c>
      <c r="C70" s="55">
        <v>4.4409000000000001</v>
      </c>
      <c r="D70" s="64" t="s">
        <v>1196</v>
      </c>
      <c r="E70" s="54" t="s">
        <v>1281</v>
      </c>
      <c r="F70" s="54"/>
    </row>
    <row r="71" spans="1:6" ht="34" x14ac:dyDescent="0.2">
      <c r="A71" s="43" t="s">
        <v>1282</v>
      </c>
      <c r="B71" s="51" t="s">
        <v>1283</v>
      </c>
      <c r="C71" s="52">
        <v>0.1</v>
      </c>
      <c r="D71" s="64" t="s">
        <v>1123</v>
      </c>
      <c r="E71" s="54" t="s">
        <v>1284</v>
      </c>
      <c r="F71" s="54" t="s">
        <v>1285</v>
      </c>
    </row>
    <row r="73" spans="1:6" ht="34" x14ac:dyDescent="0.2">
      <c r="A73" s="41" t="s">
        <v>1286</v>
      </c>
      <c r="B73" s="47"/>
      <c r="C73" s="47"/>
      <c r="D73" s="62"/>
      <c r="E73" s="48"/>
      <c r="F73" s="48"/>
    </row>
    <row r="74" spans="1:6" ht="17" x14ac:dyDescent="0.2">
      <c r="A74" s="42" t="s">
        <v>1116</v>
      </c>
      <c r="B74" s="49" t="s">
        <v>1117</v>
      </c>
      <c r="C74" s="49" t="s">
        <v>1118</v>
      </c>
      <c r="D74" s="63" t="s">
        <v>105</v>
      </c>
      <c r="E74" s="50" t="s">
        <v>1119</v>
      </c>
      <c r="F74" s="50" t="s">
        <v>1120</v>
      </c>
    </row>
    <row r="75" spans="1:6" ht="68" x14ac:dyDescent="0.2">
      <c r="A75" s="43" t="s">
        <v>1287</v>
      </c>
      <c r="B75" s="51" t="s">
        <v>1288</v>
      </c>
      <c r="C75" s="56">
        <v>575</v>
      </c>
      <c r="D75" s="64" t="s">
        <v>1123</v>
      </c>
      <c r="E75" s="54" t="s">
        <v>1289</v>
      </c>
      <c r="F75" s="54" t="s">
        <v>1290</v>
      </c>
    </row>
    <row r="76" spans="1:6" ht="68" x14ac:dyDescent="0.2">
      <c r="A76" s="43" t="s">
        <v>1291</v>
      </c>
      <c r="B76" s="51" t="s">
        <v>1292</v>
      </c>
      <c r="C76" s="57">
        <v>0</v>
      </c>
      <c r="D76" s="64" t="s">
        <v>128</v>
      </c>
      <c r="E76" s="54" t="s">
        <v>1293</v>
      </c>
      <c r="F76" s="54" t="s">
        <v>1294</v>
      </c>
    </row>
    <row r="78" spans="1:6" ht="34" x14ac:dyDescent="0.2">
      <c r="A78" s="41" t="s">
        <v>1295</v>
      </c>
      <c r="B78" s="47"/>
      <c r="C78" s="47"/>
      <c r="D78" s="62"/>
      <c r="E78" s="48"/>
      <c r="F78" s="48"/>
    </row>
    <row r="79" spans="1:6" ht="17" x14ac:dyDescent="0.2">
      <c r="A79" s="42" t="s">
        <v>1116</v>
      </c>
      <c r="B79" s="49" t="s">
        <v>1117</v>
      </c>
      <c r="C79" s="49" t="s">
        <v>1118</v>
      </c>
      <c r="D79" s="63" t="s">
        <v>105</v>
      </c>
      <c r="E79" s="50" t="s">
        <v>1119</v>
      </c>
      <c r="F79" s="50" t="s">
        <v>1120</v>
      </c>
    </row>
    <row r="80" spans="1:6" ht="34" x14ac:dyDescent="0.2">
      <c r="A80" s="43" t="s">
        <v>1296</v>
      </c>
      <c r="B80" s="51" t="s">
        <v>1297</v>
      </c>
      <c r="C80" s="57">
        <v>2.0000000000000002E-5</v>
      </c>
      <c r="D80" s="64" t="s">
        <v>1196</v>
      </c>
      <c r="E80" s="54" t="s">
        <v>1298</v>
      </c>
      <c r="F80" s="54" t="s">
        <v>1299</v>
      </c>
    </row>
    <row r="81" spans="1:6" ht="34" x14ac:dyDescent="0.2">
      <c r="A81" s="43" t="s">
        <v>1300</v>
      </c>
      <c r="B81" s="51" t="s">
        <v>1301</v>
      </c>
      <c r="C81" s="57">
        <v>2.5000000000000002E-6</v>
      </c>
      <c r="D81" s="64" t="s">
        <v>1196</v>
      </c>
      <c r="E81" s="54" t="s">
        <v>1302</v>
      </c>
      <c r="F81" s="54"/>
    </row>
    <row r="82" spans="1:6" ht="51" x14ac:dyDescent="0.2">
      <c r="A82" s="43" t="s">
        <v>1303</v>
      </c>
      <c r="B82" s="51" t="s">
        <v>1304</v>
      </c>
      <c r="C82" s="52">
        <v>4.2999999999999997E-2</v>
      </c>
      <c r="D82" s="64" t="s">
        <v>128</v>
      </c>
      <c r="E82" s="54" t="s">
        <v>1305</v>
      </c>
      <c r="F82" s="54" t="s">
        <v>1306</v>
      </c>
    </row>
    <row r="83" spans="1:6" ht="34" x14ac:dyDescent="0.2">
      <c r="A83" s="43" t="s">
        <v>1307</v>
      </c>
      <c r="B83" s="51" t="s">
        <v>1308</v>
      </c>
      <c r="C83" s="52">
        <v>8.4199999999999997E-2</v>
      </c>
      <c r="D83" s="64" t="s">
        <v>1123</v>
      </c>
      <c r="E83" s="54" t="s">
        <v>1309</v>
      </c>
      <c r="F83" s="54" t="s">
        <v>1310</v>
      </c>
    </row>
    <row r="84" spans="1:6" ht="34" x14ac:dyDescent="0.2">
      <c r="A84" s="43" t="s">
        <v>1311</v>
      </c>
      <c r="B84" s="51" t="s">
        <v>1312</v>
      </c>
      <c r="C84" s="52">
        <v>9.1000000000000004E-3</v>
      </c>
      <c r="D84" s="64" t="s">
        <v>1123</v>
      </c>
      <c r="E84" s="54" t="s">
        <v>1313</v>
      </c>
      <c r="F84" s="54" t="s">
        <v>1314</v>
      </c>
    </row>
    <row r="86" spans="1:6" ht="17" x14ac:dyDescent="0.2">
      <c r="A86" s="41" t="s">
        <v>1315</v>
      </c>
      <c r="B86" s="47"/>
      <c r="C86" s="47"/>
      <c r="D86" s="62"/>
      <c r="E86" s="48"/>
      <c r="F86" s="48"/>
    </row>
    <row r="87" spans="1:6" ht="17" x14ac:dyDescent="0.2">
      <c r="A87" s="42" t="s">
        <v>1116</v>
      </c>
      <c r="B87" s="49" t="s">
        <v>1117</v>
      </c>
      <c r="C87" s="49" t="s">
        <v>1118</v>
      </c>
      <c r="D87" s="63" t="s">
        <v>105</v>
      </c>
      <c r="E87" s="50" t="s">
        <v>1119</v>
      </c>
      <c r="F87" s="50" t="s">
        <v>1120</v>
      </c>
    </row>
    <row r="88" spans="1:6" ht="68" x14ac:dyDescent="0.2">
      <c r="A88" s="43" t="s">
        <v>1316</v>
      </c>
      <c r="B88" s="51" t="s">
        <v>1317</v>
      </c>
      <c r="C88" s="56">
        <v>95000</v>
      </c>
      <c r="D88" s="64" t="s">
        <v>128</v>
      </c>
      <c r="E88" s="54" t="s">
        <v>1318</v>
      </c>
      <c r="F88" s="54" t="s">
        <v>1319</v>
      </c>
    </row>
    <row r="90" spans="1:6" ht="34" x14ac:dyDescent="0.2">
      <c r="A90" s="41" t="s">
        <v>1320</v>
      </c>
      <c r="B90" s="47"/>
      <c r="C90" s="47"/>
      <c r="D90" s="62"/>
      <c r="E90" s="48"/>
      <c r="F90" s="48"/>
    </row>
    <row r="91" spans="1:6" ht="17" x14ac:dyDescent="0.2">
      <c r="A91" s="42" t="s">
        <v>1116</v>
      </c>
      <c r="B91" s="49" t="s">
        <v>1117</v>
      </c>
      <c r="C91" s="49" t="s">
        <v>1118</v>
      </c>
      <c r="D91" s="63" t="s">
        <v>105</v>
      </c>
      <c r="E91" s="50" t="s">
        <v>1119</v>
      </c>
      <c r="F91" s="50" t="s">
        <v>1120</v>
      </c>
    </row>
    <row r="92" spans="1:6" ht="34" x14ac:dyDescent="0.2">
      <c r="A92" s="43" t="s">
        <v>1321</v>
      </c>
      <c r="B92" s="51" t="s">
        <v>1288</v>
      </c>
      <c r="C92" s="56">
        <v>525</v>
      </c>
      <c r="D92" s="64" t="s">
        <v>1123</v>
      </c>
      <c r="E92" s="54" t="s">
        <v>1322</v>
      </c>
      <c r="F92" s="54" t="s">
        <v>1323</v>
      </c>
    </row>
    <row r="93" spans="1:6" ht="34" x14ac:dyDescent="0.2">
      <c r="A93" s="43" t="s">
        <v>1324</v>
      </c>
      <c r="B93" s="51" t="s">
        <v>1288</v>
      </c>
      <c r="C93" s="56">
        <v>525</v>
      </c>
      <c r="D93" s="64" t="s">
        <v>1123</v>
      </c>
      <c r="E93" s="54" t="s">
        <v>1325</v>
      </c>
      <c r="F93" s="54" t="s">
        <v>1326</v>
      </c>
    </row>
    <row r="94" spans="1:6" ht="34" x14ac:dyDescent="0.2">
      <c r="A94" s="43" t="s">
        <v>1327</v>
      </c>
      <c r="B94" s="51" t="s">
        <v>1288</v>
      </c>
      <c r="C94" s="56">
        <v>535</v>
      </c>
      <c r="D94" s="64" t="s">
        <v>1123</v>
      </c>
      <c r="E94" s="54" t="s">
        <v>1328</v>
      </c>
      <c r="F94" s="54" t="s">
        <v>1329</v>
      </c>
    </row>
    <row r="95" spans="1:6" ht="34" x14ac:dyDescent="0.2">
      <c r="A95" s="43" t="s">
        <v>1330</v>
      </c>
      <c r="B95" s="51" t="s">
        <v>1288</v>
      </c>
      <c r="C95" s="56">
        <v>550</v>
      </c>
      <c r="D95" s="64" t="s">
        <v>1123</v>
      </c>
      <c r="E95" s="54" t="s">
        <v>1331</v>
      </c>
      <c r="F95" s="54" t="s">
        <v>1332</v>
      </c>
    </row>
    <row r="96" spans="1:6" ht="34" x14ac:dyDescent="0.2">
      <c r="A96" s="43" t="s">
        <v>1333</v>
      </c>
      <c r="B96" s="51" t="s">
        <v>1288</v>
      </c>
      <c r="C96" s="56">
        <v>625</v>
      </c>
      <c r="D96" s="64" t="s">
        <v>1123</v>
      </c>
      <c r="E96" s="54" t="s">
        <v>1334</v>
      </c>
      <c r="F96" s="54" t="s">
        <v>1335</v>
      </c>
    </row>
    <row r="97" spans="1:6" ht="51" x14ac:dyDescent="0.2">
      <c r="A97" s="43" t="s">
        <v>1336</v>
      </c>
      <c r="B97" s="51" t="s">
        <v>1288</v>
      </c>
      <c r="C97" s="56">
        <v>535</v>
      </c>
      <c r="D97" s="64" t="s">
        <v>1123</v>
      </c>
      <c r="E97" s="54" t="s">
        <v>1337</v>
      </c>
      <c r="F97" s="54" t="s">
        <v>1338</v>
      </c>
    </row>
    <row r="98" spans="1:6" ht="51" x14ac:dyDescent="0.2">
      <c r="A98" s="43" t="s">
        <v>1339</v>
      </c>
      <c r="B98" s="51" t="s">
        <v>1288</v>
      </c>
      <c r="C98" s="56">
        <v>431</v>
      </c>
      <c r="D98" s="64" t="s">
        <v>1123</v>
      </c>
      <c r="E98" s="54" t="s">
        <v>1340</v>
      </c>
      <c r="F98" s="54" t="s">
        <v>1341</v>
      </c>
    </row>
    <row r="99" spans="1:6" ht="34" x14ac:dyDescent="0.2">
      <c r="A99" s="43" t="s">
        <v>1342</v>
      </c>
      <c r="B99" s="51" t="s">
        <v>1288</v>
      </c>
      <c r="C99" s="56">
        <v>515</v>
      </c>
      <c r="D99" s="64" t="s">
        <v>1123</v>
      </c>
      <c r="E99" s="54" t="s">
        <v>1343</v>
      </c>
      <c r="F99" s="54" t="s">
        <v>1344</v>
      </c>
    </row>
    <row r="100" spans="1:6" ht="34" x14ac:dyDescent="0.2">
      <c r="A100" s="43" t="s">
        <v>1345</v>
      </c>
      <c r="B100" s="51" t="s">
        <v>1288</v>
      </c>
      <c r="C100" s="56">
        <v>500</v>
      </c>
      <c r="D100" s="64" t="s">
        <v>1123</v>
      </c>
      <c r="E100" s="54" t="s">
        <v>1346</v>
      </c>
      <c r="F100" s="54" t="s">
        <v>1347</v>
      </c>
    </row>
    <row r="101" spans="1:6" ht="34" x14ac:dyDescent="0.2">
      <c r="A101" s="43" t="s">
        <v>1348</v>
      </c>
      <c r="B101" s="51" t="s">
        <v>1288</v>
      </c>
      <c r="C101" s="56">
        <v>500</v>
      </c>
      <c r="D101" s="64" t="s">
        <v>1123</v>
      </c>
      <c r="E101" s="54" t="s">
        <v>1349</v>
      </c>
      <c r="F101" s="54" t="s">
        <v>1350</v>
      </c>
    </row>
    <row r="102" spans="1:6" ht="68" x14ac:dyDescent="0.2">
      <c r="A102" s="43" t="s">
        <v>1351</v>
      </c>
      <c r="B102" s="51" t="s">
        <v>1288</v>
      </c>
      <c r="C102" s="58">
        <f>DayRate</f>
        <v>850</v>
      </c>
      <c r="D102" s="64" t="s">
        <v>128</v>
      </c>
      <c r="E102" s="54" t="s">
        <v>1352</v>
      </c>
      <c r="F102" s="54" t="s">
        <v>1353</v>
      </c>
    </row>
    <row r="104" spans="1:6" ht="17" x14ac:dyDescent="0.2">
      <c r="A104" s="41" t="s">
        <v>1354</v>
      </c>
      <c r="B104" s="47"/>
      <c r="C104" s="47"/>
      <c r="D104" s="62"/>
      <c r="E104" s="48"/>
      <c r="F104" s="48"/>
    </row>
    <row r="105" spans="1:6" ht="17" x14ac:dyDescent="0.2">
      <c r="A105" s="42" t="s">
        <v>1116</v>
      </c>
      <c r="B105" s="49" t="s">
        <v>1117</v>
      </c>
      <c r="C105" s="49" t="s">
        <v>1118</v>
      </c>
      <c r="D105" s="63" t="s">
        <v>105</v>
      </c>
      <c r="E105" s="50" t="s">
        <v>1119</v>
      </c>
      <c r="F105" s="50" t="s">
        <v>1120</v>
      </c>
    </row>
    <row r="106" spans="1:6" ht="68" x14ac:dyDescent="0.2">
      <c r="A106" s="43" t="s">
        <v>1355</v>
      </c>
      <c r="B106" s="51" t="s">
        <v>1356</v>
      </c>
      <c r="C106" s="56">
        <v>950</v>
      </c>
      <c r="D106" s="64" t="s">
        <v>1123</v>
      </c>
      <c r="E106" s="54" t="s">
        <v>1357</v>
      </c>
      <c r="F106" s="54" t="s">
        <v>1358</v>
      </c>
    </row>
    <row r="107" spans="1:6" ht="85" x14ac:dyDescent="0.2">
      <c r="A107" s="43" t="s">
        <v>1359</v>
      </c>
      <c r="B107" s="51" t="s">
        <v>1288</v>
      </c>
      <c r="C107" s="56">
        <v>550</v>
      </c>
      <c r="D107" s="64" t="s">
        <v>1123</v>
      </c>
      <c r="E107" s="54" t="s">
        <v>1360</v>
      </c>
      <c r="F107" s="54" t="s">
        <v>1361</v>
      </c>
    </row>
    <row r="108" spans="1:6" ht="68" x14ac:dyDescent="0.2">
      <c r="A108" s="43" t="s">
        <v>1362</v>
      </c>
      <c r="B108" s="51" t="s">
        <v>1288</v>
      </c>
      <c r="C108" s="56">
        <v>1650</v>
      </c>
      <c r="D108" s="64" t="s">
        <v>1123</v>
      </c>
      <c r="E108" s="54" t="s">
        <v>1360</v>
      </c>
      <c r="F108" s="54" t="s">
        <v>1363</v>
      </c>
    </row>
    <row r="110" spans="1:6" ht="17" x14ac:dyDescent="0.2">
      <c r="A110" s="41" t="s">
        <v>1364</v>
      </c>
      <c r="B110" s="47"/>
      <c r="C110" s="47"/>
      <c r="D110" s="62"/>
      <c r="E110" s="48"/>
      <c r="F110" s="48"/>
    </row>
    <row r="111" spans="1:6" ht="17" x14ac:dyDescent="0.2">
      <c r="A111" s="42" t="s">
        <v>1116</v>
      </c>
      <c r="B111" s="49" t="s">
        <v>1117</v>
      </c>
      <c r="C111" s="49" t="s">
        <v>1118</v>
      </c>
      <c r="D111" s="63" t="s">
        <v>105</v>
      </c>
      <c r="E111" s="50" t="s">
        <v>1119</v>
      </c>
      <c r="F111" s="50" t="s">
        <v>1120</v>
      </c>
    </row>
    <row r="112" spans="1:6" ht="68" x14ac:dyDescent="0.2">
      <c r="A112" s="43" t="s">
        <v>1365</v>
      </c>
      <c r="B112" s="51" t="s">
        <v>1366</v>
      </c>
      <c r="C112" s="55">
        <v>33.5</v>
      </c>
      <c r="D112" s="64" t="s">
        <v>1123</v>
      </c>
      <c r="E112" s="54" t="s">
        <v>1367</v>
      </c>
      <c r="F112" s="54" t="s">
        <v>1368</v>
      </c>
    </row>
    <row r="113" spans="1:6" ht="34" x14ac:dyDescent="0.2">
      <c r="A113" s="43" t="s">
        <v>1369</v>
      </c>
      <c r="B113" s="51" t="s">
        <v>1366</v>
      </c>
      <c r="C113" s="55">
        <v>51.6</v>
      </c>
      <c r="D113" s="64" t="s">
        <v>1123</v>
      </c>
      <c r="E113" s="54" t="s">
        <v>1370</v>
      </c>
      <c r="F113" s="54" t="s">
        <v>1371</v>
      </c>
    </row>
    <row r="114" spans="1:6" ht="51" x14ac:dyDescent="0.2">
      <c r="A114" s="43" t="s">
        <v>1372</v>
      </c>
      <c r="B114" s="51" t="s">
        <v>1373</v>
      </c>
      <c r="C114" s="55">
        <v>23.1</v>
      </c>
      <c r="D114" s="64" t="s">
        <v>1123</v>
      </c>
      <c r="E114" s="54" t="s">
        <v>1374</v>
      </c>
      <c r="F114" s="54" t="s">
        <v>1375</v>
      </c>
    </row>
    <row r="115" spans="1:6" ht="34" x14ac:dyDescent="0.2">
      <c r="A115" s="43" t="s">
        <v>1376</v>
      </c>
      <c r="B115" s="51" t="s">
        <v>1366</v>
      </c>
      <c r="C115" s="55">
        <v>5.4</v>
      </c>
      <c r="D115" s="64" t="s">
        <v>1123</v>
      </c>
      <c r="E115" s="54" t="s">
        <v>1377</v>
      </c>
      <c r="F115" s="54" t="s">
        <v>1378</v>
      </c>
    </row>
    <row r="116" spans="1:6" ht="34" x14ac:dyDescent="0.2">
      <c r="A116" s="43" t="s">
        <v>1379</v>
      </c>
      <c r="B116" s="51" t="s">
        <v>1366</v>
      </c>
      <c r="C116" s="55">
        <v>7.7</v>
      </c>
      <c r="D116" s="64" t="s">
        <v>1123</v>
      </c>
      <c r="E116" s="54" t="s">
        <v>1380</v>
      </c>
      <c r="F116" s="54" t="s">
        <v>1381</v>
      </c>
    </row>
    <row r="117" spans="1:6" ht="34" x14ac:dyDescent="0.2">
      <c r="A117" s="43" t="s">
        <v>1382</v>
      </c>
      <c r="B117" s="51" t="s">
        <v>1383</v>
      </c>
      <c r="C117" s="55">
        <v>10.8</v>
      </c>
      <c r="D117" s="64" t="s">
        <v>1123</v>
      </c>
      <c r="E117" s="54" t="s">
        <v>1384</v>
      </c>
      <c r="F117" s="54" t="s">
        <v>1385</v>
      </c>
    </row>
    <row r="118" spans="1:6" ht="85" x14ac:dyDescent="0.2">
      <c r="A118" s="43" t="s">
        <v>1386</v>
      </c>
      <c r="B118" s="51" t="s">
        <v>1387</v>
      </c>
      <c r="C118" s="55">
        <v>74.02</v>
      </c>
      <c r="D118" s="64" t="s">
        <v>1196</v>
      </c>
      <c r="E118" s="54" t="s">
        <v>1388</v>
      </c>
      <c r="F118" s="54" t="s">
        <v>1389</v>
      </c>
    </row>
    <row r="119" spans="1:6" ht="51" x14ac:dyDescent="0.2">
      <c r="A119" s="43" t="s">
        <v>1390</v>
      </c>
      <c r="B119" s="51" t="s">
        <v>1391</v>
      </c>
      <c r="C119" s="57">
        <v>0</v>
      </c>
      <c r="D119" s="64" t="s">
        <v>1220</v>
      </c>
      <c r="E119" s="54" t="s">
        <v>1392</v>
      </c>
      <c r="F119" s="54" t="s">
        <v>1393</v>
      </c>
    </row>
    <row r="120" spans="1:6" ht="34" x14ac:dyDescent="0.2">
      <c r="A120" s="43" t="s">
        <v>1394</v>
      </c>
      <c r="B120" s="51" t="s">
        <v>1391</v>
      </c>
      <c r="C120" s="57">
        <v>0</v>
      </c>
      <c r="D120" s="64" t="s">
        <v>1220</v>
      </c>
      <c r="E120" s="54" t="s">
        <v>1392</v>
      </c>
      <c r="F120" s="54" t="s">
        <v>1395</v>
      </c>
    </row>
    <row r="121" spans="1:6" ht="68" x14ac:dyDescent="0.2">
      <c r="A121" s="43" t="s">
        <v>1396</v>
      </c>
      <c r="B121" s="51" t="s">
        <v>1391</v>
      </c>
      <c r="C121" s="57">
        <v>0</v>
      </c>
      <c r="D121" s="64" t="s">
        <v>1220</v>
      </c>
      <c r="E121" s="54" t="s">
        <v>1392</v>
      </c>
      <c r="F121" s="54" t="s">
        <v>1397</v>
      </c>
    </row>
    <row r="122" spans="1:6" ht="34" x14ac:dyDescent="0.2">
      <c r="A122" s="43" t="s">
        <v>1398</v>
      </c>
      <c r="B122" s="51" t="s">
        <v>1391</v>
      </c>
      <c r="C122" s="57">
        <v>0</v>
      </c>
      <c r="D122" s="64" t="s">
        <v>1220</v>
      </c>
      <c r="E122" s="54" t="s">
        <v>1392</v>
      </c>
      <c r="F122" s="54" t="s">
        <v>1395</v>
      </c>
    </row>
    <row r="124" spans="1:6" ht="17" x14ac:dyDescent="0.2">
      <c r="A124" s="41" t="s">
        <v>1399</v>
      </c>
      <c r="B124" s="47"/>
      <c r="C124" s="47"/>
      <c r="D124" s="62"/>
      <c r="E124" s="48"/>
      <c r="F124" s="48"/>
    </row>
    <row r="125" spans="1:6" ht="17" x14ac:dyDescent="0.2">
      <c r="A125" s="42" t="s">
        <v>1116</v>
      </c>
      <c r="B125" s="49" t="s">
        <v>1117</v>
      </c>
      <c r="C125" s="49" t="s">
        <v>1118</v>
      </c>
      <c r="D125" s="63" t="s">
        <v>105</v>
      </c>
      <c r="E125" s="50" t="s">
        <v>1119</v>
      </c>
      <c r="F125" s="50" t="s">
        <v>1120</v>
      </c>
    </row>
    <row r="126" spans="1:6" ht="68" x14ac:dyDescent="0.2">
      <c r="A126" s="43" t="s">
        <v>1400</v>
      </c>
      <c r="B126" s="51" t="s">
        <v>1288</v>
      </c>
      <c r="C126" s="56">
        <v>950</v>
      </c>
      <c r="D126" s="64" t="s">
        <v>121</v>
      </c>
      <c r="E126" s="54" t="s">
        <v>1401</v>
      </c>
      <c r="F126" s="54" t="s">
        <v>1402</v>
      </c>
    </row>
    <row r="127" spans="1:6" ht="68" x14ac:dyDescent="0.2">
      <c r="A127" s="43" t="s">
        <v>1403</v>
      </c>
      <c r="B127" s="51" t="s">
        <v>1391</v>
      </c>
      <c r="C127" s="57">
        <v>0</v>
      </c>
      <c r="D127" s="64" t="s">
        <v>1220</v>
      </c>
      <c r="E127" s="54" t="s">
        <v>1392</v>
      </c>
      <c r="F127" s="54" t="s">
        <v>1404</v>
      </c>
    </row>
    <row r="129" spans="1:6" ht="17" x14ac:dyDescent="0.2">
      <c r="A129" s="41" t="s">
        <v>1405</v>
      </c>
      <c r="B129" s="47"/>
      <c r="C129" s="47"/>
      <c r="D129" s="62"/>
      <c r="E129" s="48"/>
      <c r="F129" s="48"/>
    </row>
    <row r="130" spans="1:6" ht="17" x14ac:dyDescent="0.2">
      <c r="A130" s="42" t="s">
        <v>1116</v>
      </c>
      <c r="B130" s="49" t="s">
        <v>1117</v>
      </c>
      <c r="C130" s="49" t="s">
        <v>1118</v>
      </c>
      <c r="D130" s="63" t="s">
        <v>105</v>
      </c>
      <c r="E130" s="50" t="s">
        <v>1119</v>
      </c>
      <c r="F130" s="50" t="s">
        <v>1120</v>
      </c>
    </row>
    <row r="131" spans="1:6" ht="68" x14ac:dyDescent="0.2">
      <c r="A131" s="43" t="s">
        <v>1406</v>
      </c>
      <c r="B131" s="51" t="s">
        <v>1245</v>
      </c>
      <c r="C131" s="55">
        <v>1.9</v>
      </c>
      <c r="D131" s="64" t="s">
        <v>1123</v>
      </c>
      <c r="E131" s="54" t="s">
        <v>1407</v>
      </c>
      <c r="F131" s="54" t="s">
        <v>1408</v>
      </c>
    </row>
    <row r="132" spans="1:6" ht="34" x14ac:dyDescent="0.2">
      <c r="A132" s="43" t="s">
        <v>1409</v>
      </c>
      <c r="B132" s="51" t="s">
        <v>1249</v>
      </c>
      <c r="C132" s="55">
        <v>7.6</v>
      </c>
      <c r="D132" s="64" t="s">
        <v>1123</v>
      </c>
      <c r="E132" s="54" t="s">
        <v>1410</v>
      </c>
      <c r="F132" s="54" t="s">
        <v>1411</v>
      </c>
    </row>
    <row r="133" spans="1:6" ht="68" x14ac:dyDescent="0.2">
      <c r="A133" s="43" t="s">
        <v>1412</v>
      </c>
      <c r="B133" s="51" t="s">
        <v>1413</v>
      </c>
      <c r="C133" s="57">
        <v>0</v>
      </c>
      <c r="D133" s="64" t="s">
        <v>1220</v>
      </c>
      <c r="E133" s="54" t="s">
        <v>1414</v>
      </c>
      <c r="F133" s="54" t="s">
        <v>1415</v>
      </c>
    </row>
  </sheetData>
  <mergeCells count="1">
    <mergeCell ref="A2:F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1"/>
  <sheetViews>
    <sheetView showGridLines="0" workbookViewId="0">
      <pane ySplit="4" topLeftCell="A5" activePane="bottomLeft" state="frozen"/>
      <selection pane="bottomLeft" activeCell="K7" sqref="K7"/>
    </sheetView>
  </sheetViews>
  <sheetFormatPr baseColWidth="10" defaultColWidth="8.83203125" defaultRowHeight="15" x14ac:dyDescent="0.2"/>
  <cols>
    <col min="1" max="1" width="44" style="60" customWidth="1"/>
    <col min="2" max="2" width="10" style="60" customWidth="1"/>
    <col min="3" max="3" width="30" style="60" customWidth="1"/>
    <col min="4" max="7" width="10" style="60" customWidth="1"/>
    <col min="8" max="8" width="12" style="60" customWidth="1"/>
    <col min="9" max="9" width="14" style="60" customWidth="1"/>
    <col min="10" max="10" width="17" style="60" customWidth="1"/>
    <col min="11" max="11" width="100" style="60" customWidth="1"/>
    <col min="12" max="12" width="9" customWidth="1"/>
  </cols>
  <sheetData>
    <row r="1" spans="1:12" ht="38" x14ac:dyDescent="0.2">
      <c r="A1" s="46" t="s">
        <v>1416</v>
      </c>
      <c r="B1" s="46"/>
      <c r="C1" s="46"/>
      <c r="D1" s="46"/>
      <c r="E1" s="46"/>
      <c r="F1" s="46"/>
      <c r="G1" s="46"/>
      <c r="H1" s="46"/>
      <c r="I1" s="46"/>
      <c r="J1" s="46"/>
      <c r="K1" s="46"/>
    </row>
    <row r="2" spans="1:12" x14ac:dyDescent="0.2">
      <c r="A2" s="80" t="str">
        <f>"Scenario: effort = "&amp;EffortBasis&amp;" · HCL = "&amp;HCL_Toggle&amp;" · platform = "&amp;Platform&amp;" · sku = "&amp;ModelSKU&amp;" · agents = "&amp;AgentStack&amp;" · obs = "&amp;Observability&amp;" · envs = "&amp;EnvCount&amp;" · clusters = "&amp;ClusterCount&amp;" · node size = "&amp;NodeSize&amp;" · day rate £"&amp;TEXT(DayRate,"#,##0")&amp;" · slip = "&amp;SlipWeeks&amp;" wk · overlap = "&amp;OverlapWeeks&amp;" wk"</f>
        <v>Scenario: effort = Likely · HCL = Include · platform = AKS · sku = GPT-4o · agents = Exclude · obs = Azure · envs = 4 · clusters = Single · node size = M · day rate £850 · slip = 0 wk · overlap = 0 wk</v>
      </c>
      <c r="B2" s="81"/>
      <c r="C2" s="81"/>
      <c r="D2" s="81"/>
      <c r="E2" s="81"/>
      <c r="F2" s="81"/>
      <c r="G2" s="81"/>
      <c r="H2" s="81"/>
      <c r="I2" s="81"/>
      <c r="J2" s="81"/>
      <c r="K2" s="81"/>
    </row>
    <row r="4" spans="1:12" ht="85" x14ac:dyDescent="0.2">
      <c r="A4" s="48" t="s">
        <v>1417</v>
      </c>
      <c r="B4" s="48"/>
      <c r="C4" s="48"/>
      <c r="D4" s="48"/>
      <c r="E4" s="48"/>
      <c r="F4" s="48"/>
      <c r="G4" s="48"/>
      <c r="H4" s="48"/>
      <c r="I4" s="48"/>
      <c r="J4" s="48"/>
      <c r="K4" s="48"/>
    </row>
    <row r="5" spans="1:12" ht="34" x14ac:dyDescent="0.2">
      <c r="A5" s="50" t="s">
        <v>1418</v>
      </c>
      <c r="B5" s="50" t="s">
        <v>104</v>
      </c>
      <c r="C5" s="50" t="s">
        <v>1419</v>
      </c>
      <c r="D5" s="50" t="s">
        <v>1420</v>
      </c>
      <c r="E5" s="50" t="s">
        <v>1421</v>
      </c>
      <c r="F5" s="50" t="s">
        <v>1422</v>
      </c>
      <c r="G5" s="50" t="s">
        <v>1423</v>
      </c>
      <c r="H5" s="50" t="s">
        <v>1424</v>
      </c>
      <c r="I5" s="50" t="s">
        <v>1425</v>
      </c>
      <c r="J5" s="50" t="s">
        <v>105</v>
      </c>
      <c r="K5" s="50" t="s">
        <v>113</v>
      </c>
      <c r="L5" s="5" t="s">
        <v>1426</v>
      </c>
    </row>
    <row r="6" spans="1:12" ht="51" x14ac:dyDescent="0.2">
      <c r="A6" s="68" t="s">
        <v>1427</v>
      </c>
      <c r="B6" s="69" t="s">
        <v>55</v>
      </c>
      <c r="C6" s="69" t="s">
        <v>1428</v>
      </c>
      <c r="D6" s="82">
        <v>20</v>
      </c>
      <c r="E6" s="82">
        <v>25</v>
      </c>
      <c r="F6" s="82">
        <v>30</v>
      </c>
      <c r="G6" s="83">
        <f>CHOOSE(MATCH(EffortBasis,{"Low","Likely","High"},0),D6,E6,F6)</f>
        <v>25</v>
      </c>
      <c r="H6" s="84">
        <f>Rates!$C$96</f>
        <v>625</v>
      </c>
      <c r="I6" s="85">
        <f>G6*Rates!$C$96</f>
        <v>15625</v>
      </c>
      <c r="J6" s="86" t="s">
        <v>128</v>
      </c>
      <c r="K6" s="54" t="s">
        <v>1429</v>
      </c>
      <c r="L6" s="6" t="s">
        <v>1430</v>
      </c>
    </row>
    <row r="7" spans="1:12" ht="51" x14ac:dyDescent="0.2">
      <c r="A7" s="68" t="s">
        <v>1431</v>
      </c>
      <c r="B7" s="69" t="s">
        <v>55</v>
      </c>
      <c r="C7" s="69" t="s">
        <v>1432</v>
      </c>
      <c r="D7" s="82">
        <v>10</v>
      </c>
      <c r="E7" s="82">
        <v>15</v>
      </c>
      <c r="F7" s="82">
        <v>25</v>
      </c>
      <c r="G7" s="83">
        <f>CHOOSE(MATCH(EffortBasis,{"Low","Likely","High"},0),D7,E7,F7)</f>
        <v>15</v>
      </c>
      <c r="H7" s="84">
        <f>Rates!$C$92</f>
        <v>525</v>
      </c>
      <c r="I7" s="85">
        <f>G7*Rates!$C$92</f>
        <v>7875</v>
      </c>
      <c r="J7" s="86" t="s">
        <v>128</v>
      </c>
      <c r="K7" s="54" t="s">
        <v>1433</v>
      </c>
      <c r="L7" s="6" t="s">
        <v>1430</v>
      </c>
    </row>
    <row r="8" spans="1:12" ht="34" x14ac:dyDescent="0.2">
      <c r="A8" s="68" t="s">
        <v>1434</v>
      </c>
      <c r="B8" s="69" t="s">
        <v>55</v>
      </c>
      <c r="C8" s="69" t="s">
        <v>1435</v>
      </c>
      <c r="D8" s="82">
        <v>5</v>
      </c>
      <c r="E8" s="82">
        <v>10</v>
      </c>
      <c r="F8" s="82">
        <v>15</v>
      </c>
      <c r="G8" s="83">
        <f>CHOOSE(MATCH(EffortBasis,{"Low","Likely","High"},0),D8,E8,F8)</f>
        <v>10</v>
      </c>
      <c r="H8" s="84">
        <f>Rates!$C$95</f>
        <v>550</v>
      </c>
      <c r="I8" s="85">
        <f>G8*Rates!$C$95</f>
        <v>5500</v>
      </c>
      <c r="J8" s="86" t="s">
        <v>128</v>
      </c>
      <c r="K8" s="54" t="s">
        <v>1436</v>
      </c>
      <c r="L8" s="6" t="s">
        <v>1430</v>
      </c>
    </row>
    <row r="9" spans="1:12" ht="34" x14ac:dyDescent="0.2">
      <c r="A9" s="68" t="s">
        <v>1437</v>
      </c>
      <c r="B9" s="69" t="s">
        <v>55</v>
      </c>
      <c r="C9" s="69" t="s">
        <v>1435</v>
      </c>
      <c r="D9" s="82">
        <v>5</v>
      </c>
      <c r="E9" s="82">
        <v>10</v>
      </c>
      <c r="F9" s="82">
        <v>15</v>
      </c>
      <c r="G9" s="83">
        <f>CHOOSE(MATCH(EffortBasis,{"Low","Likely","High"},0),D9,E9,F9)</f>
        <v>10</v>
      </c>
      <c r="H9" s="84">
        <f>Rates!$C$100</f>
        <v>500</v>
      </c>
      <c r="I9" s="85">
        <f>G9*Rates!$C$100</f>
        <v>5000</v>
      </c>
      <c r="J9" s="86" t="s">
        <v>128</v>
      </c>
      <c r="K9" s="54" t="s">
        <v>1438</v>
      </c>
      <c r="L9" s="6" t="s">
        <v>1430</v>
      </c>
    </row>
    <row r="10" spans="1:12" ht="51" x14ac:dyDescent="0.2">
      <c r="A10" s="68" t="s">
        <v>1439</v>
      </c>
      <c r="B10" s="69" t="s">
        <v>55</v>
      </c>
      <c r="C10" s="69" t="s">
        <v>1435</v>
      </c>
      <c r="D10" s="82">
        <v>5</v>
      </c>
      <c r="E10" s="82">
        <v>10</v>
      </c>
      <c r="F10" s="82">
        <v>15</v>
      </c>
      <c r="G10" s="83">
        <f>CHOOSE(MATCH(EffortBasis,{"Low","Likely","High"},0),D10,E10,F10)</f>
        <v>10</v>
      </c>
      <c r="H10" s="84">
        <f>Rates!$C$101</f>
        <v>500</v>
      </c>
      <c r="I10" s="85">
        <f>G10*Rates!$C$101</f>
        <v>5000</v>
      </c>
      <c r="J10" s="86" t="s">
        <v>128</v>
      </c>
      <c r="K10" s="54" t="s">
        <v>1440</v>
      </c>
      <c r="L10" s="6" t="s">
        <v>1430</v>
      </c>
    </row>
    <row r="11" spans="1:12" ht="34" x14ac:dyDescent="0.2">
      <c r="A11" s="68" t="s">
        <v>1441</v>
      </c>
      <c r="B11" s="69" t="s">
        <v>55</v>
      </c>
      <c r="C11" s="69" t="s">
        <v>1428</v>
      </c>
      <c r="D11" s="82">
        <v>15</v>
      </c>
      <c r="E11" s="82">
        <v>25</v>
      </c>
      <c r="F11" s="82">
        <v>30</v>
      </c>
      <c r="G11" s="83">
        <f>CHOOSE(MATCH(EffortBasis,{"Low","Likely","High"},0),D11,E11,F11)</f>
        <v>25</v>
      </c>
      <c r="H11" s="84">
        <f>Rates!$C$97</f>
        <v>535</v>
      </c>
      <c r="I11" s="85">
        <f>G11*Rates!$C$97</f>
        <v>13375</v>
      </c>
      <c r="J11" s="86" t="s">
        <v>128</v>
      </c>
      <c r="K11" s="54" t="s">
        <v>1442</v>
      </c>
      <c r="L11" s="6" t="s">
        <v>1430</v>
      </c>
    </row>
    <row r="12" spans="1:12" ht="51" x14ac:dyDescent="0.2">
      <c r="A12" s="68" t="s">
        <v>1443</v>
      </c>
      <c r="B12" s="69" t="s">
        <v>56</v>
      </c>
      <c r="C12" s="69" t="s">
        <v>1432</v>
      </c>
      <c r="D12" s="82">
        <v>10</v>
      </c>
      <c r="E12" s="82">
        <v>15</v>
      </c>
      <c r="F12" s="82">
        <v>25</v>
      </c>
      <c r="G12" s="83">
        <f>CHOOSE(MATCH(EffortBasis,{"Low","Likely","High"},0),D12,E12,F12)</f>
        <v>15</v>
      </c>
      <c r="H12" s="84">
        <f>Rates!$C$106</f>
        <v>950</v>
      </c>
      <c r="I12" s="87">
        <f>IF(HCL_Toggle="Include",G12*Rates!$C$106,0)</f>
        <v>14250</v>
      </c>
      <c r="J12" s="86" t="s">
        <v>1196</v>
      </c>
      <c r="K12" s="54" t="s">
        <v>1444</v>
      </c>
      <c r="L12" s="6" t="s">
        <v>1430</v>
      </c>
    </row>
    <row r="13" spans="1:12" ht="51" x14ac:dyDescent="0.2">
      <c r="A13" s="68" t="s">
        <v>1445</v>
      </c>
      <c r="B13" s="69" t="s">
        <v>58</v>
      </c>
      <c r="C13" s="69" t="s">
        <v>1446</v>
      </c>
      <c r="D13" s="82">
        <v>1</v>
      </c>
      <c r="E13" s="82">
        <v>1</v>
      </c>
      <c r="F13" s="82">
        <v>1</v>
      </c>
      <c r="G13" s="83">
        <f>E13</f>
        <v>1</v>
      </c>
      <c r="H13" s="88">
        <v>0</v>
      </c>
      <c r="I13" s="85">
        <f>G13*H13</f>
        <v>0</v>
      </c>
      <c r="J13" s="86" t="s">
        <v>1220</v>
      </c>
      <c r="K13" s="54" t="s">
        <v>1447</v>
      </c>
      <c r="L13" s="6" t="s">
        <v>1448</v>
      </c>
    </row>
    <row r="14" spans="1:12" ht="51" x14ac:dyDescent="0.2">
      <c r="A14" s="68" t="s">
        <v>1449</v>
      </c>
      <c r="B14" s="69" t="s">
        <v>58</v>
      </c>
      <c r="C14" s="69" t="s">
        <v>1446</v>
      </c>
      <c r="D14" s="82">
        <v>1</v>
      </c>
      <c r="E14" s="82">
        <v>1</v>
      </c>
      <c r="F14" s="82">
        <v>1</v>
      </c>
      <c r="G14" s="83">
        <f>E14</f>
        <v>1</v>
      </c>
      <c r="H14" s="88">
        <v>0</v>
      </c>
      <c r="I14" s="85">
        <f>G14*H14</f>
        <v>0</v>
      </c>
      <c r="J14" s="86" t="s">
        <v>1220</v>
      </c>
      <c r="K14" s="54" t="s">
        <v>1450</v>
      </c>
      <c r="L14" s="6" t="s">
        <v>1448</v>
      </c>
    </row>
    <row r="15" spans="1:12" ht="17" x14ac:dyDescent="0.2">
      <c r="A15" s="89" t="s">
        <v>1451</v>
      </c>
      <c r="I15" s="90">
        <f>SUM(I6:I14)</f>
        <v>66625</v>
      </c>
    </row>
    <row r="17" spans="1:12" ht="136" x14ac:dyDescent="0.2">
      <c r="A17" s="48" t="s">
        <v>1452</v>
      </c>
      <c r="B17" s="48"/>
      <c r="C17" s="48"/>
      <c r="D17" s="48"/>
      <c r="E17" s="48"/>
      <c r="F17" s="48"/>
      <c r="G17" s="48"/>
      <c r="H17" s="48"/>
      <c r="I17" s="48"/>
      <c r="J17" s="48"/>
      <c r="K17" s="48"/>
    </row>
    <row r="18" spans="1:12" ht="34" x14ac:dyDescent="0.2">
      <c r="A18" s="50" t="s">
        <v>1418</v>
      </c>
      <c r="B18" s="50" t="s">
        <v>104</v>
      </c>
      <c r="C18" s="50" t="s">
        <v>1419</v>
      </c>
      <c r="D18" s="50" t="s">
        <v>1420</v>
      </c>
      <c r="E18" s="50" t="s">
        <v>1421</v>
      </c>
      <c r="F18" s="50" t="s">
        <v>1422</v>
      </c>
      <c r="G18" s="50" t="s">
        <v>1423</v>
      </c>
      <c r="H18" s="50" t="s">
        <v>1424</v>
      </c>
      <c r="I18" s="50" t="s">
        <v>1425</v>
      </c>
      <c r="J18" s="50" t="s">
        <v>105</v>
      </c>
      <c r="K18" s="50" t="s">
        <v>113</v>
      </c>
      <c r="L18" s="5" t="s">
        <v>1426</v>
      </c>
    </row>
    <row r="19" spans="1:12" ht="51" x14ac:dyDescent="0.2">
      <c r="A19" s="68" t="s">
        <v>1453</v>
      </c>
      <c r="B19" s="69" t="s">
        <v>55</v>
      </c>
      <c r="C19" s="69" t="s">
        <v>1454</v>
      </c>
      <c r="D19" s="82">
        <v>80</v>
      </c>
      <c r="E19" s="82">
        <v>100</v>
      </c>
      <c r="F19" s="82">
        <v>130</v>
      </c>
      <c r="G19" s="83">
        <f>CHOOSE(MATCH(EffortBasis,{"Low","Likely","High"},0),D19,E19,F19)</f>
        <v>100</v>
      </c>
      <c r="H19" s="84">
        <f>Rates!$C$92</f>
        <v>525</v>
      </c>
      <c r="I19" s="85">
        <f>G19*Rates!$C$92</f>
        <v>52500</v>
      </c>
      <c r="J19" s="86" t="s">
        <v>128</v>
      </c>
      <c r="K19" s="54" t="s">
        <v>1455</v>
      </c>
      <c r="L19" s="6" t="s">
        <v>1430</v>
      </c>
    </row>
    <row r="20" spans="1:12" ht="51" x14ac:dyDescent="0.2">
      <c r="A20" s="68" t="s">
        <v>1456</v>
      </c>
      <c r="B20" s="69" t="s">
        <v>55</v>
      </c>
      <c r="C20" s="69" t="s">
        <v>1457</v>
      </c>
      <c r="D20" s="82">
        <v>40</v>
      </c>
      <c r="E20" s="82">
        <v>50</v>
      </c>
      <c r="F20" s="82">
        <v>70</v>
      </c>
      <c r="G20" s="83">
        <f>CHOOSE(MATCH(EffortBasis,{"Low","Likely","High"},0),D20,E20,F20)</f>
        <v>50</v>
      </c>
      <c r="H20" s="84">
        <f>Rates!$C$94</f>
        <v>535</v>
      </c>
      <c r="I20" s="85">
        <f>G20*Rates!$C$94</f>
        <v>26750</v>
      </c>
      <c r="J20" s="86" t="s">
        <v>128</v>
      </c>
      <c r="K20" s="54" t="s">
        <v>1458</v>
      </c>
      <c r="L20" s="6" t="s">
        <v>1430</v>
      </c>
    </row>
    <row r="21" spans="1:12" ht="68" x14ac:dyDescent="0.2">
      <c r="A21" s="68" t="s">
        <v>1459</v>
      </c>
      <c r="B21" s="69" t="s">
        <v>55</v>
      </c>
      <c r="C21" s="69" t="s">
        <v>1460</v>
      </c>
      <c r="D21" s="82">
        <v>60</v>
      </c>
      <c r="E21" s="82">
        <v>75</v>
      </c>
      <c r="F21" s="82">
        <v>100</v>
      </c>
      <c r="G21" s="83">
        <f>CHOOSE(MATCH(EffortBasis,{"Low","Likely","High"},0),D21,E21,F21)</f>
        <v>75</v>
      </c>
      <c r="H21" s="84">
        <f>Rates!$C$93</f>
        <v>525</v>
      </c>
      <c r="I21" s="85">
        <f>G21*Rates!$C$93</f>
        <v>39375</v>
      </c>
      <c r="J21" s="86" t="s">
        <v>128</v>
      </c>
      <c r="K21" s="54" t="s">
        <v>1461</v>
      </c>
      <c r="L21" s="6" t="s">
        <v>1430</v>
      </c>
    </row>
    <row r="22" spans="1:12" ht="51" x14ac:dyDescent="0.2">
      <c r="A22" s="68" t="s">
        <v>1462</v>
      </c>
      <c r="B22" s="69" t="s">
        <v>55</v>
      </c>
      <c r="C22" s="69" t="s">
        <v>1463</v>
      </c>
      <c r="D22" s="82">
        <v>20</v>
      </c>
      <c r="E22" s="82">
        <v>25</v>
      </c>
      <c r="F22" s="82">
        <v>40</v>
      </c>
      <c r="G22" s="83">
        <f>CHOOSE(MATCH(EffortBasis,{"Low","Likely","High"},0),D22,E22,F22)</f>
        <v>25</v>
      </c>
      <c r="H22" s="84">
        <f>Rates!$C$95</f>
        <v>550</v>
      </c>
      <c r="I22" s="85">
        <f>G22*Rates!$C$95</f>
        <v>13750</v>
      </c>
      <c r="J22" s="86" t="s">
        <v>128</v>
      </c>
      <c r="K22" s="54" t="s">
        <v>1464</v>
      </c>
      <c r="L22" s="6" t="s">
        <v>1430</v>
      </c>
    </row>
    <row r="23" spans="1:12" ht="51" x14ac:dyDescent="0.2">
      <c r="A23" s="68" t="s">
        <v>1465</v>
      </c>
      <c r="B23" s="69" t="s">
        <v>55</v>
      </c>
      <c r="C23" s="69" t="s">
        <v>1463</v>
      </c>
      <c r="D23" s="82">
        <v>15</v>
      </c>
      <c r="E23" s="82">
        <v>25</v>
      </c>
      <c r="F23" s="82">
        <v>35</v>
      </c>
      <c r="G23" s="83">
        <f>CHOOSE(MATCH(EffortBasis,{"Low","Likely","High"},0),D23,E23,F23)</f>
        <v>25</v>
      </c>
      <c r="H23" s="84">
        <f>Rates!$C$100</f>
        <v>500</v>
      </c>
      <c r="I23" s="85">
        <f>G23*Rates!$C$100</f>
        <v>12500</v>
      </c>
      <c r="J23" s="86" t="s">
        <v>128</v>
      </c>
      <c r="K23" s="54" t="s">
        <v>1466</v>
      </c>
      <c r="L23" s="6" t="s">
        <v>1430</v>
      </c>
    </row>
    <row r="24" spans="1:12" ht="68" x14ac:dyDescent="0.2">
      <c r="A24" s="68" t="s">
        <v>1467</v>
      </c>
      <c r="B24" s="69" t="s">
        <v>55</v>
      </c>
      <c r="C24" s="69" t="s">
        <v>1468</v>
      </c>
      <c r="D24" s="82">
        <v>12</v>
      </c>
      <c r="E24" s="82">
        <v>20</v>
      </c>
      <c r="F24" s="82">
        <v>25</v>
      </c>
      <c r="G24" s="83">
        <f>CHOOSE(MATCH(EffortBasis,{"Low","Likely","High"},0),D24,E24,F24)</f>
        <v>20</v>
      </c>
      <c r="H24" s="84">
        <f>Rates!$C$102</f>
        <v>850</v>
      </c>
      <c r="I24" s="85">
        <f>G24*Rates!$C$102</f>
        <v>17000</v>
      </c>
      <c r="J24" s="86" t="s">
        <v>128</v>
      </c>
      <c r="K24" s="54" t="s">
        <v>1469</v>
      </c>
      <c r="L24" s="6" t="s">
        <v>1430</v>
      </c>
    </row>
    <row r="25" spans="1:12" ht="34" x14ac:dyDescent="0.2">
      <c r="A25" s="68" t="s">
        <v>1470</v>
      </c>
      <c r="B25" s="69" t="s">
        <v>55</v>
      </c>
      <c r="C25" s="69" t="s">
        <v>1457</v>
      </c>
      <c r="D25" s="82">
        <v>40</v>
      </c>
      <c r="E25" s="82">
        <v>50</v>
      </c>
      <c r="F25" s="82">
        <v>60</v>
      </c>
      <c r="G25" s="83">
        <f>CHOOSE(MATCH(EffortBasis,{"Low","Likely","High"},0),D25,E25,F25)</f>
        <v>50</v>
      </c>
      <c r="H25" s="84">
        <f>Rates!$C$97</f>
        <v>535</v>
      </c>
      <c r="I25" s="85">
        <f>G25*Rates!$C$97</f>
        <v>26750</v>
      </c>
      <c r="J25" s="86" t="s">
        <v>128</v>
      </c>
      <c r="K25" s="54" t="s">
        <v>1471</v>
      </c>
      <c r="L25" s="6" t="s">
        <v>1430</v>
      </c>
    </row>
    <row r="26" spans="1:12" ht="51" x14ac:dyDescent="0.2">
      <c r="A26" s="68" t="s">
        <v>1472</v>
      </c>
      <c r="B26" s="69" t="s">
        <v>55</v>
      </c>
      <c r="C26" s="69" t="s">
        <v>1473</v>
      </c>
      <c r="D26" s="82">
        <v>1</v>
      </c>
      <c r="E26" s="82">
        <v>2</v>
      </c>
      <c r="F26" s="82">
        <v>4</v>
      </c>
      <c r="G26" s="83">
        <f>CHOOSE(MATCH(EffortBasis,{"Low","Likely","High"},0),D26,E26,F26)</f>
        <v>2</v>
      </c>
      <c r="H26" s="84">
        <f>Rates!$C$97</f>
        <v>535</v>
      </c>
      <c r="I26" s="85">
        <f>G26*Rates!$C$97</f>
        <v>1070</v>
      </c>
      <c r="J26" s="86" t="s">
        <v>128</v>
      </c>
      <c r="K26" s="54" t="s">
        <v>1474</v>
      </c>
      <c r="L26" s="6" t="s">
        <v>1430</v>
      </c>
    </row>
    <row r="27" spans="1:12" ht="51" x14ac:dyDescent="0.2">
      <c r="A27" s="68" t="s">
        <v>1475</v>
      </c>
      <c r="B27" s="69" t="s">
        <v>57</v>
      </c>
      <c r="C27" s="69" t="s">
        <v>1476</v>
      </c>
      <c r="D27" s="82">
        <v>1109</v>
      </c>
      <c r="E27" s="82">
        <v>1848</v>
      </c>
      <c r="F27" s="82">
        <v>2587</v>
      </c>
      <c r="G27" s="83">
        <f>CHOOSE(MATCH(EffortBasis,{"Low","Likely","High"},0),D27,E27,F27)</f>
        <v>1848</v>
      </c>
      <c r="H27" s="84">
        <f>Rates!$C$6</f>
        <v>7.5800000000000006E-2</v>
      </c>
      <c r="I27" s="85">
        <f>IF(Platform="AKS",(G27*Rates!$C$6)*IF(ClusterCount="Dual",2,1),0)</f>
        <v>140.07840000000002</v>
      </c>
      <c r="J27" s="86" t="s">
        <v>128</v>
      </c>
      <c r="K27" s="54" t="s">
        <v>1477</v>
      </c>
      <c r="L27" s="6" t="s">
        <v>1430</v>
      </c>
    </row>
    <row r="28" spans="1:12" ht="51" x14ac:dyDescent="0.2">
      <c r="A28" s="68" t="s">
        <v>1478</v>
      </c>
      <c r="B28" s="69" t="s">
        <v>57</v>
      </c>
      <c r="C28" s="69" t="s">
        <v>1479</v>
      </c>
      <c r="D28" s="82">
        <v>13306</v>
      </c>
      <c r="E28" s="82">
        <v>22176</v>
      </c>
      <c r="F28" s="82">
        <v>31046</v>
      </c>
      <c r="G28" s="83">
        <f>CHOOSE(MATCH(EffortBasis,{"Low","Likely","High"},0),D28,E28,F28)</f>
        <v>22176</v>
      </c>
      <c r="H28" s="84">
        <f>Rates!$C$7</f>
        <v>0.16819999999999999</v>
      </c>
      <c r="I28" s="85">
        <f>IF(Platform="AKS",(G28*Rates!$C$7)*EnvCount/4*CHOOSE(MATCH(NodeSize,{"S","M","L"},0),0.5,1,2),0)</f>
        <v>3730.0031999999997</v>
      </c>
      <c r="J28" s="86" t="s">
        <v>128</v>
      </c>
      <c r="K28" s="54" t="s">
        <v>1480</v>
      </c>
      <c r="L28" s="6" t="s">
        <v>1430</v>
      </c>
    </row>
    <row r="29" spans="1:12" ht="51" x14ac:dyDescent="0.2">
      <c r="A29" s="68" t="s">
        <v>1481</v>
      </c>
      <c r="B29" s="69" t="s">
        <v>57</v>
      </c>
      <c r="C29" s="69" t="s">
        <v>1479</v>
      </c>
      <c r="D29" s="82">
        <v>13306</v>
      </c>
      <c r="E29" s="82">
        <v>22176</v>
      </c>
      <c r="F29" s="82">
        <v>31046</v>
      </c>
      <c r="G29" s="83">
        <f>CHOOSE(MATCH(EffortBasis,{"Low","Likely","High"},0),D29,E29,F29)</f>
        <v>22176</v>
      </c>
      <c r="H29" s="84">
        <f>Rates!$C$8</f>
        <v>0.19850000000000001</v>
      </c>
      <c r="I29" s="85">
        <f>IF(Platform="ARO",(G29*Rates!$C$8)*EnvCount/4*CHOOSE(MATCH(NodeSize,{"S","M","L"},0),0.5,1,2),0)</f>
        <v>0</v>
      </c>
      <c r="J29" s="86" t="s">
        <v>128</v>
      </c>
      <c r="K29" s="54" t="s">
        <v>1482</v>
      </c>
      <c r="L29" s="6" t="s">
        <v>1430</v>
      </c>
    </row>
    <row r="30" spans="1:12" ht="51" x14ac:dyDescent="0.2">
      <c r="A30" s="68" t="s">
        <v>1483</v>
      </c>
      <c r="B30" s="69" t="s">
        <v>57</v>
      </c>
      <c r="C30" s="69" t="s">
        <v>1484</v>
      </c>
      <c r="D30" s="82">
        <v>53222</v>
      </c>
      <c r="E30" s="82">
        <v>88704</v>
      </c>
      <c r="F30" s="82">
        <v>124186</v>
      </c>
      <c r="G30" s="83">
        <f>CHOOSE(MATCH(EffortBasis,{"Low","Likely","High"},0),D30,E30,F30)</f>
        <v>88704</v>
      </c>
      <c r="H30" s="84">
        <f>Rates!$C$10</f>
        <v>3.2399999999999998E-2</v>
      </c>
      <c r="I30" s="85">
        <f>IF(Platform="ARO",(G30*Rates!$C$10)*EnvCount/4*CHOOSE(MATCH(NodeSize,{"S","M","L"},0),0.5,1,2),0)</f>
        <v>0</v>
      </c>
      <c r="J30" s="86" t="s">
        <v>128</v>
      </c>
      <c r="K30" s="54" t="s">
        <v>1485</v>
      </c>
      <c r="L30" s="6" t="s">
        <v>1430</v>
      </c>
    </row>
    <row r="31" spans="1:12" ht="51" x14ac:dyDescent="0.2">
      <c r="A31" s="68" t="s">
        <v>1486</v>
      </c>
      <c r="B31" s="69" t="s">
        <v>57</v>
      </c>
      <c r="C31" s="69" t="s">
        <v>1487</v>
      </c>
      <c r="D31" s="82">
        <v>3326</v>
      </c>
      <c r="E31" s="82">
        <v>5544</v>
      </c>
      <c r="F31" s="82">
        <v>7762</v>
      </c>
      <c r="G31" s="83">
        <f>CHOOSE(MATCH(EffortBasis,{"Low","Likely","High"},0),D31,E31,F31)</f>
        <v>5544</v>
      </c>
      <c r="H31" s="84">
        <f>Rates!$C$9</f>
        <v>0.33639999999999998</v>
      </c>
      <c r="I31" s="85">
        <f>IF(Platform="ARO",(G31*Rates!$C$9)*IF(ClusterCount="Dual",2,1),0)</f>
        <v>0</v>
      </c>
      <c r="J31" s="86" t="s">
        <v>128</v>
      </c>
      <c r="K31" s="54" t="s">
        <v>1488</v>
      </c>
      <c r="L31" s="6" t="s">
        <v>1430</v>
      </c>
    </row>
    <row r="32" spans="1:12" ht="34" x14ac:dyDescent="0.2">
      <c r="A32" s="68" t="s">
        <v>1489</v>
      </c>
      <c r="B32" s="69" t="s">
        <v>57</v>
      </c>
      <c r="C32" s="69" t="s">
        <v>1490</v>
      </c>
      <c r="D32" s="82">
        <v>4435</v>
      </c>
      <c r="E32" s="82">
        <v>7392</v>
      </c>
      <c r="F32" s="82">
        <v>10349</v>
      </c>
      <c r="G32" s="83">
        <f>CHOOSE(MATCH(EffortBasis,{"Low","Likely","High"},0),D32,E32,F32)</f>
        <v>7392</v>
      </c>
      <c r="H32" s="84">
        <f>Rates!$C$14</f>
        <v>0.31209999999999999</v>
      </c>
      <c r="I32" s="85">
        <f>(G32*Rates!$C$14)*EnvCount/4</f>
        <v>2307.0432000000001</v>
      </c>
      <c r="J32" s="86" t="s">
        <v>128</v>
      </c>
      <c r="K32" s="54" t="s">
        <v>1491</v>
      </c>
      <c r="L32" s="6" t="s">
        <v>1430</v>
      </c>
    </row>
    <row r="33" spans="1:12" ht="34" x14ac:dyDescent="0.2">
      <c r="A33" s="68" t="s">
        <v>1492</v>
      </c>
      <c r="B33" s="69" t="s">
        <v>57</v>
      </c>
      <c r="C33" s="69" t="s">
        <v>1493</v>
      </c>
      <c r="D33" s="82">
        <v>768</v>
      </c>
      <c r="E33" s="82">
        <v>1280</v>
      </c>
      <c r="F33" s="82">
        <v>1792</v>
      </c>
      <c r="G33" s="83">
        <f>CHOOSE(MATCH(EffortBasis,{"Low","Likely","High"},0),D33,E33,F33)</f>
        <v>1280</v>
      </c>
      <c r="H33" s="84">
        <f>Rates!$C$15</f>
        <v>0.1008</v>
      </c>
      <c r="I33" s="85">
        <f>(G33*Rates!$C$15)*EnvCount/4</f>
        <v>129.024</v>
      </c>
      <c r="J33" s="86" t="s">
        <v>128</v>
      </c>
      <c r="K33" s="54" t="s">
        <v>1494</v>
      </c>
      <c r="L33" s="6" t="s">
        <v>1430</v>
      </c>
    </row>
    <row r="34" spans="1:12" ht="34" x14ac:dyDescent="0.2">
      <c r="A34" s="68" t="s">
        <v>1495</v>
      </c>
      <c r="B34" s="69" t="s">
        <v>57</v>
      </c>
      <c r="C34" s="69" t="s">
        <v>1490</v>
      </c>
      <c r="D34" s="82">
        <v>4435</v>
      </c>
      <c r="E34" s="82">
        <v>7392</v>
      </c>
      <c r="F34" s="82">
        <v>10349</v>
      </c>
      <c r="G34" s="83">
        <f>CHOOSE(MATCH(EffortBasis,{"Low","Likely","High"},0),D34,E34,F34)</f>
        <v>7392</v>
      </c>
      <c r="H34" s="84">
        <f>Rates!$C$16</f>
        <v>0.5766</v>
      </c>
      <c r="I34" s="85">
        <f>(G34*Rates!$C$16)*EnvCount/4</f>
        <v>4262.2272000000003</v>
      </c>
      <c r="J34" s="86" t="s">
        <v>128</v>
      </c>
      <c r="K34" s="54" t="s">
        <v>1496</v>
      </c>
      <c r="L34" s="6" t="s">
        <v>1430</v>
      </c>
    </row>
    <row r="35" spans="1:12" ht="51" x14ac:dyDescent="0.2">
      <c r="A35" s="68" t="s">
        <v>1497</v>
      </c>
      <c r="B35" s="69" t="s">
        <v>57</v>
      </c>
      <c r="C35" s="69" t="s">
        <v>1498</v>
      </c>
      <c r="D35" s="82">
        <v>250</v>
      </c>
      <c r="E35" s="82">
        <v>500</v>
      </c>
      <c r="F35" s="82">
        <v>1000</v>
      </c>
      <c r="G35" s="83">
        <f>CHOOSE(MATCH(EffortBasis,{"Low","Likely","High"},0),D35,E35,F35)</f>
        <v>500</v>
      </c>
      <c r="H35" s="84">
        <f>Rates!$C$17</f>
        <v>0.22500000000000001</v>
      </c>
      <c r="I35" s="85">
        <f>(G35*Rates!$C$17)*EnvCount/4</f>
        <v>112.5</v>
      </c>
      <c r="J35" s="86" t="s">
        <v>128</v>
      </c>
      <c r="K35" s="54" t="s">
        <v>1499</v>
      </c>
      <c r="L35" s="6" t="s">
        <v>1430</v>
      </c>
    </row>
    <row r="36" spans="1:12" ht="51" x14ac:dyDescent="0.2">
      <c r="A36" s="68" t="s">
        <v>1500</v>
      </c>
      <c r="B36" s="69" t="s">
        <v>57</v>
      </c>
      <c r="C36" s="69" t="s">
        <v>1501</v>
      </c>
      <c r="D36" s="82">
        <v>4435</v>
      </c>
      <c r="E36" s="82">
        <v>7392</v>
      </c>
      <c r="F36" s="82">
        <v>10349</v>
      </c>
      <c r="G36" s="83">
        <f>CHOOSE(MATCH(EffortBasis,{"Low","Likely","High"},0),D36,E36,F36)</f>
        <v>7392</v>
      </c>
      <c r="H36" s="84">
        <f>Rates!$C$18</f>
        <v>2.2700000000000001E-2</v>
      </c>
      <c r="I36" s="85">
        <f>(G36*Rates!$C$18)*EnvCount/4</f>
        <v>167.79840000000002</v>
      </c>
      <c r="J36" s="86" t="s">
        <v>1196</v>
      </c>
      <c r="K36" s="54" t="s">
        <v>1502</v>
      </c>
      <c r="L36" s="6" t="s">
        <v>1430</v>
      </c>
    </row>
    <row r="37" spans="1:12" ht="34" x14ac:dyDescent="0.2">
      <c r="A37" s="68" t="s">
        <v>1503</v>
      </c>
      <c r="B37" s="69" t="s">
        <v>57</v>
      </c>
      <c r="C37" s="69" t="s">
        <v>1504</v>
      </c>
      <c r="D37" s="82">
        <v>4435</v>
      </c>
      <c r="E37" s="82">
        <v>7392</v>
      </c>
      <c r="F37" s="82">
        <v>10349</v>
      </c>
      <c r="G37" s="83">
        <f>CHOOSE(MATCH(EffortBasis,{"Low","Likely","High"},0),D37,E37,F37)</f>
        <v>7392</v>
      </c>
      <c r="H37" s="84">
        <f>Rates!$C$19</f>
        <v>0.13109999999999999</v>
      </c>
      <c r="I37" s="85">
        <f>(G37*Rates!$C$19)*EnvCount/4</f>
        <v>969.09119999999996</v>
      </c>
      <c r="J37" s="86" t="s">
        <v>128</v>
      </c>
      <c r="K37" s="54" t="s">
        <v>1505</v>
      </c>
      <c r="L37" s="6" t="s">
        <v>1430</v>
      </c>
    </row>
    <row r="38" spans="1:12" ht="51" x14ac:dyDescent="0.2">
      <c r="A38" s="68" t="s">
        <v>1506</v>
      </c>
      <c r="B38" s="69" t="s">
        <v>57</v>
      </c>
      <c r="C38" s="69" t="s">
        <v>1507</v>
      </c>
      <c r="D38" s="82">
        <v>2218</v>
      </c>
      <c r="E38" s="82">
        <v>3696</v>
      </c>
      <c r="F38" s="82">
        <v>5174</v>
      </c>
      <c r="G38" s="83">
        <f>CHOOSE(MATCH(EffortBasis,{"Low","Likely","High"},0),D38,E38,F38)</f>
        <v>3696</v>
      </c>
      <c r="H38" s="84">
        <f>Rates!$C$23</f>
        <v>0.34089999999999998</v>
      </c>
      <c r="I38" s="85">
        <f>(G38*Rates!$C$23)*EnvCount/4</f>
        <v>1259.9664</v>
      </c>
      <c r="J38" s="86" t="s">
        <v>128</v>
      </c>
      <c r="K38" s="54" t="s">
        <v>1508</v>
      </c>
      <c r="L38" s="6" t="s">
        <v>1430</v>
      </c>
    </row>
    <row r="39" spans="1:12" ht="34" x14ac:dyDescent="0.2">
      <c r="A39" s="68" t="s">
        <v>1509</v>
      </c>
      <c r="B39" s="69" t="s">
        <v>57</v>
      </c>
      <c r="C39" s="69" t="s">
        <v>1510</v>
      </c>
      <c r="D39" s="82">
        <v>11088</v>
      </c>
      <c r="E39" s="82">
        <v>18480</v>
      </c>
      <c r="F39" s="82">
        <v>25872</v>
      </c>
      <c r="G39" s="83">
        <f>CHOOSE(MATCH(EffortBasis,{"Low","Likely","High"},0),D39,E39,F39)</f>
        <v>18480</v>
      </c>
      <c r="H39" s="84">
        <f>Rates!$C$24</f>
        <v>1.09E-2</v>
      </c>
      <c r="I39" s="85">
        <f>(G39*Rates!$C$24)*EnvCount/4</f>
        <v>201.43199999999999</v>
      </c>
      <c r="J39" s="86" t="s">
        <v>128</v>
      </c>
      <c r="K39" s="54" t="s">
        <v>1511</v>
      </c>
      <c r="L39" s="6" t="s">
        <v>1430</v>
      </c>
    </row>
    <row r="40" spans="1:12" ht="51" x14ac:dyDescent="0.2">
      <c r="A40" s="68" t="s">
        <v>1512</v>
      </c>
      <c r="B40" s="69" t="s">
        <v>57</v>
      </c>
      <c r="C40" s="69" t="s">
        <v>1513</v>
      </c>
      <c r="D40" s="82">
        <v>0</v>
      </c>
      <c r="E40" s="82">
        <v>1848</v>
      </c>
      <c r="F40" s="82">
        <v>3696</v>
      </c>
      <c r="G40" s="83">
        <f>CHOOSE(MATCH(EffortBasis,{"Low","Likely","High"},0),D40,E40,F40)</f>
        <v>1848</v>
      </c>
      <c r="H40" s="84">
        <f>Rates!$C$25</f>
        <v>0.7127</v>
      </c>
      <c r="I40" s="85">
        <f>G40*Rates!$C$25</f>
        <v>1317.0696</v>
      </c>
      <c r="J40" s="86" t="s">
        <v>1196</v>
      </c>
      <c r="K40" s="54" t="s">
        <v>1514</v>
      </c>
      <c r="L40" s="6" t="s">
        <v>1430</v>
      </c>
    </row>
    <row r="41" spans="1:12" ht="34" x14ac:dyDescent="0.2">
      <c r="A41" s="68" t="s">
        <v>1515</v>
      </c>
      <c r="B41" s="69" t="s">
        <v>57</v>
      </c>
      <c r="C41" s="69" t="s">
        <v>1516</v>
      </c>
      <c r="D41" s="82">
        <v>0</v>
      </c>
      <c r="E41" s="82">
        <v>1848</v>
      </c>
      <c r="F41" s="82">
        <v>3696</v>
      </c>
      <c r="G41" s="83">
        <f>CHOOSE(MATCH(EffortBasis,{"Low","Likely","High"},0),D41,E41,F41)</f>
        <v>1848</v>
      </c>
      <c r="H41" s="84">
        <f>Rates!$C$26</f>
        <v>0.1439</v>
      </c>
      <c r="I41" s="85">
        <f>G41*Rates!$C$26</f>
        <v>265.92720000000003</v>
      </c>
      <c r="J41" s="86" t="s">
        <v>1196</v>
      </c>
      <c r="K41" s="54" t="s">
        <v>1517</v>
      </c>
      <c r="L41" s="6" t="s">
        <v>1430</v>
      </c>
    </row>
    <row r="42" spans="1:12" ht="34" x14ac:dyDescent="0.2">
      <c r="A42" s="68" t="s">
        <v>1518</v>
      </c>
      <c r="B42" s="69" t="s">
        <v>57</v>
      </c>
      <c r="C42" s="69" t="s">
        <v>1519</v>
      </c>
      <c r="D42" s="82">
        <v>25</v>
      </c>
      <c r="E42" s="82">
        <v>50</v>
      </c>
      <c r="F42" s="82">
        <v>75</v>
      </c>
      <c r="G42" s="83">
        <f>CHOOSE(MATCH(EffortBasis,{"Low","Likely","High"},0),D42,E42,F42)</f>
        <v>50</v>
      </c>
      <c r="H42" s="84">
        <f>Rates!$C$27</f>
        <v>0.37880000000000003</v>
      </c>
      <c r="I42" s="85">
        <f>G42*Rates!$C$27</f>
        <v>18.940000000000001</v>
      </c>
      <c r="J42" s="86" t="s">
        <v>128</v>
      </c>
      <c r="K42" s="54" t="s">
        <v>1520</v>
      </c>
      <c r="L42" s="6" t="s">
        <v>1430</v>
      </c>
    </row>
    <row r="43" spans="1:12" ht="34" x14ac:dyDescent="0.2">
      <c r="A43" s="68" t="s">
        <v>1521</v>
      </c>
      <c r="B43" s="69" t="s">
        <v>57</v>
      </c>
      <c r="C43" s="69" t="s">
        <v>1522</v>
      </c>
      <c r="D43" s="82">
        <v>150</v>
      </c>
      <c r="E43" s="82">
        <v>375</v>
      </c>
      <c r="F43" s="82">
        <v>750</v>
      </c>
      <c r="G43" s="83">
        <f>CHOOSE(MATCH(EffortBasis,{"Low","Likely","High"},0),D43,E43,F43)</f>
        <v>375</v>
      </c>
      <c r="H43" s="84">
        <f>Rates!$C$31</f>
        <v>2.1819000000000002</v>
      </c>
      <c r="I43" s="85">
        <f>(G43*Rates!$C$31)*EnvCount/4</f>
        <v>818.21250000000009</v>
      </c>
      <c r="J43" s="86" t="s">
        <v>128</v>
      </c>
      <c r="K43" s="54" t="s">
        <v>1523</v>
      </c>
      <c r="L43" s="6" t="s">
        <v>1430</v>
      </c>
    </row>
    <row r="44" spans="1:12" ht="34" x14ac:dyDescent="0.2">
      <c r="A44" s="68" t="s">
        <v>1524</v>
      </c>
      <c r="B44" s="69" t="s">
        <v>57</v>
      </c>
      <c r="C44" s="69" t="s">
        <v>1525</v>
      </c>
      <c r="D44" s="82">
        <v>50</v>
      </c>
      <c r="E44" s="82">
        <v>100</v>
      </c>
      <c r="F44" s="82">
        <v>200</v>
      </c>
      <c r="G44" s="83">
        <f>CHOOSE(MATCH(EffortBasis,{"Low","Likely","High"},0),D44,E44,F44)</f>
        <v>100</v>
      </c>
      <c r="H44" s="84">
        <f>Rates!$C$46</f>
        <v>2.2700000000000001E-2</v>
      </c>
      <c r="I44" s="85">
        <f>G44*Rates!$C$46</f>
        <v>2.27</v>
      </c>
      <c r="J44" s="86" t="s">
        <v>128</v>
      </c>
      <c r="K44" s="54" t="s">
        <v>1526</v>
      </c>
      <c r="L44" s="6" t="s">
        <v>1430</v>
      </c>
    </row>
    <row r="45" spans="1:12" ht="34" x14ac:dyDescent="0.2">
      <c r="A45" s="68" t="s">
        <v>1527</v>
      </c>
      <c r="B45" s="69" t="s">
        <v>57</v>
      </c>
      <c r="C45" s="69" t="s">
        <v>1528</v>
      </c>
      <c r="D45" s="82">
        <v>100</v>
      </c>
      <c r="E45" s="82">
        <v>200</v>
      </c>
      <c r="F45" s="82">
        <v>300</v>
      </c>
      <c r="G45" s="83">
        <f>CHOOSE(MATCH(EffortBasis,{"Low","Likely","High"},0),D45,E45,F45)</f>
        <v>200</v>
      </c>
      <c r="H45" s="84">
        <f>Rates!$C$47</f>
        <v>0</v>
      </c>
      <c r="I45" s="85">
        <f>(G45*Rates!$C$47)*EnvCount/4</f>
        <v>0</v>
      </c>
      <c r="J45" s="86" t="s">
        <v>1220</v>
      </c>
      <c r="K45" s="54" t="s">
        <v>1529</v>
      </c>
      <c r="L45" s="6" t="s">
        <v>1430</v>
      </c>
    </row>
    <row r="46" spans="1:12" ht="102" x14ac:dyDescent="0.2">
      <c r="A46" s="68" t="s">
        <v>1530</v>
      </c>
      <c r="B46" s="69" t="s">
        <v>55</v>
      </c>
      <c r="C46" s="69" t="s">
        <v>1531</v>
      </c>
      <c r="D46" s="82">
        <v>20</v>
      </c>
      <c r="E46" s="82">
        <v>30</v>
      </c>
      <c r="F46" s="82">
        <v>40</v>
      </c>
      <c r="G46" s="83">
        <f>CHOOSE(MATCH(EffortBasis,{"Low","Likely","High"},0),D46,E46,F46)</f>
        <v>30</v>
      </c>
      <c r="H46" s="84">
        <f>Rates!$C$93</f>
        <v>525</v>
      </c>
      <c r="I46" s="85">
        <f>G46*Rates!$C$93</f>
        <v>15750</v>
      </c>
      <c r="J46" s="86" t="s">
        <v>128</v>
      </c>
      <c r="K46" s="54" t="s">
        <v>1532</v>
      </c>
      <c r="L46" s="6" t="s">
        <v>1430</v>
      </c>
    </row>
    <row r="47" spans="1:12" ht="68" x14ac:dyDescent="0.2">
      <c r="A47" s="68" t="s">
        <v>1533</v>
      </c>
      <c r="B47" s="69" t="s">
        <v>55</v>
      </c>
      <c r="C47" s="69" t="s">
        <v>1534</v>
      </c>
      <c r="D47" s="82">
        <v>0</v>
      </c>
      <c r="E47" s="82">
        <v>0</v>
      </c>
      <c r="F47" s="82">
        <v>0</v>
      </c>
      <c r="G47" s="83">
        <f>E47</f>
        <v>0</v>
      </c>
      <c r="H47" s="88">
        <v>0</v>
      </c>
      <c r="I47" s="85">
        <f>G47*H47</f>
        <v>0</v>
      </c>
      <c r="J47" s="86" t="s">
        <v>1220</v>
      </c>
      <c r="K47" s="54" t="s">
        <v>1535</v>
      </c>
      <c r="L47" s="6" t="s">
        <v>1448</v>
      </c>
    </row>
    <row r="48" spans="1:12" ht="85" x14ac:dyDescent="0.2">
      <c r="A48" s="68" t="s">
        <v>1536</v>
      </c>
      <c r="B48" s="69" t="s">
        <v>57</v>
      </c>
      <c r="C48" s="69" t="s">
        <v>1537</v>
      </c>
      <c r="D48" s="82">
        <v>250</v>
      </c>
      <c r="E48" s="82">
        <v>500</v>
      </c>
      <c r="F48" s="82">
        <v>1000</v>
      </c>
      <c r="G48" s="83">
        <f>CHOOSE(MATCH(EffortBasis,{"Low","Likely","High"},0),D48,E48,F48)</f>
        <v>500</v>
      </c>
      <c r="H48" s="84">
        <f>Rates!$C$51</f>
        <v>3.4782000000000002</v>
      </c>
      <c r="I48" s="85">
        <f>IF(ModelVendor="Llama",IF(ModelSKU="Llama",G48*Rates!$C$51,0),0)</f>
        <v>0</v>
      </c>
      <c r="J48" s="86" t="s">
        <v>128</v>
      </c>
      <c r="K48" s="54" t="s">
        <v>1538</v>
      </c>
      <c r="L48" s="6" t="s">
        <v>1430</v>
      </c>
    </row>
    <row r="49" spans="1:12" ht="85" x14ac:dyDescent="0.2">
      <c r="A49" s="68" t="s">
        <v>1539</v>
      </c>
      <c r="B49" s="69" t="s">
        <v>57</v>
      </c>
      <c r="C49" s="69" t="s">
        <v>1540</v>
      </c>
      <c r="D49" s="82">
        <v>1</v>
      </c>
      <c r="E49" s="82">
        <v>1</v>
      </c>
      <c r="F49" s="82">
        <v>1</v>
      </c>
      <c r="G49" s="83">
        <f>E49</f>
        <v>1</v>
      </c>
      <c r="H49" s="84">
        <f>Rates!$C$53</f>
        <v>0</v>
      </c>
      <c r="I49" s="85">
        <f>IF(ModelVendor="Llama",IF(ModelSKU="Llama",G49*Rates!$C$53,0),0)</f>
        <v>0</v>
      </c>
      <c r="J49" s="86" t="s">
        <v>1220</v>
      </c>
      <c r="K49" s="54" t="s">
        <v>1541</v>
      </c>
      <c r="L49" s="6" t="s">
        <v>1448</v>
      </c>
    </row>
    <row r="50" spans="1:12" ht="34" x14ac:dyDescent="0.2">
      <c r="A50" s="89" t="s">
        <v>1542</v>
      </c>
      <c r="I50" s="90">
        <f>SUM(I19:I49)</f>
        <v>221146.58329999997</v>
      </c>
    </row>
    <row r="52" spans="1:12" ht="119" x14ac:dyDescent="0.2">
      <c r="A52" s="48" t="s">
        <v>1543</v>
      </c>
      <c r="B52" s="48"/>
      <c r="C52" s="48"/>
      <c r="D52" s="48"/>
      <c r="E52" s="48"/>
      <c r="F52" s="48"/>
      <c r="G52" s="48"/>
      <c r="H52" s="48"/>
      <c r="I52" s="48"/>
      <c r="J52" s="48"/>
      <c r="K52" s="48"/>
    </row>
    <row r="53" spans="1:12" ht="34" x14ac:dyDescent="0.2">
      <c r="A53" s="50" t="s">
        <v>1418</v>
      </c>
      <c r="B53" s="50" t="s">
        <v>104</v>
      </c>
      <c r="C53" s="50" t="s">
        <v>1419</v>
      </c>
      <c r="D53" s="50" t="s">
        <v>1420</v>
      </c>
      <c r="E53" s="50" t="s">
        <v>1421</v>
      </c>
      <c r="F53" s="50" t="s">
        <v>1422</v>
      </c>
      <c r="G53" s="50" t="s">
        <v>1423</v>
      </c>
      <c r="H53" s="50" t="s">
        <v>1424</v>
      </c>
      <c r="I53" s="50" t="s">
        <v>1425</v>
      </c>
      <c r="J53" s="50" t="s">
        <v>105</v>
      </c>
      <c r="K53" s="50" t="s">
        <v>113</v>
      </c>
      <c r="L53" s="5" t="s">
        <v>1426</v>
      </c>
    </row>
    <row r="54" spans="1:12" ht="68" x14ac:dyDescent="0.2">
      <c r="A54" s="68" t="s">
        <v>1544</v>
      </c>
      <c r="B54" s="69" t="s">
        <v>56</v>
      </c>
      <c r="C54" s="69" t="s">
        <v>1545</v>
      </c>
      <c r="D54" s="82">
        <v>60</v>
      </c>
      <c r="E54" s="82">
        <v>90</v>
      </c>
      <c r="F54" s="82">
        <v>135</v>
      </c>
      <c r="G54" s="83">
        <f>CHOOSE(MATCH(EffortBasis,{"Low","Likely","High"},0),D54,E54,F54)</f>
        <v>90</v>
      </c>
      <c r="H54" s="84">
        <f>Rates!$C$106</f>
        <v>950</v>
      </c>
      <c r="I54" s="87">
        <f>IF(HCL_Toggle="Include",G54*Rates!$C$106,0)</f>
        <v>85500</v>
      </c>
      <c r="J54" s="86" t="s">
        <v>1196</v>
      </c>
      <c r="K54" s="54" t="s">
        <v>1546</v>
      </c>
      <c r="L54" s="6" t="s">
        <v>1430</v>
      </c>
    </row>
    <row r="55" spans="1:12" ht="34" x14ac:dyDescent="0.2">
      <c r="A55" s="68" t="s">
        <v>1547</v>
      </c>
      <c r="B55" s="69" t="s">
        <v>56</v>
      </c>
      <c r="C55" s="69" t="s">
        <v>1548</v>
      </c>
      <c r="D55" s="82">
        <v>40</v>
      </c>
      <c r="E55" s="82">
        <v>60</v>
      </c>
      <c r="F55" s="82">
        <v>90</v>
      </c>
      <c r="G55" s="83">
        <f>CHOOSE(MATCH(EffortBasis,{"Low","Likely","High"},0),D55,E55,F55)</f>
        <v>60</v>
      </c>
      <c r="H55" s="84">
        <f>Rates!$C$106</f>
        <v>950</v>
      </c>
      <c r="I55" s="87">
        <f>IF(HCL_Toggle="Include",G55*Rates!$C$106,0)</f>
        <v>57000</v>
      </c>
      <c r="J55" s="86" t="s">
        <v>1196</v>
      </c>
      <c r="K55" s="54" t="s">
        <v>1549</v>
      </c>
      <c r="L55" s="6" t="s">
        <v>1430</v>
      </c>
    </row>
    <row r="56" spans="1:12" ht="51" x14ac:dyDescent="0.2">
      <c r="A56" s="68" t="s">
        <v>1550</v>
      </c>
      <c r="B56" s="69" t="s">
        <v>55</v>
      </c>
      <c r="C56" s="69" t="s">
        <v>1551</v>
      </c>
      <c r="D56" s="82">
        <v>20</v>
      </c>
      <c r="E56" s="82">
        <v>30</v>
      </c>
      <c r="F56" s="82">
        <v>45</v>
      </c>
      <c r="G56" s="83">
        <f>CHOOSE(MATCH(EffortBasis,{"Low","Likely","High"},0),D56,E56,F56)</f>
        <v>30</v>
      </c>
      <c r="H56" s="84">
        <f>Rates!$C$92</f>
        <v>525</v>
      </c>
      <c r="I56" s="85">
        <f>G56*Rates!$C$92</f>
        <v>15750</v>
      </c>
      <c r="J56" s="86" t="s">
        <v>128</v>
      </c>
      <c r="K56" s="54" t="s">
        <v>1552</v>
      </c>
      <c r="L56" s="6" t="s">
        <v>1430</v>
      </c>
    </row>
    <row r="57" spans="1:12" ht="34" x14ac:dyDescent="0.2">
      <c r="A57" s="68" t="s">
        <v>1553</v>
      </c>
      <c r="B57" s="69" t="s">
        <v>56</v>
      </c>
      <c r="C57" s="69" t="s">
        <v>1554</v>
      </c>
      <c r="D57" s="82">
        <v>1</v>
      </c>
      <c r="E57" s="82">
        <v>1</v>
      </c>
      <c r="F57" s="82">
        <v>1</v>
      </c>
      <c r="G57" s="83">
        <f>E57</f>
        <v>1</v>
      </c>
      <c r="H57" s="84">
        <f>Rates!$C$119</f>
        <v>0</v>
      </c>
      <c r="I57" s="87">
        <f>IF(HCL_Toggle="Include",G57*Rates!$C$119,0)</f>
        <v>0</v>
      </c>
      <c r="J57" s="86" t="s">
        <v>1220</v>
      </c>
      <c r="K57" s="54" t="s">
        <v>1555</v>
      </c>
      <c r="L57" s="6" t="s">
        <v>1448</v>
      </c>
    </row>
    <row r="58" spans="1:12" ht="34" x14ac:dyDescent="0.2">
      <c r="A58" s="68" t="s">
        <v>1556</v>
      </c>
      <c r="B58" s="69" t="s">
        <v>56</v>
      </c>
      <c r="C58" s="69" t="s">
        <v>1554</v>
      </c>
      <c r="D58" s="82">
        <v>1</v>
      </c>
      <c r="E58" s="82">
        <v>1</v>
      </c>
      <c r="F58" s="82">
        <v>1</v>
      </c>
      <c r="G58" s="83">
        <f>E58</f>
        <v>1</v>
      </c>
      <c r="H58" s="84">
        <f>Rates!$C$120</f>
        <v>0</v>
      </c>
      <c r="I58" s="87">
        <f>IF(HCL_Toggle="Include",G58*Rates!$C$120,0)</f>
        <v>0</v>
      </c>
      <c r="J58" s="86" t="s">
        <v>1220</v>
      </c>
      <c r="K58" s="54" t="s">
        <v>1557</v>
      </c>
      <c r="L58" s="6" t="s">
        <v>1448</v>
      </c>
    </row>
    <row r="59" spans="1:12" ht="34" x14ac:dyDescent="0.2">
      <c r="A59" s="68" t="s">
        <v>1558</v>
      </c>
      <c r="B59" s="69" t="s">
        <v>56</v>
      </c>
      <c r="C59" s="69" t="s">
        <v>1554</v>
      </c>
      <c r="D59" s="82">
        <v>1</v>
      </c>
      <c r="E59" s="82">
        <v>1</v>
      </c>
      <c r="F59" s="82">
        <v>1</v>
      </c>
      <c r="G59" s="83">
        <f>E59</f>
        <v>1</v>
      </c>
      <c r="H59" s="84">
        <f>Rates!$C$121</f>
        <v>0</v>
      </c>
      <c r="I59" s="87">
        <f>IF(HCL_Toggle="Include",G59*Rates!$C$121,0)</f>
        <v>0</v>
      </c>
      <c r="J59" s="86" t="s">
        <v>1220</v>
      </c>
      <c r="K59" s="54" t="s">
        <v>1559</v>
      </c>
      <c r="L59" s="6" t="s">
        <v>1448</v>
      </c>
    </row>
    <row r="60" spans="1:12" ht="34" x14ac:dyDescent="0.2">
      <c r="A60" s="68" t="s">
        <v>1560</v>
      </c>
      <c r="B60" s="69" t="s">
        <v>56</v>
      </c>
      <c r="C60" s="69" t="s">
        <v>1554</v>
      </c>
      <c r="D60" s="82">
        <v>1</v>
      </c>
      <c r="E60" s="82">
        <v>1</v>
      </c>
      <c r="F60" s="82">
        <v>1</v>
      </c>
      <c r="G60" s="83">
        <f>E60</f>
        <v>1</v>
      </c>
      <c r="H60" s="84">
        <f>Rates!$C$122</f>
        <v>0</v>
      </c>
      <c r="I60" s="87">
        <f>IF(HCL_Toggle="Include",G60*Rates!$C$122,0)</f>
        <v>0</v>
      </c>
      <c r="J60" s="86" t="s">
        <v>1220</v>
      </c>
      <c r="K60" s="54" t="s">
        <v>1557</v>
      </c>
      <c r="L60" s="6" t="s">
        <v>1448</v>
      </c>
    </row>
    <row r="61" spans="1:12" ht="51" x14ac:dyDescent="0.2">
      <c r="A61" s="68" t="s">
        <v>1561</v>
      </c>
      <c r="B61" s="69" t="s">
        <v>56</v>
      </c>
      <c r="C61" s="69" t="s">
        <v>1562</v>
      </c>
      <c r="D61" s="82">
        <v>1</v>
      </c>
      <c r="E61" s="82">
        <v>1</v>
      </c>
      <c r="F61" s="82">
        <v>1</v>
      </c>
      <c r="G61" s="83">
        <f>E61</f>
        <v>1</v>
      </c>
      <c r="H61" s="88">
        <v>0</v>
      </c>
      <c r="I61" s="87">
        <f>IF(HCL_Toggle="Include",G61*H61,0)</f>
        <v>0</v>
      </c>
      <c r="J61" s="86" t="s">
        <v>1220</v>
      </c>
      <c r="K61" s="54" t="s">
        <v>1563</v>
      </c>
      <c r="L61" s="6" t="s">
        <v>1448</v>
      </c>
    </row>
    <row r="62" spans="1:12" ht="34" x14ac:dyDescent="0.2">
      <c r="A62" s="89" t="s">
        <v>1564</v>
      </c>
      <c r="I62" s="90">
        <f>SUM(I54:I61)</f>
        <v>158250</v>
      </c>
    </row>
    <row r="64" spans="1:12" ht="102" x14ac:dyDescent="0.2">
      <c r="A64" s="48" t="s">
        <v>1565</v>
      </c>
      <c r="B64" s="48"/>
      <c r="C64" s="48"/>
      <c r="D64" s="48"/>
      <c r="E64" s="48"/>
      <c r="F64" s="48"/>
      <c r="G64" s="48"/>
      <c r="H64" s="48"/>
      <c r="I64" s="48"/>
      <c r="J64" s="48"/>
      <c r="K64" s="48"/>
    </row>
    <row r="65" spans="1:12" ht="34" x14ac:dyDescent="0.2">
      <c r="A65" s="50" t="s">
        <v>1418</v>
      </c>
      <c r="B65" s="50" t="s">
        <v>104</v>
      </c>
      <c r="C65" s="50" t="s">
        <v>1419</v>
      </c>
      <c r="D65" s="50" t="s">
        <v>1420</v>
      </c>
      <c r="E65" s="50" t="s">
        <v>1421</v>
      </c>
      <c r="F65" s="50" t="s">
        <v>1422</v>
      </c>
      <c r="G65" s="50" t="s">
        <v>1423</v>
      </c>
      <c r="H65" s="50" t="s">
        <v>1424</v>
      </c>
      <c r="I65" s="50" t="s">
        <v>1425</v>
      </c>
      <c r="J65" s="50" t="s">
        <v>105</v>
      </c>
      <c r="K65" s="50" t="s">
        <v>113</v>
      </c>
      <c r="L65" s="5" t="s">
        <v>1426</v>
      </c>
    </row>
    <row r="66" spans="1:12" ht="34" x14ac:dyDescent="0.2">
      <c r="A66" s="68" t="s">
        <v>1566</v>
      </c>
      <c r="B66" s="69" t="s">
        <v>55</v>
      </c>
      <c r="C66" s="69" t="s">
        <v>1567</v>
      </c>
      <c r="D66" s="82">
        <v>30</v>
      </c>
      <c r="E66" s="82">
        <v>40</v>
      </c>
      <c r="F66" s="82">
        <v>60</v>
      </c>
      <c r="G66" s="83">
        <f>CHOOSE(MATCH(EffortBasis,{"Low","Likely","High"},0),D66,E66,F66)</f>
        <v>40</v>
      </c>
      <c r="H66" s="84">
        <f>Rates!$C$98</f>
        <v>431</v>
      </c>
      <c r="I66" s="85">
        <f>G66*Rates!$C$98</f>
        <v>17240</v>
      </c>
      <c r="J66" s="86" t="s">
        <v>128</v>
      </c>
      <c r="K66" s="54" t="s">
        <v>1568</v>
      </c>
      <c r="L66" s="6" t="s">
        <v>1430</v>
      </c>
    </row>
    <row r="67" spans="1:12" ht="34" x14ac:dyDescent="0.2">
      <c r="A67" s="68" t="s">
        <v>1569</v>
      </c>
      <c r="B67" s="69" t="s">
        <v>55</v>
      </c>
      <c r="C67" s="69" t="s">
        <v>1570</v>
      </c>
      <c r="D67" s="82">
        <v>15</v>
      </c>
      <c r="E67" s="82">
        <v>20</v>
      </c>
      <c r="F67" s="82">
        <v>30</v>
      </c>
      <c r="G67" s="83">
        <f>CHOOSE(MATCH(EffortBasis,{"Low","Likely","High"},0),D67,E67,F67)</f>
        <v>20</v>
      </c>
      <c r="H67" s="84">
        <f>Rates!$C$99</f>
        <v>515</v>
      </c>
      <c r="I67" s="85">
        <f>G67*Rates!$C$99</f>
        <v>10300</v>
      </c>
      <c r="J67" s="86" t="s">
        <v>128</v>
      </c>
      <c r="K67" s="54" t="s">
        <v>1571</v>
      </c>
      <c r="L67" s="6" t="s">
        <v>1430</v>
      </c>
    </row>
    <row r="68" spans="1:12" ht="51" x14ac:dyDescent="0.2">
      <c r="A68" s="68" t="s">
        <v>1572</v>
      </c>
      <c r="B68" s="69" t="s">
        <v>58</v>
      </c>
      <c r="C68" s="69" t="s">
        <v>1573</v>
      </c>
      <c r="D68" s="82">
        <v>5</v>
      </c>
      <c r="E68" s="82">
        <v>10</v>
      </c>
      <c r="F68" s="82">
        <v>15</v>
      </c>
      <c r="G68" s="83">
        <f>CHOOSE(MATCH(EffortBasis,{"Low","Likely","High"},0),D68,E68,F68)</f>
        <v>10</v>
      </c>
      <c r="H68" s="84">
        <f>Rates!$C$126</f>
        <v>950</v>
      </c>
      <c r="I68" s="85">
        <f>G68*Rates!$C$126</f>
        <v>9500</v>
      </c>
      <c r="J68" s="86" t="s">
        <v>1196</v>
      </c>
      <c r="K68" s="54" t="s">
        <v>1574</v>
      </c>
      <c r="L68" s="6" t="s">
        <v>1448</v>
      </c>
    </row>
    <row r="69" spans="1:12" ht="34" x14ac:dyDescent="0.2">
      <c r="A69" s="68" t="s">
        <v>1575</v>
      </c>
      <c r="B69" s="69" t="s">
        <v>55</v>
      </c>
      <c r="C69" s="69" t="s">
        <v>1570</v>
      </c>
      <c r="D69" s="82">
        <v>10</v>
      </c>
      <c r="E69" s="82">
        <v>20</v>
      </c>
      <c r="F69" s="82">
        <v>25</v>
      </c>
      <c r="G69" s="83">
        <f>CHOOSE(MATCH(EffortBasis,{"Low","Likely","High"},0),D69,E69,F69)</f>
        <v>20</v>
      </c>
      <c r="H69" s="84">
        <f>Rates!$C$101</f>
        <v>500</v>
      </c>
      <c r="I69" s="85">
        <f>G69*Rates!$C$101</f>
        <v>10000</v>
      </c>
      <c r="J69" s="86" t="s">
        <v>128</v>
      </c>
      <c r="K69" s="54" t="s">
        <v>1576</v>
      </c>
      <c r="L69" s="6" t="s">
        <v>1430</v>
      </c>
    </row>
    <row r="70" spans="1:12" ht="51" x14ac:dyDescent="0.2">
      <c r="A70" s="68" t="s">
        <v>1577</v>
      </c>
      <c r="B70" s="69" t="s">
        <v>55</v>
      </c>
      <c r="C70" s="69" t="s">
        <v>1578</v>
      </c>
      <c r="D70" s="82">
        <v>10</v>
      </c>
      <c r="E70" s="82">
        <v>15</v>
      </c>
      <c r="F70" s="82">
        <v>25</v>
      </c>
      <c r="G70" s="83">
        <f>CHOOSE(MATCH(EffortBasis,{"Low","Likely","High"},0),D70,E70,F70)</f>
        <v>15</v>
      </c>
      <c r="H70" s="84">
        <f>Rates!$C$93</f>
        <v>525</v>
      </c>
      <c r="I70" s="85">
        <f>G70*Rates!$C$93</f>
        <v>7875</v>
      </c>
      <c r="J70" s="86" t="s">
        <v>128</v>
      </c>
      <c r="K70" s="54" t="s">
        <v>1579</v>
      </c>
      <c r="L70" s="6" t="s">
        <v>1430</v>
      </c>
    </row>
    <row r="71" spans="1:12" ht="34" x14ac:dyDescent="0.2">
      <c r="A71" s="68" t="s">
        <v>1580</v>
      </c>
      <c r="B71" s="69" t="s">
        <v>56</v>
      </c>
      <c r="C71" s="69" t="s">
        <v>1570</v>
      </c>
      <c r="D71" s="82">
        <v>10</v>
      </c>
      <c r="E71" s="82">
        <v>20</v>
      </c>
      <c r="F71" s="82">
        <v>40</v>
      </c>
      <c r="G71" s="83">
        <f>CHOOSE(MATCH(EffortBasis,{"Low","Likely","High"},0),D71,E71,F71)</f>
        <v>20</v>
      </c>
      <c r="H71" s="84">
        <f>Rates!$C$106</f>
        <v>950</v>
      </c>
      <c r="I71" s="87">
        <f>IF(HCL_Toggle="Include",G71*Rates!$C$106,0)</f>
        <v>19000</v>
      </c>
      <c r="J71" s="86" t="s">
        <v>1196</v>
      </c>
      <c r="K71" s="54" t="s">
        <v>1581</v>
      </c>
      <c r="L71" s="6" t="s">
        <v>1430</v>
      </c>
    </row>
    <row r="72" spans="1:12" ht="34" x14ac:dyDescent="0.2">
      <c r="A72" s="68" t="s">
        <v>1582</v>
      </c>
      <c r="B72" s="69" t="s">
        <v>55</v>
      </c>
      <c r="C72" s="69" t="s">
        <v>1570</v>
      </c>
      <c r="D72" s="82">
        <v>15</v>
      </c>
      <c r="E72" s="82">
        <v>20</v>
      </c>
      <c r="F72" s="82">
        <v>30</v>
      </c>
      <c r="G72" s="83">
        <f>CHOOSE(MATCH(EffortBasis,{"Low","Likely","High"},0),D72,E72,F72)</f>
        <v>20</v>
      </c>
      <c r="H72" s="84">
        <f>Rates!$C$92</f>
        <v>525</v>
      </c>
      <c r="I72" s="85">
        <f>G72*Rates!$C$92</f>
        <v>10500</v>
      </c>
      <c r="J72" s="86" t="s">
        <v>128</v>
      </c>
      <c r="K72" s="54" t="s">
        <v>1583</v>
      </c>
      <c r="L72" s="6" t="s">
        <v>1430</v>
      </c>
    </row>
    <row r="73" spans="1:12" ht="119" x14ac:dyDescent="0.2">
      <c r="A73" s="68" t="s">
        <v>1584</v>
      </c>
      <c r="B73" s="69" t="s">
        <v>58</v>
      </c>
      <c r="C73" s="69" t="s">
        <v>1585</v>
      </c>
      <c r="D73" s="82">
        <v>3</v>
      </c>
      <c r="E73" s="82">
        <v>5</v>
      </c>
      <c r="F73" s="82">
        <v>13</v>
      </c>
      <c r="G73" s="83">
        <f>CHOOSE(MATCH(EffortBasis,{"Low","Likely","High"},0),D73,E73,F73)</f>
        <v>5</v>
      </c>
      <c r="H73" s="84">
        <f>Rates!$C$126</f>
        <v>950</v>
      </c>
      <c r="I73" s="85">
        <f>G73*Rates!$C$126</f>
        <v>4750</v>
      </c>
      <c r="J73" s="86" t="s">
        <v>1196</v>
      </c>
      <c r="K73" s="54" t="s">
        <v>1586</v>
      </c>
      <c r="L73" s="6" t="s">
        <v>1448</v>
      </c>
    </row>
    <row r="74" spans="1:12" ht="51" x14ac:dyDescent="0.2">
      <c r="A74" s="68" t="s">
        <v>1587</v>
      </c>
      <c r="B74" s="69" t="s">
        <v>55</v>
      </c>
      <c r="C74" s="69" t="s">
        <v>1588</v>
      </c>
      <c r="D74" s="82">
        <v>0</v>
      </c>
      <c r="E74" s="82">
        <v>0</v>
      </c>
      <c r="F74" s="82">
        <v>0</v>
      </c>
      <c r="G74" s="83">
        <f>E74</f>
        <v>0</v>
      </c>
      <c r="H74" s="88">
        <v>0</v>
      </c>
      <c r="I74" s="85">
        <f>G74*H74</f>
        <v>0</v>
      </c>
      <c r="J74" s="86" t="s">
        <v>1220</v>
      </c>
      <c r="K74" s="54" t="s">
        <v>1589</v>
      </c>
      <c r="L74" s="6" t="s">
        <v>1448</v>
      </c>
    </row>
    <row r="75" spans="1:12" ht="34" x14ac:dyDescent="0.2">
      <c r="A75" s="89" t="s">
        <v>1590</v>
      </c>
      <c r="I75" s="90">
        <f>SUM(I66:I74)</f>
        <v>89165</v>
      </c>
    </row>
    <row r="77" spans="1:12" ht="119" x14ac:dyDescent="0.2">
      <c r="A77" s="48" t="s">
        <v>1591</v>
      </c>
      <c r="B77" s="48"/>
      <c r="C77" s="48"/>
      <c r="D77" s="48"/>
      <c r="E77" s="48"/>
      <c r="F77" s="48"/>
      <c r="G77" s="48"/>
      <c r="H77" s="48"/>
      <c r="I77" s="48"/>
      <c r="J77" s="48"/>
      <c r="K77" s="48"/>
    </row>
    <row r="78" spans="1:12" ht="34" x14ac:dyDescent="0.2">
      <c r="A78" s="50" t="s">
        <v>1418</v>
      </c>
      <c r="B78" s="50" t="s">
        <v>104</v>
      </c>
      <c r="C78" s="50" t="s">
        <v>1419</v>
      </c>
      <c r="D78" s="50" t="s">
        <v>1420</v>
      </c>
      <c r="E78" s="50" t="s">
        <v>1421</v>
      </c>
      <c r="F78" s="50" t="s">
        <v>1422</v>
      </c>
      <c r="G78" s="50" t="s">
        <v>1423</v>
      </c>
      <c r="H78" s="50" t="s">
        <v>1424</v>
      </c>
      <c r="I78" s="50" t="s">
        <v>1425</v>
      </c>
      <c r="J78" s="50" t="s">
        <v>105</v>
      </c>
      <c r="K78" s="50" t="s">
        <v>113</v>
      </c>
      <c r="L78" s="5" t="s">
        <v>1426</v>
      </c>
    </row>
    <row r="79" spans="1:12" ht="34" x14ac:dyDescent="0.2">
      <c r="A79" s="68" t="s">
        <v>1592</v>
      </c>
      <c r="B79" s="69" t="s">
        <v>55</v>
      </c>
      <c r="C79" s="69" t="s">
        <v>1567</v>
      </c>
      <c r="D79" s="82">
        <v>30</v>
      </c>
      <c r="E79" s="82">
        <v>40</v>
      </c>
      <c r="F79" s="82">
        <v>55</v>
      </c>
      <c r="G79" s="83">
        <f>CHOOSE(MATCH(EffortBasis,{"Low","Likely","High"},0),D79,E79,F79)</f>
        <v>40</v>
      </c>
      <c r="H79" s="84">
        <f>Rates!$C$92</f>
        <v>525</v>
      </c>
      <c r="I79" s="85">
        <f>G79*Rates!$C$92</f>
        <v>21000</v>
      </c>
      <c r="J79" s="86" t="s">
        <v>128</v>
      </c>
      <c r="K79" s="54" t="s">
        <v>1593</v>
      </c>
      <c r="L79" s="6" t="s">
        <v>1430</v>
      </c>
    </row>
    <row r="80" spans="1:12" ht="51" x14ac:dyDescent="0.2">
      <c r="A80" s="68" t="s">
        <v>1594</v>
      </c>
      <c r="B80" s="69" t="s">
        <v>55</v>
      </c>
      <c r="C80" s="69" t="s">
        <v>1570</v>
      </c>
      <c r="D80" s="82">
        <v>15</v>
      </c>
      <c r="E80" s="82">
        <v>20</v>
      </c>
      <c r="F80" s="82">
        <v>30</v>
      </c>
      <c r="G80" s="83">
        <f>CHOOSE(MATCH(EffortBasis,{"Low","Likely","High"},0),D80,E80,F80)</f>
        <v>20</v>
      </c>
      <c r="H80" s="84">
        <f>Rates!$C$93</f>
        <v>525</v>
      </c>
      <c r="I80" s="85">
        <f>G80*Rates!$C$93</f>
        <v>10500</v>
      </c>
      <c r="J80" s="86" t="s">
        <v>128</v>
      </c>
      <c r="K80" s="54" t="s">
        <v>1595</v>
      </c>
      <c r="L80" s="6" t="s">
        <v>1430</v>
      </c>
    </row>
    <row r="81" spans="1:12" ht="34" x14ac:dyDescent="0.2">
      <c r="A81" s="68" t="s">
        <v>1596</v>
      </c>
      <c r="B81" s="69" t="s">
        <v>55</v>
      </c>
      <c r="C81" s="69" t="s">
        <v>1570</v>
      </c>
      <c r="D81" s="82">
        <v>15</v>
      </c>
      <c r="E81" s="82">
        <v>20</v>
      </c>
      <c r="F81" s="82">
        <v>25</v>
      </c>
      <c r="G81" s="83">
        <f>CHOOSE(MATCH(EffortBasis,{"Low","Likely","High"},0),D81,E81,F81)</f>
        <v>20</v>
      </c>
      <c r="H81" s="84">
        <f>Rates!$C$97</f>
        <v>535</v>
      </c>
      <c r="I81" s="85">
        <f>G81*Rates!$C$97</f>
        <v>10700</v>
      </c>
      <c r="J81" s="86" t="s">
        <v>128</v>
      </c>
      <c r="K81" s="54" t="s">
        <v>1597</v>
      </c>
      <c r="L81" s="6" t="s">
        <v>1430</v>
      </c>
    </row>
    <row r="82" spans="1:12" ht="34" x14ac:dyDescent="0.2">
      <c r="A82" s="68" t="s">
        <v>1598</v>
      </c>
      <c r="B82" s="69" t="s">
        <v>55</v>
      </c>
      <c r="C82" s="69" t="s">
        <v>1599</v>
      </c>
      <c r="D82" s="82">
        <v>5</v>
      </c>
      <c r="E82" s="82">
        <v>10</v>
      </c>
      <c r="F82" s="82">
        <v>20</v>
      </c>
      <c r="G82" s="83">
        <f>CHOOSE(MATCH(EffortBasis,{"Low","Likely","High"},0),D82,E82,F82)</f>
        <v>10</v>
      </c>
      <c r="H82" s="84">
        <f>Rates!$C$95</f>
        <v>550</v>
      </c>
      <c r="I82" s="85">
        <f>G82*Rates!$C$95</f>
        <v>5500</v>
      </c>
      <c r="J82" s="86" t="s">
        <v>128</v>
      </c>
      <c r="K82" s="54" t="s">
        <v>1600</v>
      </c>
      <c r="L82" s="6" t="s">
        <v>1430</v>
      </c>
    </row>
    <row r="83" spans="1:12" ht="34" x14ac:dyDescent="0.2">
      <c r="A83" s="68" t="s">
        <v>1601</v>
      </c>
      <c r="B83" s="69" t="s">
        <v>56</v>
      </c>
      <c r="C83" s="69" t="s">
        <v>1570</v>
      </c>
      <c r="D83" s="82">
        <v>10</v>
      </c>
      <c r="E83" s="82">
        <v>20</v>
      </c>
      <c r="F83" s="82">
        <v>30</v>
      </c>
      <c r="G83" s="83">
        <f>CHOOSE(MATCH(EffortBasis,{"Low","Likely","High"},0),D83,E83,F83)</f>
        <v>20</v>
      </c>
      <c r="H83" s="84">
        <f>Rates!$C$106</f>
        <v>950</v>
      </c>
      <c r="I83" s="87">
        <f>IF(HCL_Toggle="Include",G83*Rates!$C$106,0)</f>
        <v>19000</v>
      </c>
      <c r="J83" s="86" t="s">
        <v>1196</v>
      </c>
      <c r="K83" s="54" t="s">
        <v>1602</v>
      </c>
      <c r="L83" s="6" t="s">
        <v>1430</v>
      </c>
    </row>
    <row r="84" spans="1:12" ht="68" x14ac:dyDescent="0.2">
      <c r="A84" s="68" t="s">
        <v>1603</v>
      </c>
      <c r="B84" s="69" t="s">
        <v>55</v>
      </c>
      <c r="C84" s="69" t="s">
        <v>1604</v>
      </c>
      <c r="D84" s="82">
        <v>0</v>
      </c>
      <c r="E84" s="82">
        <v>0</v>
      </c>
      <c r="F84" s="82">
        <v>0</v>
      </c>
      <c r="G84" s="83">
        <f>E84</f>
        <v>0</v>
      </c>
      <c r="H84" s="88">
        <v>0</v>
      </c>
      <c r="I84" s="85">
        <f>G84*H84</f>
        <v>0</v>
      </c>
      <c r="J84" s="86" t="s">
        <v>1220</v>
      </c>
      <c r="K84" s="54" t="s">
        <v>1605</v>
      </c>
      <c r="L84" s="6" t="s">
        <v>1448</v>
      </c>
    </row>
    <row r="85" spans="1:12" ht="34" x14ac:dyDescent="0.2">
      <c r="A85" s="89" t="s">
        <v>1606</v>
      </c>
      <c r="I85" s="90">
        <f>SUM(I79:I84)</f>
        <v>66700</v>
      </c>
    </row>
    <row r="87" spans="1:12" ht="136" x14ac:dyDescent="0.2">
      <c r="A87" s="48" t="s">
        <v>1607</v>
      </c>
      <c r="B87" s="48"/>
      <c r="C87" s="48"/>
      <c r="D87" s="48"/>
      <c r="E87" s="48"/>
      <c r="F87" s="48"/>
      <c r="G87" s="48"/>
      <c r="H87" s="48"/>
      <c r="I87" s="48"/>
      <c r="J87" s="48"/>
      <c r="K87" s="48"/>
    </row>
    <row r="88" spans="1:12" ht="34" x14ac:dyDescent="0.2">
      <c r="A88" s="50" t="s">
        <v>1418</v>
      </c>
      <c r="B88" s="50" t="s">
        <v>104</v>
      </c>
      <c r="C88" s="50" t="s">
        <v>1419</v>
      </c>
      <c r="D88" s="50" t="s">
        <v>1420</v>
      </c>
      <c r="E88" s="50" t="s">
        <v>1421</v>
      </c>
      <c r="F88" s="50" t="s">
        <v>1422</v>
      </c>
      <c r="G88" s="50" t="s">
        <v>1423</v>
      </c>
      <c r="H88" s="50" t="s">
        <v>1424</v>
      </c>
      <c r="I88" s="50" t="s">
        <v>1425</v>
      </c>
      <c r="J88" s="50" t="s">
        <v>105</v>
      </c>
      <c r="K88" s="50" t="s">
        <v>113</v>
      </c>
      <c r="L88" s="5" t="s">
        <v>1426</v>
      </c>
    </row>
    <row r="89" spans="1:12" ht="51" x14ac:dyDescent="0.2">
      <c r="A89" s="68" t="s">
        <v>1608</v>
      </c>
      <c r="B89" s="69" t="s">
        <v>55</v>
      </c>
      <c r="C89" s="69" t="s">
        <v>1609</v>
      </c>
      <c r="D89" s="82">
        <v>30</v>
      </c>
      <c r="E89" s="82">
        <v>45</v>
      </c>
      <c r="F89" s="82">
        <v>60</v>
      </c>
      <c r="G89" s="83">
        <f>CHOOSE(MATCH(EffortBasis,{"Low","Likely","High"},0),D89,E89,F89)</f>
        <v>45</v>
      </c>
      <c r="H89" s="84">
        <f>Rates!$C$92</f>
        <v>525</v>
      </c>
      <c r="I89" s="85">
        <f>G89*Rates!$C$92</f>
        <v>23625</v>
      </c>
      <c r="J89" s="86" t="s">
        <v>128</v>
      </c>
      <c r="K89" s="54" t="s">
        <v>1610</v>
      </c>
      <c r="L89" s="6" t="s">
        <v>1430</v>
      </c>
    </row>
    <row r="90" spans="1:12" ht="34" x14ac:dyDescent="0.2">
      <c r="A90" s="68" t="s">
        <v>1611</v>
      </c>
      <c r="B90" s="69" t="s">
        <v>56</v>
      </c>
      <c r="C90" s="69" t="s">
        <v>1551</v>
      </c>
      <c r="D90" s="82">
        <v>15</v>
      </c>
      <c r="E90" s="82">
        <v>30</v>
      </c>
      <c r="F90" s="82">
        <v>45</v>
      </c>
      <c r="G90" s="83">
        <f>CHOOSE(MATCH(EffortBasis,{"Low","Likely","High"},0),D90,E90,F90)</f>
        <v>30</v>
      </c>
      <c r="H90" s="84">
        <f>Rates!$C$106</f>
        <v>950</v>
      </c>
      <c r="I90" s="87">
        <f>IF(HCL_Toggle="Include",G90*Rates!$C$106,0)</f>
        <v>28500</v>
      </c>
      <c r="J90" s="86" t="s">
        <v>1196</v>
      </c>
      <c r="K90" s="54" t="s">
        <v>1612</v>
      </c>
      <c r="L90" s="6" t="s">
        <v>1430</v>
      </c>
    </row>
    <row r="91" spans="1:12" ht="51" x14ac:dyDescent="0.2">
      <c r="A91" s="68" t="s">
        <v>1613</v>
      </c>
      <c r="B91" s="69" t="s">
        <v>55</v>
      </c>
      <c r="C91" s="69" t="s">
        <v>1614</v>
      </c>
      <c r="D91" s="82">
        <v>80</v>
      </c>
      <c r="E91" s="82">
        <v>120</v>
      </c>
      <c r="F91" s="82">
        <v>160</v>
      </c>
      <c r="G91" s="83">
        <f>CHOOSE(MATCH(EffortBasis,{"Low","Likely","High"},0),D91,E91,F91)</f>
        <v>120</v>
      </c>
      <c r="H91" s="84">
        <f>Rates!$C$101</f>
        <v>500</v>
      </c>
      <c r="I91" s="85">
        <f>G91*Rates!$C$101</f>
        <v>60000</v>
      </c>
      <c r="J91" s="86" t="s">
        <v>128</v>
      </c>
      <c r="K91" s="54" t="s">
        <v>1615</v>
      </c>
      <c r="L91" s="6" t="s">
        <v>1430</v>
      </c>
    </row>
    <row r="92" spans="1:12" ht="85" x14ac:dyDescent="0.2">
      <c r="A92" s="68" t="s">
        <v>1616</v>
      </c>
      <c r="B92" s="69" t="s">
        <v>55</v>
      </c>
      <c r="C92" s="69" t="s">
        <v>1617</v>
      </c>
      <c r="D92" s="82">
        <v>463</v>
      </c>
      <c r="E92" s="82">
        <v>463</v>
      </c>
      <c r="F92" s="82">
        <v>463</v>
      </c>
      <c r="G92" s="83">
        <f>OrgSize</f>
        <v>700</v>
      </c>
      <c r="H92" s="84">
        <f>Rates!$C$133</f>
        <v>0</v>
      </c>
      <c r="I92" s="85">
        <f>G92*Rates!$C$133</f>
        <v>0</v>
      </c>
      <c r="J92" s="86" t="s">
        <v>1220</v>
      </c>
      <c r="K92" s="54" t="s">
        <v>1618</v>
      </c>
      <c r="L92" s="6" t="s">
        <v>1448</v>
      </c>
    </row>
    <row r="93" spans="1:12" ht="51" x14ac:dyDescent="0.2">
      <c r="A93" s="68" t="s">
        <v>1619</v>
      </c>
      <c r="B93" s="69" t="s">
        <v>55</v>
      </c>
      <c r="C93" s="69" t="s">
        <v>1620</v>
      </c>
      <c r="D93" s="82">
        <v>10</v>
      </c>
      <c r="E93" s="82">
        <v>15</v>
      </c>
      <c r="F93" s="82">
        <v>25</v>
      </c>
      <c r="G93" s="83">
        <f>CHOOSE(MATCH(EffortBasis,{"Low","Likely","High"},0),D93,E93,F93)</f>
        <v>15</v>
      </c>
      <c r="H93" s="84">
        <f>Rates!$C$97</f>
        <v>535</v>
      </c>
      <c r="I93" s="85">
        <f>G93*Rates!$C$97</f>
        <v>8025</v>
      </c>
      <c r="J93" s="86" t="s">
        <v>128</v>
      </c>
      <c r="K93" s="54" t="s">
        <v>1621</v>
      </c>
      <c r="L93" s="6" t="s">
        <v>1430</v>
      </c>
    </row>
    <row r="94" spans="1:12" ht="34" x14ac:dyDescent="0.2">
      <c r="A94" s="89" t="s">
        <v>1622</v>
      </c>
      <c r="I94" s="90">
        <f>SUM(I89:I93)</f>
        <v>120150</v>
      </c>
    </row>
    <row r="96" spans="1:12" ht="17" x14ac:dyDescent="0.2">
      <c r="A96" s="48" t="s">
        <v>1623</v>
      </c>
      <c r="B96" s="48"/>
      <c r="C96" s="48"/>
      <c r="D96" s="48"/>
      <c r="E96" s="48"/>
      <c r="F96" s="48"/>
      <c r="G96" s="48"/>
      <c r="H96" s="48"/>
      <c r="I96" s="48"/>
      <c r="J96" s="48"/>
      <c r="K96" s="48"/>
    </row>
    <row r="97" spans="1:11" ht="17" x14ac:dyDescent="0.2">
      <c r="A97" s="91" t="s">
        <v>1624</v>
      </c>
      <c r="I97" s="85">
        <f>I15+I50+I62+I75+I85+I94</f>
        <v>722036.58329999994</v>
      </c>
    </row>
    <row r="98" spans="1:11" ht="34" x14ac:dyDescent="0.2">
      <c r="A98" s="68" t="s">
        <v>1625</v>
      </c>
      <c r="I98" s="92">
        <f>I97*ContingencyPct</f>
        <v>108305.48749499999</v>
      </c>
      <c r="J98" s="86" t="s">
        <v>121</v>
      </c>
      <c r="K98" s="54" t="s">
        <v>1626</v>
      </c>
    </row>
    <row r="99" spans="1:11" ht="17" x14ac:dyDescent="0.2">
      <c r="A99" s="68" t="s">
        <v>1627</v>
      </c>
      <c r="I99" s="92">
        <f>(SUMIF($L$6:$L$14,"TD",$I$6:$I$14)+SUMIF($L$19:$L$49,"TD",$I$19:$I$49)+SUMIF($L$54:$L$61,"TD",$I$54:$I$61)+SUMIF($L$66:$L$74,"TD",$I$66:$I$74)+SUMIF($L$79:$L$84,"TD",$I$79:$I$84))/29</f>
        <v>20263.330458620687</v>
      </c>
      <c r="J99" s="86" t="s">
        <v>121</v>
      </c>
      <c r="K99" s="54" t="s">
        <v>1628</v>
      </c>
    </row>
    <row r="100" spans="1:11" ht="34" x14ac:dyDescent="0.2">
      <c r="A100" s="68" t="s">
        <v>1629</v>
      </c>
      <c r="I100" s="92">
        <f>SlipWeeks*WeeklyBurn</f>
        <v>0</v>
      </c>
      <c r="J100" s="86" t="s">
        <v>121</v>
      </c>
      <c r="K100" s="54" t="s">
        <v>1630</v>
      </c>
    </row>
    <row r="101" spans="1:11" ht="34" x14ac:dyDescent="0.2">
      <c r="A101" s="68" t="s">
        <v>1631</v>
      </c>
      <c r="I101" s="92">
        <f>-OverlapWeeks*(SUMIFS($I$6:$I$14,$B$6:$B$14,"Azure",$L$6:$L$14,"TD")+SUMIFS($I$19:$I$49,$B$19:$B$49,"Azure",$L$19:$L$49,"TD")+SUMIFS($I$54:$I$61,$B$54:$B$61,"Azure",$L$54:$L$61,"TD")+SUMIFS($I$66:$I$74,$B$66:$B$74,"Azure",$L$66:$L$74,"TD")+SUMIFS($I$79:$I$84,$B$79:$B$84,"Azure",$L$79:$L$84,"TD"))/29</f>
        <v>0</v>
      </c>
      <c r="J101" s="86" t="s">
        <v>121</v>
      </c>
      <c r="K101" s="54" t="s">
        <v>1632</v>
      </c>
    </row>
    <row r="102" spans="1:11" ht="34" x14ac:dyDescent="0.2">
      <c r="A102" s="93" t="s">
        <v>1633</v>
      </c>
      <c r="I102" s="94">
        <f>I97+I98+I100+I101</f>
        <v>830342.07079499995</v>
      </c>
    </row>
    <row r="104" spans="1:11" x14ac:dyDescent="0.2">
      <c r="A104" s="95" t="s">
        <v>1634</v>
      </c>
      <c r="B104" s="81"/>
      <c r="C104" s="81"/>
      <c r="D104" s="81"/>
      <c r="E104" s="81"/>
      <c r="F104" s="81"/>
      <c r="G104" s="81"/>
      <c r="H104" s="81"/>
      <c r="I104" s="81"/>
      <c r="J104" s="81"/>
      <c r="K104" s="81"/>
    </row>
    <row r="105" spans="1:11" x14ac:dyDescent="0.2">
      <c r="A105" s="95" t="s">
        <v>1635</v>
      </c>
      <c r="B105" s="81"/>
      <c r="C105" s="81"/>
      <c r="D105" s="81"/>
      <c r="E105" s="81"/>
      <c r="F105" s="81"/>
      <c r="G105" s="81"/>
      <c r="H105" s="81"/>
      <c r="I105" s="81"/>
      <c r="J105" s="81"/>
      <c r="K105" s="81"/>
    </row>
    <row r="106" spans="1:11" x14ac:dyDescent="0.2">
      <c r="A106" s="95" t="s">
        <v>1636</v>
      </c>
      <c r="B106" s="81"/>
      <c r="C106" s="81"/>
      <c r="D106" s="81"/>
      <c r="E106" s="81"/>
      <c r="F106" s="81"/>
      <c r="G106" s="81"/>
      <c r="H106" s="81"/>
      <c r="I106" s="81"/>
      <c r="J106" s="81"/>
      <c r="K106" s="81"/>
    </row>
    <row r="107" spans="1:11" x14ac:dyDescent="0.2">
      <c r="A107" s="95" t="s">
        <v>1637</v>
      </c>
      <c r="B107" s="81"/>
      <c r="C107" s="81"/>
      <c r="D107" s="81"/>
      <c r="E107" s="81"/>
      <c r="F107" s="81"/>
      <c r="G107" s="81"/>
      <c r="H107" s="81"/>
      <c r="I107" s="81"/>
      <c r="J107" s="81"/>
      <c r="K107" s="81"/>
    </row>
    <row r="108" spans="1:11" x14ac:dyDescent="0.2">
      <c r="A108" s="95" t="s">
        <v>1638</v>
      </c>
      <c r="B108" s="81"/>
      <c r="C108" s="81"/>
      <c r="D108" s="81"/>
      <c r="E108" s="81"/>
      <c r="F108" s="81"/>
      <c r="G108" s="81"/>
      <c r="H108" s="81"/>
      <c r="I108" s="81"/>
      <c r="J108" s="81"/>
      <c r="K108" s="81"/>
    </row>
    <row r="109" spans="1:11" x14ac:dyDescent="0.2">
      <c r="A109" s="95" t="s">
        <v>1639</v>
      </c>
      <c r="B109" s="81"/>
      <c r="C109" s="81"/>
      <c r="D109" s="81"/>
      <c r="E109" s="81"/>
      <c r="F109" s="81"/>
      <c r="G109" s="81"/>
      <c r="H109" s="81"/>
      <c r="I109" s="81"/>
      <c r="J109" s="81"/>
      <c r="K109" s="81"/>
    </row>
    <row r="110" spans="1:11" x14ac:dyDescent="0.2">
      <c r="A110" s="95" t="s">
        <v>1640</v>
      </c>
      <c r="B110" s="81"/>
      <c r="C110" s="81"/>
      <c r="D110" s="81"/>
      <c r="E110" s="81"/>
      <c r="F110" s="81"/>
      <c r="G110" s="81"/>
      <c r="H110" s="81"/>
      <c r="I110" s="81"/>
      <c r="J110" s="81"/>
      <c r="K110" s="81"/>
    </row>
    <row r="111" spans="1:11" x14ac:dyDescent="0.2">
      <c r="A111" s="95" t="s">
        <v>1641</v>
      </c>
      <c r="B111" s="81"/>
      <c r="C111" s="81"/>
      <c r="D111" s="81"/>
      <c r="E111" s="81"/>
      <c r="F111" s="81"/>
      <c r="G111" s="81"/>
      <c r="H111" s="81"/>
      <c r="I111" s="81"/>
      <c r="J111" s="81"/>
      <c r="K111" s="81"/>
    </row>
  </sheetData>
  <mergeCells count="9">
    <mergeCell ref="A104:K104"/>
    <mergeCell ref="A2:K2"/>
    <mergeCell ref="A107:K107"/>
    <mergeCell ref="A108:K108"/>
    <mergeCell ref="A110:K110"/>
    <mergeCell ref="A111:K111"/>
    <mergeCell ref="A106:K106"/>
    <mergeCell ref="A105:K105"/>
    <mergeCell ref="A109:K10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76"/>
  <sheetViews>
    <sheetView showGridLines="0" workbookViewId="0">
      <pane ySplit="4" topLeftCell="A5" activePane="bottomLeft" state="frozen"/>
      <selection pane="bottomLeft" activeCell="M1" sqref="M1:M1048576"/>
    </sheetView>
  </sheetViews>
  <sheetFormatPr baseColWidth="10" defaultColWidth="8.83203125" defaultRowHeight="15" x14ac:dyDescent="0.2"/>
  <cols>
    <col min="1" max="1" width="46" style="60" customWidth="1"/>
    <col min="2" max="2" width="10" style="59" customWidth="1"/>
    <col min="3" max="3" width="26" style="59" customWidth="1"/>
    <col min="4" max="5" width="12" style="59" customWidth="1"/>
    <col min="6" max="10" width="13" style="59" customWidth="1"/>
    <col min="11" max="11" width="15" style="59" customWidth="1"/>
    <col min="12" max="12" width="16.5" style="59" customWidth="1"/>
    <col min="13" max="13" width="44" style="60" customWidth="1"/>
  </cols>
  <sheetData>
    <row r="1" spans="1:13" ht="38" x14ac:dyDescent="0.2">
      <c r="A1" s="46" t="s">
        <v>1642</v>
      </c>
      <c r="B1" s="45"/>
      <c r="C1" s="45"/>
      <c r="D1" s="45"/>
      <c r="E1" s="45"/>
      <c r="F1" s="45"/>
      <c r="G1" s="45"/>
      <c r="H1" s="45"/>
      <c r="I1" s="45"/>
      <c r="J1" s="45"/>
      <c r="K1" s="45"/>
      <c r="L1" s="45"/>
      <c r="M1" s="46"/>
    </row>
    <row r="2" spans="1:13" x14ac:dyDescent="0.2">
      <c r="A2" s="38" t="str">
        <f>"Scenario: envs = "&amp;EnvCount&amp;" · platform = "&amp;Platform&amp;" · sku = "&amp;ModelSKU&amp;" · agents = "&amp;AgentStack&amp;"/"&amp;AgentCount&amp;" · mcp = "&amp;McpServerCount&amp;" · obs = "&amp;Observability&amp;" · HCL = "&amp;HCL_Toggle&amp;" · indexation = "&amp;TEXT(Indexation,"0.0%")</f>
        <v>Scenario: envs = 4 · platform = AKS · sku = GPT-4o · agents = Exclude/1 · mcp = 2 · obs = Azure · HCL = Include · indexation = 3.0%</v>
      </c>
      <c r="B2" s="37"/>
      <c r="C2" s="37"/>
      <c r="D2" s="37"/>
      <c r="E2" s="37"/>
      <c r="F2" s="37"/>
      <c r="G2" s="37"/>
      <c r="H2" s="37"/>
      <c r="I2" s="37"/>
      <c r="J2" s="37"/>
      <c r="K2" s="37"/>
      <c r="L2" s="37"/>
      <c r="M2" s="37"/>
    </row>
    <row r="4" spans="1:13" ht="17" x14ac:dyDescent="0.2">
      <c r="A4" s="50" t="s">
        <v>1643</v>
      </c>
      <c r="B4" s="49" t="s">
        <v>104</v>
      </c>
      <c r="C4" s="49" t="s">
        <v>1419</v>
      </c>
      <c r="D4" s="49" t="s">
        <v>1644</v>
      </c>
      <c r="E4" s="49" t="s">
        <v>1424</v>
      </c>
      <c r="F4" s="49" t="s">
        <v>1645</v>
      </c>
      <c r="G4" s="49" t="s">
        <v>1646</v>
      </c>
      <c r="H4" s="49" t="s">
        <v>1647</v>
      </c>
      <c r="I4" s="49" t="s">
        <v>1648</v>
      </c>
      <c r="J4" s="49" t="s">
        <v>1649</v>
      </c>
      <c r="K4" s="49" t="s">
        <v>1650</v>
      </c>
      <c r="L4" s="49" t="s">
        <v>105</v>
      </c>
      <c r="M4" s="50" t="s">
        <v>113</v>
      </c>
    </row>
    <row r="5" spans="1:13" ht="51" x14ac:dyDescent="0.2">
      <c r="A5" s="68" t="s">
        <v>1651</v>
      </c>
      <c r="B5" s="51" t="s">
        <v>57</v>
      </c>
      <c r="C5" s="69" t="s">
        <v>1652</v>
      </c>
      <c r="D5" s="70">
        <v>8760</v>
      </c>
      <c r="E5" s="72">
        <f>Rates!$C$6</f>
        <v>7.5800000000000006E-2</v>
      </c>
      <c r="F5" s="76">
        <f>(IF(Platform="AKS",(D5*E5)*IF(ClusterCount="Dual",2,1),0))*(1+Indexation)^0</f>
        <v>664.00800000000004</v>
      </c>
      <c r="G5" s="76">
        <f>(IF(Platform="AKS",(D5*E5)*IF(ClusterCount="Dual",2,1),0))*(1+Indexation)^1</f>
        <v>683.92824000000007</v>
      </c>
      <c r="H5" s="76">
        <f>(IF(Platform="AKS",(D5*E5)*IF(ClusterCount="Dual",2,1),0))*(1+Indexation)^2</f>
        <v>704.44608719999997</v>
      </c>
      <c r="I5" s="76">
        <f>(IF(Platform="AKS",(D5*E5)*IF(ClusterCount="Dual",2,1),0))*(1+Indexation)^3</f>
        <v>725.57946981600003</v>
      </c>
      <c r="J5" s="76">
        <f>(IF(Platform="AKS",(D5*E5)*IF(ClusterCount="Dual",2,1),0))*(1+Indexation)^4</f>
        <v>747.34685391048004</v>
      </c>
      <c r="K5" s="58">
        <f t="shared" ref="K5:K36" si="0">SUM(F5:J5)</f>
        <v>3525.3086509264799</v>
      </c>
      <c r="L5" s="53" t="s">
        <v>128</v>
      </c>
      <c r="M5" s="54" t="s">
        <v>1653</v>
      </c>
    </row>
    <row r="6" spans="1:13" ht="85" x14ac:dyDescent="0.2">
      <c r="A6" s="68" t="s">
        <v>1654</v>
      </c>
      <c r="B6" s="51" t="s">
        <v>57</v>
      </c>
      <c r="C6" s="69" t="s">
        <v>1655</v>
      </c>
      <c r="D6" s="70">
        <v>54360</v>
      </c>
      <c r="E6" s="72">
        <f>Rates!$C$7</f>
        <v>0.16819999999999999</v>
      </c>
      <c r="F6" s="76">
        <f>(IF(Platform="AKS",(D6*E6)*EnvCount/4*CHOOSE(MATCH(NodeSize,{"S","M","L"},0),0.5,1,2),0))*(1+Indexation)^0</f>
        <v>9143.351999999999</v>
      </c>
      <c r="G6" s="76">
        <f>(IF(Platform="AKS",(D6*E6)*EnvCount/4*CHOOSE(MATCH(NodeSize,{"S","M","L"},0),0.5,1,2),0))*(1+Indexation)^1</f>
        <v>9417.6525599999986</v>
      </c>
      <c r="H6" s="76">
        <f>(IF(Platform="AKS",(D6*E6)*EnvCount/4*CHOOSE(MATCH(NodeSize,{"S","M","L"},0),0.5,1,2),0))*(1+Indexation)^2</f>
        <v>9700.1821367999983</v>
      </c>
      <c r="I6" s="76">
        <f>(IF(Platform="AKS",(D6*E6)*EnvCount/4*CHOOSE(MATCH(NodeSize,{"S","M","L"},0),0.5,1,2),0))*(1+Indexation)^3</f>
        <v>9991.1876009039988</v>
      </c>
      <c r="J6" s="76">
        <f>(IF(Platform="AKS",(D6*E6)*EnvCount/4*CHOOSE(MATCH(NodeSize,{"S","M","L"},0),0.5,1,2),0))*(1+Indexation)^4</f>
        <v>10290.923228931119</v>
      </c>
      <c r="K6" s="58">
        <f t="shared" si="0"/>
        <v>48543.297526635113</v>
      </c>
      <c r="L6" s="53" t="s">
        <v>128</v>
      </c>
      <c r="M6" s="54" t="s">
        <v>1656</v>
      </c>
    </row>
    <row r="7" spans="1:13" ht="68" x14ac:dyDescent="0.2">
      <c r="A7" s="68" t="s">
        <v>1657</v>
      </c>
      <c r="B7" s="51" t="s">
        <v>57</v>
      </c>
      <c r="C7" s="69" t="s">
        <v>1655</v>
      </c>
      <c r="D7" s="70">
        <v>54360</v>
      </c>
      <c r="E7" s="72">
        <f>Rates!$C$8</f>
        <v>0.19850000000000001</v>
      </c>
      <c r="F7" s="76">
        <f>(IF(Platform="ARO",(D7*E7)*EnvCount/4*CHOOSE(MATCH(NodeSize,{"S","M","L"},0),0.5,1,2),0))*(1+Indexation)^0</f>
        <v>0</v>
      </c>
      <c r="G7" s="76">
        <f>(IF(Platform="ARO",(D7*E7)*EnvCount/4*CHOOSE(MATCH(NodeSize,{"S","M","L"},0),0.5,1,2),0))*(1+Indexation)^1</f>
        <v>0</v>
      </c>
      <c r="H7" s="76">
        <f>(IF(Platform="ARO",(D7*E7)*EnvCount/4*CHOOSE(MATCH(NodeSize,{"S","M","L"},0),0.5,1,2),0))*(1+Indexation)^2</f>
        <v>0</v>
      </c>
      <c r="I7" s="76">
        <f>(IF(Platform="ARO",(D7*E7)*EnvCount/4*CHOOSE(MATCH(NodeSize,{"S","M","L"},0),0.5,1,2),0))*(1+Indexation)^3</f>
        <v>0</v>
      </c>
      <c r="J7" s="76">
        <f>(IF(Platform="ARO",(D7*E7)*EnvCount/4*CHOOSE(MATCH(NodeSize,{"S","M","L"},0),0.5,1,2),0))*(1+Indexation)^4</f>
        <v>0</v>
      </c>
      <c r="K7" s="58">
        <f t="shared" si="0"/>
        <v>0</v>
      </c>
      <c r="L7" s="53" t="s">
        <v>128</v>
      </c>
      <c r="M7" s="54" t="s">
        <v>1658</v>
      </c>
    </row>
    <row r="8" spans="1:13" ht="51" x14ac:dyDescent="0.2">
      <c r="A8" s="68" t="s">
        <v>1659</v>
      </c>
      <c r="B8" s="51" t="s">
        <v>57</v>
      </c>
      <c r="C8" s="69" t="s">
        <v>1660</v>
      </c>
      <c r="D8" s="70">
        <v>217440</v>
      </c>
      <c r="E8" s="72">
        <f>Rates!$C$10</f>
        <v>3.2399999999999998E-2</v>
      </c>
      <c r="F8" s="76">
        <f>(IF(Platform="ARO",(D8*E8)*EnvCount/4*CHOOSE(MATCH(NodeSize,{"S","M","L"},0),0.5,1,2),0))*(1+Indexation)^0</f>
        <v>0</v>
      </c>
      <c r="G8" s="76">
        <f>(IF(Platform="ARO",(D8*E8)*EnvCount/4*CHOOSE(MATCH(NodeSize,{"S","M","L"},0),0.5,1,2),0))*(1+Indexation)^1</f>
        <v>0</v>
      </c>
      <c r="H8" s="76">
        <f>(IF(Platform="ARO",(D8*E8)*EnvCount/4*CHOOSE(MATCH(NodeSize,{"S","M","L"},0),0.5,1,2),0))*(1+Indexation)^2</f>
        <v>0</v>
      </c>
      <c r="I8" s="76">
        <f>(IF(Platform="ARO",(D8*E8)*EnvCount/4*CHOOSE(MATCH(NodeSize,{"S","M","L"},0),0.5,1,2),0))*(1+Indexation)^3</f>
        <v>0</v>
      </c>
      <c r="J8" s="76">
        <f>(IF(Platform="ARO",(D8*E8)*EnvCount/4*CHOOSE(MATCH(NodeSize,{"S","M","L"},0),0.5,1,2),0))*(1+Indexation)^4</f>
        <v>0</v>
      </c>
      <c r="K8" s="58">
        <f t="shared" si="0"/>
        <v>0</v>
      </c>
      <c r="L8" s="53" t="s">
        <v>128</v>
      </c>
      <c r="M8" s="54" t="s">
        <v>1661</v>
      </c>
    </row>
    <row r="9" spans="1:13" ht="51" x14ac:dyDescent="0.2">
      <c r="A9" s="68" t="s">
        <v>1662</v>
      </c>
      <c r="B9" s="51" t="s">
        <v>57</v>
      </c>
      <c r="C9" s="69" t="s">
        <v>1663</v>
      </c>
      <c r="D9" s="70">
        <v>26280</v>
      </c>
      <c r="E9" s="72">
        <f>Rates!$C$9</f>
        <v>0.33639999999999998</v>
      </c>
      <c r="F9" s="76">
        <f>(IF(Platform="ARO",(D9*E9)*IF(ClusterCount="Dual",2,1),0))*(1+Indexation)^0</f>
        <v>0</v>
      </c>
      <c r="G9" s="76">
        <f>(IF(Platform="ARO",(D9*E9)*IF(ClusterCount="Dual",2,1),0))*(1+Indexation)^1</f>
        <v>0</v>
      </c>
      <c r="H9" s="76">
        <f>(IF(Platform="ARO",(D9*E9)*IF(ClusterCount="Dual",2,1),0))*(1+Indexation)^2</f>
        <v>0</v>
      </c>
      <c r="I9" s="76">
        <f>(IF(Platform="ARO",(D9*E9)*IF(ClusterCount="Dual",2,1),0))*(1+Indexation)^3</f>
        <v>0</v>
      </c>
      <c r="J9" s="76">
        <f>(IF(Platform="ARO",(D9*E9)*IF(ClusterCount="Dual",2,1),0))*(1+Indexation)^4</f>
        <v>0</v>
      </c>
      <c r="K9" s="58">
        <f t="shared" si="0"/>
        <v>0</v>
      </c>
      <c r="L9" s="53" t="s">
        <v>128</v>
      </c>
      <c r="M9" s="54" t="s">
        <v>1664</v>
      </c>
    </row>
    <row r="10" spans="1:13" ht="51" x14ac:dyDescent="0.2">
      <c r="A10" s="68" t="s">
        <v>1665</v>
      </c>
      <c r="B10" s="51" t="s">
        <v>57</v>
      </c>
      <c r="C10" s="69" t="s">
        <v>1666</v>
      </c>
      <c r="D10" s="70">
        <v>18120</v>
      </c>
      <c r="E10" s="72">
        <f>Rates!$C$14</f>
        <v>0.31209999999999999</v>
      </c>
      <c r="F10" s="76">
        <f t="shared" ref="F10:F17" si="1">((D10*E10)*EnvCount/4)*(1+Indexation)^0</f>
        <v>5655.2519999999995</v>
      </c>
      <c r="G10" s="76">
        <f t="shared" ref="G10:G17" si="2">((D10*E10)*EnvCount/4)*(1+Indexation)^1</f>
        <v>5824.9095600000001</v>
      </c>
      <c r="H10" s="76">
        <f t="shared" ref="H10:H17" si="3">((D10*E10)*EnvCount/4)*(1+Indexation)^2</f>
        <v>5999.6568467999996</v>
      </c>
      <c r="I10" s="76">
        <f t="shared" ref="I10:I17" si="4">((D10*E10)*EnvCount/4)*(1+Indexation)^3</f>
        <v>6179.6465522039998</v>
      </c>
      <c r="J10" s="76">
        <f t="shared" ref="J10:J17" si="5">((D10*E10)*EnvCount/4)*(1+Indexation)^4</f>
        <v>6365.0359487701189</v>
      </c>
      <c r="K10" s="58">
        <f t="shared" si="0"/>
        <v>30024.50090777412</v>
      </c>
      <c r="L10" s="53" t="s">
        <v>128</v>
      </c>
      <c r="M10" s="54" t="s">
        <v>1667</v>
      </c>
    </row>
    <row r="11" spans="1:13" ht="34" x14ac:dyDescent="0.2">
      <c r="A11" s="68" t="s">
        <v>1668</v>
      </c>
      <c r="B11" s="51" t="s">
        <v>57</v>
      </c>
      <c r="C11" s="69" t="s">
        <v>1669</v>
      </c>
      <c r="D11" s="70">
        <v>6144</v>
      </c>
      <c r="E11" s="72">
        <f>Rates!$C$15</f>
        <v>0.1008</v>
      </c>
      <c r="F11" s="76">
        <f t="shared" si="1"/>
        <v>619.3152</v>
      </c>
      <c r="G11" s="76">
        <f t="shared" si="2"/>
        <v>637.89465600000005</v>
      </c>
      <c r="H11" s="76">
        <f t="shared" si="3"/>
        <v>657.03149567999992</v>
      </c>
      <c r="I11" s="76">
        <f t="shared" si="4"/>
        <v>676.74244055040003</v>
      </c>
      <c r="J11" s="76">
        <f t="shared" si="5"/>
        <v>697.04471376691197</v>
      </c>
      <c r="K11" s="58">
        <f t="shared" si="0"/>
        <v>3288.0285059973116</v>
      </c>
      <c r="L11" s="53" t="s">
        <v>128</v>
      </c>
      <c r="M11" s="54" t="s">
        <v>1670</v>
      </c>
    </row>
    <row r="12" spans="1:13" ht="51" x14ac:dyDescent="0.2">
      <c r="A12" s="68" t="s">
        <v>1671</v>
      </c>
      <c r="B12" s="51" t="s">
        <v>57</v>
      </c>
      <c r="C12" s="69" t="s">
        <v>1666</v>
      </c>
      <c r="D12" s="70">
        <v>18120</v>
      </c>
      <c r="E12" s="72">
        <f>Rates!$C$16</f>
        <v>0.5766</v>
      </c>
      <c r="F12" s="76">
        <f t="shared" si="1"/>
        <v>10447.992</v>
      </c>
      <c r="G12" s="76">
        <f t="shared" si="2"/>
        <v>10761.431760000001</v>
      </c>
      <c r="H12" s="76">
        <f t="shared" si="3"/>
        <v>11084.274712799999</v>
      </c>
      <c r="I12" s="76">
        <f t="shared" si="4"/>
        <v>11416.802954184001</v>
      </c>
      <c r="J12" s="76">
        <f t="shared" si="5"/>
        <v>11759.30704280952</v>
      </c>
      <c r="K12" s="58">
        <f t="shared" si="0"/>
        <v>55469.808469793526</v>
      </c>
      <c r="L12" s="53" t="s">
        <v>128</v>
      </c>
      <c r="M12" s="54" t="s">
        <v>1672</v>
      </c>
    </row>
    <row r="13" spans="1:13" ht="51" x14ac:dyDescent="0.2">
      <c r="A13" s="68" t="s">
        <v>1673</v>
      </c>
      <c r="B13" s="51" t="s">
        <v>57</v>
      </c>
      <c r="C13" s="69" t="s">
        <v>1674</v>
      </c>
      <c r="D13" s="70">
        <v>1200</v>
      </c>
      <c r="E13" s="72">
        <f>Rates!$C$17</f>
        <v>0.22500000000000001</v>
      </c>
      <c r="F13" s="76">
        <f t="shared" si="1"/>
        <v>270</v>
      </c>
      <c r="G13" s="76">
        <f t="shared" si="2"/>
        <v>278.10000000000002</v>
      </c>
      <c r="H13" s="76">
        <f t="shared" si="3"/>
        <v>286.44299999999998</v>
      </c>
      <c r="I13" s="76">
        <f t="shared" si="4"/>
        <v>295.03629000000001</v>
      </c>
      <c r="J13" s="76">
        <f t="shared" si="5"/>
        <v>303.8873787</v>
      </c>
      <c r="K13" s="58">
        <f t="shared" si="0"/>
        <v>1433.4666687000001</v>
      </c>
      <c r="L13" s="53" t="s">
        <v>128</v>
      </c>
      <c r="M13" s="54" t="s">
        <v>1675</v>
      </c>
    </row>
    <row r="14" spans="1:13" ht="68" x14ac:dyDescent="0.2">
      <c r="A14" s="68" t="s">
        <v>1676</v>
      </c>
      <c r="B14" s="51" t="s">
        <v>57</v>
      </c>
      <c r="C14" s="69" t="s">
        <v>1677</v>
      </c>
      <c r="D14" s="70">
        <v>18120</v>
      </c>
      <c r="E14" s="72">
        <f>Rates!$C$18</f>
        <v>2.2700000000000001E-2</v>
      </c>
      <c r="F14" s="76">
        <f t="shared" si="1"/>
        <v>411.32400000000001</v>
      </c>
      <c r="G14" s="76">
        <f t="shared" si="2"/>
        <v>423.66372000000001</v>
      </c>
      <c r="H14" s="76">
        <f t="shared" si="3"/>
        <v>436.37363160000001</v>
      </c>
      <c r="I14" s="76">
        <f t="shared" si="4"/>
        <v>449.46484054800004</v>
      </c>
      <c r="J14" s="76">
        <f t="shared" si="5"/>
        <v>462.94878576444</v>
      </c>
      <c r="K14" s="58">
        <f t="shared" si="0"/>
        <v>2183.7749779124401</v>
      </c>
      <c r="L14" s="53" t="s">
        <v>1196</v>
      </c>
      <c r="M14" s="54" t="s">
        <v>1678</v>
      </c>
    </row>
    <row r="15" spans="1:13" ht="51" x14ac:dyDescent="0.2">
      <c r="A15" s="68" t="s">
        <v>1679</v>
      </c>
      <c r="B15" s="51" t="s">
        <v>57</v>
      </c>
      <c r="C15" s="69" t="s">
        <v>1680</v>
      </c>
      <c r="D15" s="70">
        <v>18120</v>
      </c>
      <c r="E15" s="72">
        <f>Rates!$C$19</f>
        <v>0.13109999999999999</v>
      </c>
      <c r="F15" s="76">
        <f t="shared" si="1"/>
        <v>2375.5319999999997</v>
      </c>
      <c r="G15" s="76">
        <f t="shared" si="2"/>
        <v>2446.7979599999999</v>
      </c>
      <c r="H15" s="76">
        <f t="shared" si="3"/>
        <v>2520.2018987999995</v>
      </c>
      <c r="I15" s="76">
        <f t="shared" si="4"/>
        <v>2595.8079557639999</v>
      </c>
      <c r="J15" s="76">
        <f t="shared" si="5"/>
        <v>2673.6821944369194</v>
      </c>
      <c r="K15" s="58">
        <f t="shared" si="0"/>
        <v>12612.022009000917</v>
      </c>
      <c r="L15" s="53" t="s">
        <v>128</v>
      </c>
      <c r="M15" s="54" t="s">
        <v>1672</v>
      </c>
    </row>
    <row r="16" spans="1:13" ht="51" x14ac:dyDescent="0.2">
      <c r="A16" s="68" t="s">
        <v>1681</v>
      </c>
      <c r="B16" s="51" t="s">
        <v>57</v>
      </c>
      <c r="C16" s="69" t="s">
        <v>1682</v>
      </c>
      <c r="D16" s="70">
        <v>11880</v>
      </c>
      <c r="E16" s="72">
        <f>Rates!$C$23</f>
        <v>0.34089999999999998</v>
      </c>
      <c r="F16" s="76">
        <f t="shared" si="1"/>
        <v>4049.8919999999998</v>
      </c>
      <c r="G16" s="76">
        <f t="shared" si="2"/>
        <v>4171.3887599999998</v>
      </c>
      <c r="H16" s="76">
        <f t="shared" si="3"/>
        <v>4296.5304227999995</v>
      </c>
      <c r="I16" s="76">
        <f t="shared" si="4"/>
        <v>4425.4263354839995</v>
      </c>
      <c r="J16" s="76">
        <f t="shared" si="5"/>
        <v>4558.1891255485198</v>
      </c>
      <c r="K16" s="58">
        <f t="shared" si="0"/>
        <v>21501.426643832521</v>
      </c>
      <c r="L16" s="53" t="s">
        <v>128</v>
      </c>
      <c r="M16" s="54" t="s">
        <v>1683</v>
      </c>
    </row>
    <row r="17" spans="1:13" ht="51" x14ac:dyDescent="0.2">
      <c r="A17" s="68" t="s">
        <v>1684</v>
      </c>
      <c r="B17" s="51" t="s">
        <v>57</v>
      </c>
      <c r="C17" s="69" t="s">
        <v>1685</v>
      </c>
      <c r="D17" s="70">
        <v>87600</v>
      </c>
      <c r="E17" s="72">
        <f>Rates!$C$24</f>
        <v>1.09E-2</v>
      </c>
      <c r="F17" s="76">
        <f t="shared" si="1"/>
        <v>954.84</v>
      </c>
      <c r="G17" s="76">
        <f t="shared" si="2"/>
        <v>983.48520000000008</v>
      </c>
      <c r="H17" s="76">
        <f t="shared" si="3"/>
        <v>1012.9897559999999</v>
      </c>
      <c r="I17" s="76">
        <f t="shared" si="4"/>
        <v>1043.37944868</v>
      </c>
      <c r="J17" s="76">
        <f t="shared" si="5"/>
        <v>1074.6808321403998</v>
      </c>
      <c r="K17" s="58">
        <f t="shared" si="0"/>
        <v>5069.3752368203996</v>
      </c>
      <c r="L17" s="53" t="s">
        <v>128</v>
      </c>
      <c r="M17" s="54" t="s">
        <v>1686</v>
      </c>
    </row>
    <row r="18" spans="1:13" ht="51" x14ac:dyDescent="0.2">
      <c r="A18" s="68" t="s">
        <v>1687</v>
      </c>
      <c r="B18" s="51" t="s">
        <v>57</v>
      </c>
      <c r="C18" s="69" t="s">
        <v>1688</v>
      </c>
      <c r="D18" s="70">
        <v>8760</v>
      </c>
      <c r="E18" s="72">
        <f>Rates!$C$25</f>
        <v>0.7127</v>
      </c>
      <c r="F18" s="76">
        <f>(D18*E18)*(1+Indexation)^0</f>
        <v>6243.2520000000004</v>
      </c>
      <c r="G18" s="76">
        <f>(D18*E18)*(1+Indexation)^1</f>
        <v>6430.5495600000004</v>
      </c>
      <c r="H18" s="76">
        <f>(D18*E18)*(1+Indexation)^2</f>
        <v>6623.4660468000002</v>
      </c>
      <c r="I18" s="76">
        <f>(D18*E18)*(1+Indexation)^3</f>
        <v>6822.1700282040001</v>
      </c>
      <c r="J18" s="76">
        <f>(D18*E18)*(1+Indexation)^4</f>
        <v>7026.8351290501196</v>
      </c>
      <c r="K18" s="58">
        <f t="shared" si="0"/>
        <v>33146.27276405412</v>
      </c>
      <c r="L18" s="53" t="s">
        <v>1196</v>
      </c>
      <c r="M18" s="54" t="s">
        <v>1689</v>
      </c>
    </row>
    <row r="19" spans="1:13" ht="51" x14ac:dyDescent="0.2">
      <c r="A19" s="68" t="s">
        <v>1690</v>
      </c>
      <c r="B19" s="51" t="s">
        <v>57</v>
      </c>
      <c r="C19" s="69" t="s">
        <v>1691</v>
      </c>
      <c r="D19" s="70">
        <v>8760</v>
      </c>
      <c r="E19" s="72">
        <f>Rates!$C$26</f>
        <v>0.1439</v>
      </c>
      <c r="F19" s="76">
        <f>(D19*E19)*(1+Indexation)^0</f>
        <v>1260.5640000000001</v>
      </c>
      <c r="G19" s="76">
        <f>(D19*E19)*(1+Indexation)^1</f>
        <v>1298.3809200000001</v>
      </c>
      <c r="H19" s="76">
        <f>(D19*E19)*(1+Indexation)^2</f>
        <v>1337.3323476</v>
      </c>
      <c r="I19" s="76">
        <f>(D19*E19)*(1+Indexation)^3</f>
        <v>1377.452318028</v>
      </c>
      <c r="J19" s="76">
        <f>(D19*E19)*(1+Indexation)^4</f>
        <v>1418.7758875688401</v>
      </c>
      <c r="K19" s="58">
        <f t="shared" si="0"/>
        <v>6692.5054731968394</v>
      </c>
      <c r="L19" s="53" t="s">
        <v>1196</v>
      </c>
      <c r="M19" s="54" t="s">
        <v>1692</v>
      </c>
    </row>
    <row r="20" spans="1:13" ht="34" x14ac:dyDescent="0.2">
      <c r="A20" s="68" t="s">
        <v>1693</v>
      </c>
      <c r="B20" s="51" t="s">
        <v>57</v>
      </c>
      <c r="C20" s="69" t="s">
        <v>1694</v>
      </c>
      <c r="D20" s="70">
        <v>120</v>
      </c>
      <c r="E20" s="72">
        <f>Rates!$C$27</f>
        <v>0.37880000000000003</v>
      </c>
      <c r="F20" s="76">
        <f>(D20*E20)*(1+Indexation)^0</f>
        <v>45.456000000000003</v>
      </c>
      <c r="G20" s="76">
        <f>(D20*E20)*(1+Indexation)^1</f>
        <v>46.819680000000005</v>
      </c>
      <c r="H20" s="76">
        <f>(D20*E20)*(1+Indexation)^2</f>
        <v>48.224270400000002</v>
      </c>
      <c r="I20" s="76">
        <f>(D20*E20)*(1+Indexation)^3</f>
        <v>49.670998512000004</v>
      </c>
      <c r="J20" s="76">
        <f>(D20*E20)*(1+Indexation)^4</f>
        <v>51.161128467360001</v>
      </c>
      <c r="K20" s="58">
        <f t="shared" si="0"/>
        <v>241.33207737936004</v>
      </c>
      <c r="L20" s="53" t="s">
        <v>128</v>
      </c>
      <c r="M20" s="54" t="s">
        <v>1695</v>
      </c>
    </row>
    <row r="21" spans="1:13" ht="85" x14ac:dyDescent="0.2">
      <c r="A21" s="68" t="s">
        <v>1696</v>
      </c>
      <c r="B21" s="51" t="s">
        <v>57</v>
      </c>
      <c r="C21" s="69" t="s">
        <v>1697</v>
      </c>
      <c r="D21" s="70">
        <v>3650</v>
      </c>
      <c r="E21" s="72">
        <f>Rates!$C$31</f>
        <v>2.1819000000000002</v>
      </c>
      <c r="F21" s="76">
        <f>((D21*E21)*EnvCount/4)*(1+Indexation)^0</f>
        <v>7963.9350000000004</v>
      </c>
      <c r="G21" s="76">
        <f>((D21*E21)*EnvCount/4)*(1+Indexation)^1</f>
        <v>8202.8530500000015</v>
      </c>
      <c r="H21" s="76">
        <f>((D21*E21)*EnvCount/4)*(1+Indexation)^2</f>
        <v>8448.9386415000008</v>
      </c>
      <c r="I21" s="76">
        <f>((D21*E21)*EnvCount/4)*(1+Indexation)^3</f>
        <v>8702.4068007450005</v>
      </c>
      <c r="J21" s="76">
        <f>((D21*E21)*EnvCount/4)*(1+Indexation)^4</f>
        <v>8963.4790047673505</v>
      </c>
      <c r="K21" s="58">
        <f t="shared" si="0"/>
        <v>42281.612497012356</v>
      </c>
      <c r="L21" s="53" t="s">
        <v>128</v>
      </c>
      <c r="M21" s="54" t="s">
        <v>1698</v>
      </c>
    </row>
    <row r="22" spans="1:13" ht="51" x14ac:dyDescent="0.2">
      <c r="A22" s="68" t="s">
        <v>1699</v>
      </c>
      <c r="B22" s="51" t="s">
        <v>57</v>
      </c>
      <c r="C22" s="69" t="s">
        <v>1700</v>
      </c>
      <c r="D22" s="70">
        <v>1200</v>
      </c>
      <c r="E22" s="72">
        <f>Rates!$C$32</f>
        <v>7.5800000000000006E-2</v>
      </c>
      <c r="F22" s="76">
        <f>(D22*E22)*(1+Indexation)^0</f>
        <v>90.960000000000008</v>
      </c>
      <c r="G22" s="76">
        <f>(D22*E22)*(1+Indexation)^1</f>
        <v>93.688800000000015</v>
      </c>
      <c r="H22" s="76">
        <f>(D22*E22)*(1+Indexation)^2</f>
        <v>96.499464000000003</v>
      </c>
      <c r="I22" s="76">
        <f>(D22*E22)*(1+Indexation)^3</f>
        <v>99.394447920000005</v>
      </c>
      <c r="J22" s="76">
        <f>(D22*E22)*(1+Indexation)^4</f>
        <v>102.37628135760001</v>
      </c>
      <c r="K22" s="58">
        <f t="shared" si="0"/>
        <v>482.91899327760007</v>
      </c>
      <c r="L22" s="53" t="s">
        <v>128</v>
      </c>
      <c r="M22" s="54" t="s">
        <v>1701</v>
      </c>
    </row>
    <row r="23" spans="1:13" ht="34" x14ac:dyDescent="0.2">
      <c r="A23" s="68" t="s">
        <v>1702</v>
      </c>
      <c r="B23" s="51" t="s">
        <v>57</v>
      </c>
      <c r="C23" s="69" t="s">
        <v>1703</v>
      </c>
      <c r="D23" s="70">
        <v>500</v>
      </c>
      <c r="E23" s="72">
        <f>Rates!$C$46</f>
        <v>2.2700000000000001E-2</v>
      </c>
      <c r="F23" s="76">
        <f>(D23*E23)*(1+Indexation)^0</f>
        <v>11.350000000000001</v>
      </c>
      <c r="G23" s="76">
        <f>(D23*E23)*(1+Indexation)^1</f>
        <v>11.690500000000002</v>
      </c>
      <c r="H23" s="76">
        <f>(D23*E23)*(1+Indexation)^2</f>
        <v>12.041215000000001</v>
      </c>
      <c r="I23" s="76">
        <f>(D23*E23)*(1+Indexation)^3</f>
        <v>12.402451450000001</v>
      </c>
      <c r="J23" s="76">
        <f>(D23*E23)*(1+Indexation)^4</f>
        <v>12.7745249935</v>
      </c>
      <c r="K23" s="58">
        <f t="shared" si="0"/>
        <v>60.258691443500005</v>
      </c>
      <c r="L23" s="53" t="s">
        <v>128</v>
      </c>
      <c r="M23" s="54" t="s">
        <v>1704</v>
      </c>
    </row>
    <row r="24" spans="1:13" ht="51" x14ac:dyDescent="0.2">
      <c r="A24" s="68" t="s">
        <v>1705</v>
      </c>
      <c r="B24" s="51" t="s">
        <v>57</v>
      </c>
      <c r="C24" s="69" t="s">
        <v>1706</v>
      </c>
      <c r="D24" s="70">
        <v>480</v>
      </c>
      <c r="E24" s="72">
        <f>Rates!$C$47</f>
        <v>0</v>
      </c>
      <c r="F24" s="76">
        <f>((D24*E24)*EnvCount/4)*(1+Indexation)^0</f>
        <v>0</v>
      </c>
      <c r="G24" s="76">
        <f>((D24*E24)*EnvCount/4)*(1+Indexation)^1</f>
        <v>0</v>
      </c>
      <c r="H24" s="76">
        <f>((D24*E24)*EnvCount/4)*(1+Indexation)^2</f>
        <v>0</v>
      </c>
      <c r="I24" s="76">
        <f>((D24*E24)*EnvCount/4)*(1+Indexation)^3</f>
        <v>0</v>
      </c>
      <c r="J24" s="76">
        <f>((D24*E24)*EnvCount/4)*(1+Indexation)^4</f>
        <v>0</v>
      </c>
      <c r="K24" s="58">
        <f t="shared" si="0"/>
        <v>0</v>
      </c>
      <c r="L24" s="53" t="s">
        <v>1220</v>
      </c>
      <c r="M24" s="54" t="s">
        <v>1707</v>
      </c>
    </row>
    <row r="25" spans="1:13" ht="102" x14ac:dyDescent="0.2">
      <c r="A25" s="68" t="s">
        <v>1708</v>
      </c>
      <c r="B25" s="51" t="s">
        <v>57</v>
      </c>
      <c r="C25" s="69" t="s">
        <v>1709</v>
      </c>
      <c r="D25" s="70">
        <v>600</v>
      </c>
      <c r="E25" s="72">
        <f>Rates!$C$131</f>
        <v>1.9</v>
      </c>
      <c r="F25" s="76">
        <f>((IF(ModelVendor="AzureOpenAI",IF(ModelSKU="GPT-4o",D25*E25,0),0))*IF(AgentStack="Include",AgentCount,1))*(1+Indexation)^0</f>
        <v>1140</v>
      </c>
      <c r="G25" s="76">
        <f>((IF(ModelVendor="AzureOpenAI",IF(ModelSKU="GPT-4o",D25*E25,0),0))*IF(AgentStack="Include",AgentCount,1))*(1+Indexation)^1</f>
        <v>1174.2</v>
      </c>
      <c r="H25" s="76">
        <f>((IF(ModelVendor="AzureOpenAI",IF(ModelSKU="GPT-4o",D25*E25,0),0))*IF(AgentStack="Include",AgentCount,1))*(1+Indexation)^2</f>
        <v>1209.4259999999999</v>
      </c>
      <c r="I25" s="76">
        <f>((IF(ModelVendor="AzureOpenAI",IF(ModelSKU="GPT-4o",D25*E25,0),0))*IF(AgentStack="Include",AgentCount,1))*(1+Indexation)^3</f>
        <v>1245.7087799999999</v>
      </c>
      <c r="J25" s="76">
        <f>((IF(ModelVendor="AzureOpenAI",IF(ModelSKU="GPT-4o",D25*E25,0),0))*IF(AgentStack="Include",AgentCount,1))*(1+Indexation)^4</f>
        <v>1283.0800433999998</v>
      </c>
      <c r="K25" s="58">
        <f t="shared" si="0"/>
        <v>6052.4148233999986</v>
      </c>
      <c r="L25" s="53" t="s">
        <v>128</v>
      </c>
      <c r="M25" s="54" t="s">
        <v>1710</v>
      </c>
    </row>
    <row r="26" spans="1:13" ht="34" x14ac:dyDescent="0.2">
      <c r="A26" s="68" t="s">
        <v>1711</v>
      </c>
      <c r="B26" s="51" t="s">
        <v>57</v>
      </c>
      <c r="C26" s="69" t="s">
        <v>1712</v>
      </c>
      <c r="D26" s="70">
        <v>120</v>
      </c>
      <c r="E26" s="72">
        <f>Rates!$C$132</f>
        <v>7.6</v>
      </c>
      <c r="F26" s="76">
        <f>((IF(ModelVendor="AzureOpenAI",IF(ModelSKU="GPT-4o",D26*E26,0),0))*IF(AgentStack="Include",AgentCount,1))*(1+Indexation)^0</f>
        <v>912</v>
      </c>
      <c r="G26" s="76">
        <f>((IF(ModelVendor="AzureOpenAI",IF(ModelSKU="GPT-4o",D26*E26,0),0))*IF(AgentStack="Include",AgentCount,1))*(1+Indexation)^1</f>
        <v>939.36</v>
      </c>
      <c r="H26" s="76">
        <f>((IF(ModelVendor="AzureOpenAI",IF(ModelSKU="GPT-4o",D26*E26,0),0))*IF(AgentStack="Include",AgentCount,1))*(1+Indexation)^2</f>
        <v>967.54079999999999</v>
      </c>
      <c r="I26" s="76">
        <f>((IF(ModelVendor="AzureOpenAI",IF(ModelSKU="GPT-4o",D26*E26,0),0))*IF(AgentStack="Include",AgentCount,1))*(1+Indexation)^3</f>
        <v>996.56702399999995</v>
      </c>
      <c r="J26" s="76">
        <f>((IF(ModelVendor="AzureOpenAI",IF(ModelSKU="GPT-4o",D26*E26,0),0))*IF(AgentStack="Include",AgentCount,1))*(1+Indexation)^4</f>
        <v>1026.46403472</v>
      </c>
      <c r="K26" s="58">
        <f t="shared" si="0"/>
        <v>4841.9318587200005</v>
      </c>
      <c r="L26" s="53" t="s">
        <v>128</v>
      </c>
      <c r="M26" s="54" t="s">
        <v>1713</v>
      </c>
    </row>
    <row r="27" spans="1:13" ht="204" x14ac:dyDescent="0.2">
      <c r="A27" s="68" t="s">
        <v>1714</v>
      </c>
      <c r="B27" s="51" t="s">
        <v>55</v>
      </c>
      <c r="C27" s="69" t="s">
        <v>1715</v>
      </c>
      <c r="D27" s="70">
        <v>440</v>
      </c>
      <c r="E27" s="72">
        <f>Rates!$C$92</f>
        <v>525</v>
      </c>
      <c r="F27" s="76">
        <f>(D27*E27)*(1+Indexation)^0</f>
        <v>231000</v>
      </c>
      <c r="G27" s="76">
        <f>(D27*E27)*(1+Indexation)^1</f>
        <v>237930</v>
      </c>
      <c r="H27" s="76">
        <f>(D27*E27)*(1+Indexation)^2</f>
        <v>245067.9</v>
      </c>
      <c r="I27" s="76">
        <f>(D27*E27)*(1+Indexation)^3</f>
        <v>252419.93700000001</v>
      </c>
      <c r="J27" s="76">
        <f>(D27*E27)*(1+Indexation)^4</f>
        <v>259992.53510999997</v>
      </c>
      <c r="K27" s="58">
        <f t="shared" si="0"/>
        <v>1226410.3721100001</v>
      </c>
      <c r="L27" s="53" t="s">
        <v>128</v>
      </c>
      <c r="M27" s="54" t="s">
        <v>1716</v>
      </c>
    </row>
    <row r="28" spans="1:13" ht="119" x14ac:dyDescent="0.2">
      <c r="A28" s="68" t="s">
        <v>1717</v>
      </c>
      <c r="B28" s="51" t="s">
        <v>55</v>
      </c>
      <c r="C28" s="69" t="s">
        <v>1718</v>
      </c>
      <c r="D28" s="70">
        <v>240</v>
      </c>
      <c r="E28" s="72">
        <f>Rates!$C$118</f>
        <v>74.02</v>
      </c>
      <c r="F28" s="76">
        <f>(D28*E28)*(1+Indexation)^0</f>
        <v>17764.8</v>
      </c>
      <c r="G28" s="76">
        <f>(D28*E28)*(1+Indexation)^1</f>
        <v>18297.743999999999</v>
      </c>
      <c r="H28" s="76">
        <f>(D28*E28)*(1+Indexation)^2</f>
        <v>18846.676319999999</v>
      </c>
      <c r="I28" s="76">
        <f>(D28*E28)*(1+Indexation)^3</f>
        <v>19412.076609600001</v>
      </c>
      <c r="J28" s="76">
        <f>(D28*E28)*(1+Indexation)^4</f>
        <v>19994.438907887998</v>
      </c>
      <c r="K28" s="58">
        <f t="shared" si="0"/>
        <v>94315.735837487999</v>
      </c>
      <c r="L28" s="53" t="s">
        <v>1196</v>
      </c>
      <c r="M28" s="54" t="s">
        <v>1719</v>
      </c>
    </row>
    <row r="29" spans="1:13" ht="85" x14ac:dyDescent="0.2">
      <c r="A29" s="68" t="s">
        <v>1720</v>
      </c>
      <c r="B29" s="51" t="s">
        <v>56</v>
      </c>
      <c r="C29" s="69" t="s">
        <v>1554</v>
      </c>
      <c r="D29" s="70">
        <v>1</v>
      </c>
      <c r="E29" s="72">
        <f>Rates!$C$127</f>
        <v>0</v>
      </c>
      <c r="F29" s="96">
        <f>(IF(HCL_Toggle="Include",D29*E29,0))*(1+Indexation)^0</f>
        <v>0</v>
      </c>
      <c r="G29" s="96">
        <f>(IF(HCL_Toggle="Include",D29*E29,0))*(1+Indexation)^1</f>
        <v>0</v>
      </c>
      <c r="H29" s="96">
        <f>(IF(HCL_Toggle="Include",D29*E29,0))*(1+Indexation)^2</f>
        <v>0</v>
      </c>
      <c r="I29" s="96">
        <f>(IF(HCL_Toggle="Include",D29*E29,0))*(1+Indexation)^3</f>
        <v>0</v>
      </c>
      <c r="J29" s="96">
        <f>(IF(HCL_Toggle="Include",D29*E29,0))*(1+Indexation)^4</f>
        <v>0</v>
      </c>
      <c r="K29" s="58">
        <f t="shared" si="0"/>
        <v>0</v>
      </c>
      <c r="L29" s="53" t="s">
        <v>1220</v>
      </c>
      <c r="M29" s="54" t="s">
        <v>1721</v>
      </c>
    </row>
    <row r="30" spans="1:13" ht="34" x14ac:dyDescent="0.2">
      <c r="A30" s="68" t="s">
        <v>1722</v>
      </c>
      <c r="B30" s="51" t="s">
        <v>56</v>
      </c>
      <c r="C30" s="69" t="s">
        <v>1554</v>
      </c>
      <c r="D30" s="70">
        <v>1</v>
      </c>
      <c r="E30" s="72">
        <f>Rates!$C$119</f>
        <v>0</v>
      </c>
      <c r="F30" s="96">
        <f>(IF(HCL_Toggle="Include",D30*E30,0))*(1+Indexation)^0</f>
        <v>0</v>
      </c>
      <c r="G30" s="96">
        <f>(IF(HCL_Toggle="Include",D30*E30,0))*(1+Indexation)^1</f>
        <v>0</v>
      </c>
      <c r="H30" s="96">
        <f>(IF(HCL_Toggle="Include",D30*E30,0))*(1+Indexation)^2</f>
        <v>0</v>
      </c>
      <c r="I30" s="96">
        <f>(IF(HCL_Toggle="Include",D30*E30,0))*(1+Indexation)^3</f>
        <v>0</v>
      </c>
      <c r="J30" s="96">
        <f>(IF(HCL_Toggle="Include",D30*E30,0))*(1+Indexation)^4</f>
        <v>0</v>
      </c>
      <c r="K30" s="58">
        <f t="shared" si="0"/>
        <v>0</v>
      </c>
      <c r="L30" s="53" t="s">
        <v>1220</v>
      </c>
      <c r="M30" s="54" t="s">
        <v>1723</v>
      </c>
    </row>
    <row r="31" spans="1:13" ht="34" x14ac:dyDescent="0.2">
      <c r="A31" s="68" t="s">
        <v>1724</v>
      </c>
      <c r="B31" s="51" t="s">
        <v>56</v>
      </c>
      <c r="C31" s="69" t="s">
        <v>1554</v>
      </c>
      <c r="D31" s="70">
        <v>1</v>
      </c>
      <c r="E31" s="72">
        <f>Rates!$C$120</f>
        <v>0</v>
      </c>
      <c r="F31" s="96">
        <f>(IF(HCL_Toggle="Include",D31*E31,0))*(1+Indexation)^0</f>
        <v>0</v>
      </c>
      <c r="G31" s="96">
        <f>(IF(HCL_Toggle="Include",D31*E31,0))*(1+Indexation)^1</f>
        <v>0</v>
      </c>
      <c r="H31" s="96">
        <f>(IF(HCL_Toggle="Include",D31*E31,0))*(1+Indexation)^2</f>
        <v>0</v>
      </c>
      <c r="I31" s="96">
        <f>(IF(HCL_Toggle="Include",D31*E31,0))*(1+Indexation)^3</f>
        <v>0</v>
      </c>
      <c r="J31" s="96">
        <f>(IF(HCL_Toggle="Include",D31*E31,0))*(1+Indexation)^4</f>
        <v>0</v>
      </c>
      <c r="K31" s="58">
        <f t="shared" si="0"/>
        <v>0</v>
      </c>
      <c r="L31" s="53" t="s">
        <v>1220</v>
      </c>
      <c r="M31" s="54" t="s">
        <v>1723</v>
      </c>
    </row>
    <row r="32" spans="1:13" ht="34" x14ac:dyDescent="0.2">
      <c r="A32" s="68" t="s">
        <v>1725</v>
      </c>
      <c r="B32" s="51" t="s">
        <v>56</v>
      </c>
      <c r="C32" s="69" t="s">
        <v>1554</v>
      </c>
      <c r="D32" s="70">
        <v>1</v>
      </c>
      <c r="E32" s="72">
        <f>Rates!$C$121</f>
        <v>0</v>
      </c>
      <c r="F32" s="96">
        <f>(IF(HCL_Toggle="Include",D32*E32,0))*(1+Indexation)^0</f>
        <v>0</v>
      </c>
      <c r="G32" s="96">
        <f>(IF(HCL_Toggle="Include",D32*E32,0))*(1+Indexation)^1</f>
        <v>0</v>
      </c>
      <c r="H32" s="96">
        <f>(IF(HCL_Toggle="Include",D32*E32,0))*(1+Indexation)^2</f>
        <v>0</v>
      </c>
      <c r="I32" s="96">
        <f>(IF(HCL_Toggle="Include",D32*E32,0))*(1+Indexation)^3</f>
        <v>0</v>
      </c>
      <c r="J32" s="96">
        <f>(IF(HCL_Toggle="Include",D32*E32,0))*(1+Indexation)^4</f>
        <v>0</v>
      </c>
      <c r="K32" s="58">
        <f t="shared" si="0"/>
        <v>0</v>
      </c>
      <c r="L32" s="53" t="s">
        <v>1220</v>
      </c>
      <c r="M32" s="54" t="s">
        <v>1723</v>
      </c>
    </row>
    <row r="33" spans="1:13" ht="34" x14ac:dyDescent="0.2">
      <c r="A33" s="68" t="s">
        <v>1726</v>
      </c>
      <c r="B33" s="51" t="s">
        <v>56</v>
      </c>
      <c r="C33" s="69" t="s">
        <v>1554</v>
      </c>
      <c r="D33" s="70">
        <v>1</v>
      </c>
      <c r="E33" s="72">
        <f>Rates!$C$122</f>
        <v>0</v>
      </c>
      <c r="F33" s="96">
        <f>(IF(HCL_Toggle="Include",D33*E33,0))*(1+Indexation)^0</f>
        <v>0</v>
      </c>
      <c r="G33" s="96">
        <f>(IF(HCL_Toggle="Include",D33*E33,0))*(1+Indexation)^1</f>
        <v>0</v>
      </c>
      <c r="H33" s="96">
        <f>(IF(HCL_Toggle="Include",D33*E33,0))*(1+Indexation)^2</f>
        <v>0</v>
      </c>
      <c r="I33" s="96">
        <f>(IF(HCL_Toggle="Include",D33*E33,0))*(1+Indexation)^3</f>
        <v>0</v>
      </c>
      <c r="J33" s="96">
        <f>(IF(HCL_Toggle="Include",D33*E33,0))*(1+Indexation)^4</f>
        <v>0</v>
      </c>
      <c r="K33" s="58">
        <f t="shared" si="0"/>
        <v>0</v>
      </c>
      <c r="L33" s="53" t="s">
        <v>1220</v>
      </c>
      <c r="M33" s="54" t="s">
        <v>1723</v>
      </c>
    </row>
    <row r="34" spans="1:13" ht="34" x14ac:dyDescent="0.2">
      <c r="A34" s="68" t="s">
        <v>1727</v>
      </c>
      <c r="B34" s="51" t="s">
        <v>58</v>
      </c>
      <c r="C34" s="69" t="s">
        <v>1728</v>
      </c>
      <c r="D34" s="70">
        <v>1</v>
      </c>
      <c r="E34" s="73">
        <v>0</v>
      </c>
      <c r="F34" s="76">
        <f>(D34*E34)*(1+Indexation)^0</f>
        <v>0</v>
      </c>
      <c r="G34" s="76">
        <f>(D34*E34)*(1+Indexation)^1</f>
        <v>0</v>
      </c>
      <c r="H34" s="76">
        <f>(D34*E34)*(1+Indexation)^2</f>
        <v>0</v>
      </c>
      <c r="I34" s="76">
        <f>(D34*E34)*(1+Indexation)^3</f>
        <v>0</v>
      </c>
      <c r="J34" s="76">
        <f>(D34*E34)*(1+Indexation)^4</f>
        <v>0</v>
      </c>
      <c r="K34" s="58">
        <f t="shared" si="0"/>
        <v>0</v>
      </c>
      <c r="L34" s="53" t="s">
        <v>1220</v>
      </c>
      <c r="M34" s="54" t="s">
        <v>1729</v>
      </c>
    </row>
    <row r="35" spans="1:13" ht="85" x14ac:dyDescent="0.2">
      <c r="A35" s="68" t="s">
        <v>1730</v>
      </c>
      <c r="B35" s="51" t="s">
        <v>55</v>
      </c>
      <c r="C35" s="69" t="s">
        <v>1731</v>
      </c>
      <c r="D35" s="70">
        <v>12</v>
      </c>
      <c r="E35" s="72">
        <f>Rates!$C$93</f>
        <v>525</v>
      </c>
      <c r="F35" s="76">
        <f>(D35*E35)*(1+Indexation)^0</f>
        <v>6300</v>
      </c>
      <c r="G35" s="76">
        <f>(D35*E35)*(1+Indexation)^1</f>
        <v>6489</v>
      </c>
      <c r="H35" s="76">
        <f>(D35*E35)*(1+Indexation)^2</f>
        <v>6683.67</v>
      </c>
      <c r="I35" s="76">
        <f>(D35*E35)*(1+Indexation)^3</f>
        <v>6884.1800999999996</v>
      </c>
      <c r="J35" s="76">
        <f>(D35*E35)*(1+Indexation)^4</f>
        <v>7090.7055029999992</v>
      </c>
      <c r="K35" s="58">
        <f t="shared" si="0"/>
        <v>33447.555602999993</v>
      </c>
      <c r="L35" s="53" t="s">
        <v>128</v>
      </c>
      <c r="M35" s="54" t="s">
        <v>1732</v>
      </c>
    </row>
    <row r="36" spans="1:13" ht="238" x14ac:dyDescent="0.2">
      <c r="A36" s="68" t="s">
        <v>1733</v>
      </c>
      <c r="B36" s="51" t="s">
        <v>58</v>
      </c>
      <c r="C36" s="69" t="s">
        <v>1734</v>
      </c>
      <c r="D36" s="70">
        <v>5</v>
      </c>
      <c r="E36" s="72">
        <f>Rates!$C$126</f>
        <v>950</v>
      </c>
      <c r="F36" s="76">
        <f>(D36*E36)*(1+Indexation)^0</f>
        <v>4750</v>
      </c>
      <c r="G36" s="76">
        <f>(D36*E36)*(1+Indexation)^1</f>
        <v>4892.5</v>
      </c>
      <c r="H36" s="76">
        <f>(D36*E36)*(1+Indexation)^2</f>
        <v>5039.2749999999996</v>
      </c>
      <c r="I36" s="76">
        <f>(D36*E36)*(1+Indexation)^3</f>
        <v>5190.4532499999996</v>
      </c>
      <c r="J36" s="76">
        <f>(D36*E36)*(1+Indexation)^4</f>
        <v>5346.1668474999997</v>
      </c>
      <c r="K36" s="58">
        <f t="shared" si="0"/>
        <v>25218.395097500001</v>
      </c>
      <c r="L36" s="53" t="s">
        <v>1196</v>
      </c>
      <c r="M36" s="54" t="s">
        <v>1735</v>
      </c>
    </row>
    <row r="37" spans="1:13" ht="187" x14ac:dyDescent="0.2">
      <c r="A37" s="68" t="s">
        <v>1736</v>
      </c>
      <c r="B37" s="51" t="s">
        <v>57</v>
      </c>
      <c r="C37" s="69" t="s">
        <v>1737</v>
      </c>
      <c r="D37" s="70">
        <v>600</v>
      </c>
      <c r="E37" s="72">
        <f>Rates!$C$57</f>
        <v>2.2200000000000002</v>
      </c>
      <c r="F37" s="76">
        <f>((IF(ModelVendor="ClaudeOnAzure",IF(ModelSKU="Claude-Sonnet-5",D37*E37,0),0))*IF(AgentStack="Include",AgentCount,1))*(1+Indexation)^0</f>
        <v>0</v>
      </c>
      <c r="G37" s="76">
        <f>((IF(ModelVendor="ClaudeOnAzure",IF(ModelSKU="Claude-Sonnet-5",D37*E37,0),0))*IF(AgentStack="Include",AgentCount,1))*(1+Indexation)^1</f>
        <v>0</v>
      </c>
      <c r="H37" s="76">
        <f>((IF(ModelVendor="ClaudeOnAzure",IF(ModelSKU="Claude-Sonnet-5",D37*E37,0),0))*IF(AgentStack="Include",AgentCount,1))*(1+Indexation)^2</f>
        <v>0</v>
      </c>
      <c r="I37" s="76">
        <f>((IF(ModelVendor="ClaudeOnAzure",IF(ModelSKU="Claude-Sonnet-5",D37*E37,0),0))*IF(AgentStack="Include",AgentCount,1))*(1+Indexation)^3</f>
        <v>0</v>
      </c>
      <c r="J37" s="76">
        <f>((IF(ModelVendor="ClaudeOnAzure",IF(ModelSKU="Claude-Sonnet-5",D37*E37,0),0))*IF(AgentStack="Include",AgentCount,1))*(1+Indexation)^4</f>
        <v>0</v>
      </c>
      <c r="K37" s="58">
        <f t="shared" ref="K37:K62" si="6">SUM(F37:J37)</f>
        <v>0</v>
      </c>
      <c r="L37" s="53" t="s">
        <v>1196</v>
      </c>
      <c r="M37" s="54" t="s">
        <v>1738</v>
      </c>
    </row>
    <row r="38" spans="1:13" ht="187" x14ac:dyDescent="0.2">
      <c r="A38" s="68" t="s">
        <v>1739</v>
      </c>
      <c r="B38" s="51" t="s">
        <v>57</v>
      </c>
      <c r="C38" s="69" t="s">
        <v>1740</v>
      </c>
      <c r="D38" s="70">
        <v>120</v>
      </c>
      <c r="E38" s="72">
        <f>Rates!$C$58</f>
        <v>11.1</v>
      </c>
      <c r="F38" s="76">
        <f>((IF(ModelVendor="ClaudeOnAzure",IF(ModelSKU="Claude-Sonnet-5",D38*E38,0),0))*IF(AgentStack="Include",AgentCount,1))*(1+Indexation)^0</f>
        <v>0</v>
      </c>
      <c r="G38" s="76">
        <f>((IF(ModelVendor="ClaudeOnAzure",IF(ModelSKU="Claude-Sonnet-5",D38*E38,0),0))*IF(AgentStack="Include",AgentCount,1))*(1+Indexation)^1</f>
        <v>0</v>
      </c>
      <c r="H38" s="76">
        <f>((IF(ModelVendor="ClaudeOnAzure",IF(ModelSKU="Claude-Sonnet-5",D38*E38,0),0))*IF(AgentStack="Include",AgentCount,1))*(1+Indexation)^2</f>
        <v>0</v>
      </c>
      <c r="I38" s="76">
        <f>((IF(ModelVendor="ClaudeOnAzure",IF(ModelSKU="Claude-Sonnet-5",D38*E38,0),0))*IF(AgentStack="Include",AgentCount,1))*(1+Indexation)^3</f>
        <v>0</v>
      </c>
      <c r="J38" s="76">
        <f>((IF(ModelVendor="ClaudeOnAzure",IF(ModelSKU="Claude-Sonnet-5",D38*E38,0),0))*IF(AgentStack="Include",AgentCount,1))*(1+Indexation)^4</f>
        <v>0</v>
      </c>
      <c r="K38" s="58">
        <f t="shared" si="6"/>
        <v>0</v>
      </c>
      <c r="L38" s="53" t="s">
        <v>1196</v>
      </c>
      <c r="M38" s="54" t="s">
        <v>1738</v>
      </c>
    </row>
    <row r="39" spans="1:13" ht="170" x14ac:dyDescent="0.2">
      <c r="A39" s="68" t="s">
        <v>1741</v>
      </c>
      <c r="B39" s="51" t="s">
        <v>57</v>
      </c>
      <c r="C39" s="69" t="s">
        <v>1742</v>
      </c>
      <c r="D39" s="70">
        <v>8760</v>
      </c>
      <c r="E39" s="72">
        <f>Rates!$C$51</f>
        <v>3.4782000000000002</v>
      </c>
      <c r="F39" s="76">
        <f>(IF(ModelVendor="Llama",IF(ModelSKU="Llama",D39*E39,0),0))*(1+Indexation)^0</f>
        <v>0</v>
      </c>
      <c r="G39" s="76">
        <f>(IF(ModelVendor="Llama",IF(ModelSKU="Llama",D39*E39,0),0))*(1+Indexation)^1</f>
        <v>0</v>
      </c>
      <c r="H39" s="76">
        <f>(IF(ModelVendor="Llama",IF(ModelSKU="Llama",D39*E39,0),0))*(1+Indexation)^2</f>
        <v>0</v>
      </c>
      <c r="I39" s="76">
        <f>(IF(ModelVendor="Llama",IF(ModelSKU="Llama",D39*E39,0),0))*(1+Indexation)^3</f>
        <v>0</v>
      </c>
      <c r="J39" s="76">
        <f>(IF(ModelVendor="Llama",IF(ModelSKU="Llama",D39*E39,0),0))*(1+Indexation)^4</f>
        <v>0</v>
      </c>
      <c r="K39" s="58">
        <f t="shared" si="6"/>
        <v>0</v>
      </c>
      <c r="L39" s="53" t="s">
        <v>128</v>
      </c>
      <c r="M39" s="54" t="s">
        <v>1743</v>
      </c>
    </row>
    <row r="40" spans="1:13" ht="204" x14ac:dyDescent="0.2">
      <c r="A40" s="68" t="s">
        <v>1744</v>
      </c>
      <c r="B40" s="51" t="s">
        <v>55</v>
      </c>
      <c r="C40" s="69" t="s">
        <v>1745</v>
      </c>
      <c r="D40" s="70">
        <v>0</v>
      </c>
      <c r="E40" s="72">
        <f>Rates!$C$75</f>
        <v>575</v>
      </c>
      <c r="F40" s="76">
        <f>(IF(ModelVendor="Llama",IF(ModelSKU="Llama",D40*E40,0),0))*(1+Indexation)^0</f>
        <v>0</v>
      </c>
      <c r="G40" s="76">
        <f>(IF(ModelVendor="Llama",IF(ModelSKU="Llama",D40*E40,0),0))*(1+Indexation)^1</f>
        <v>0</v>
      </c>
      <c r="H40" s="76">
        <f>(IF(ModelVendor="Llama",IF(ModelSKU="Llama",D40*E40,0),0))*(1+Indexation)^2</f>
        <v>0</v>
      </c>
      <c r="I40" s="76">
        <f>(IF(ModelVendor="Llama",IF(ModelSKU="Llama",D40*E40,0),0))*(1+Indexation)^3</f>
        <v>0</v>
      </c>
      <c r="J40" s="76">
        <f>(IF(ModelVendor="Llama",IF(ModelSKU="Llama",D40*E40,0),0))*(1+Indexation)^4</f>
        <v>0</v>
      </c>
      <c r="K40" s="58">
        <f t="shared" si="6"/>
        <v>0</v>
      </c>
      <c r="L40" s="53" t="s">
        <v>128</v>
      </c>
      <c r="M40" s="54" t="s">
        <v>1746</v>
      </c>
    </row>
    <row r="41" spans="1:13" ht="272" x14ac:dyDescent="0.2">
      <c r="A41" s="68" t="s">
        <v>1747</v>
      </c>
      <c r="B41" s="51" t="s">
        <v>57</v>
      </c>
      <c r="C41" s="69" t="s">
        <v>1748</v>
      </c>
      <c r="D41" s="70">
        <v>144</v>
      </c>
      <c r="E41" s="72">
        <f>Rates!$C$41</f>
        <v>11.1</v>
      </c>
      <c r="F41" s="76">
        <f>(IF(Observability="Datadog",(D41*E41)*EnvCount/4,0))*(1+Indexation)^0</f>
        <v>0</v>
      </c>
      <c r="G41" s="76">
        <f>(IF(Observability="Datadog",(D41*E41)*EnvCount/4,0))*(1+Indexation)^1</f>
        <v>0</v>
      </c>
      <c r="H41" s="76">
        <f>(IF(Observability="Datadog",(D41*E41)*EnvCount/4,0))*(1+Indexation)^2</f>
        <v>0</v>
      </c>
      <c r="I41" s="76">
        <f>(IF(Observability="Datadog",(D41*E41)*EnvCount/4,0))*(1+Indexation)^3</f>
        <v>0</v>
      </c>
      <c r="J41" s="76">
        <f>(IF(Observability="Datadog",(D41*E41)*EnvCount/4,0))*(1+Indexation)^4</f>
        <v>0</v>
      </c>
      <c r="K41" s="58">
        <f t="shared" si="6"/>
        <v>0</v>
      </c>
      <c r="L41" s="53" t="s">
        <v>1196</v>
      </c>
      <c r="M41" s="54" t="s">
        <v>1749</v>
      </c>
    </row>
    <row r="42" spans="1:13" ht="289" x14ac:dyDescent="0.2">
      <c r="A42" s="68" t="s">
        <v>1750</v>
      </c>
      <c r="B42" s="51" t="s">
        <v>57</v>
      </c>
      <c r="C42" s="69" t="s">
        <v>1751</v>
      </c>
      <c r="D42" s="70">
        <v>144</v>
      </c>
      <c r="E42" s="72">
        <f>Rates!$C$39</f>
        <v>22.94</v>
      </c>
      <c r="F42" s="76">
        <f>(IF(Observability="Datadog",(D42*E42)*EnvCount/4,0))*(1+Indexation)^0</f>
        <v>0</v>
      </c>
      <c r="G42" s="76">
        <f>(IF(Observability="Datadog",(D42*E42)*EnvCount/4,0))*(1+Indexation)^1</f>
        <v>0</v>
      </c>
      <c r="H42" s="76">
        <f>(IF(Observability="Datadog",(D42*E42)*EnvCount/4,0))*(1+Indexation)^2</f>
        <v>0</v>
      </c>
      <c r="I42" s="76">
        <f>(IF(Observability="Datadog",(D42*E42)*EnvCount/4,0))*(1+Indexation)^3</f>
        <v>0</v>
      </c>
      <c r="J42" s="76">
        <f>(IF(Observability="Datadog",(D42*E42)*EnvCount/4,0))*(1+Indexation)^4</f>
        <v>0</v>
      </c>
      <c r="K42" s="58">
        <f t="shared" si="6"/>
        <v>0</v>
      </c>
      <c r="L42" s="53" t="s">
        <v>1196</v>
      </c>
      <c r="M42" s="54" t="s">
        <v>1752</v>
      </c>
    </row>
    <row r="43" spans="1:13" ht="221" x14ac:dyDescent="0.2">
      <c r="A43" s="68" t="s">
        <v>1753</v>
      </c>
      <c r="B43" s="51" t="s">
        <v>57</v>
      </c>
      <c r="C43" s="69" t="s">
        <v>1754</v>
      </c>
      <c r="D43" s="70">
        <v>12</v>
      </c>
      <c r="E43" s="72">
        <f>Rates!$C$36</f>
        <v>118.42</v>
      </c>
      <c r="F43" s="76">
        <f>(IF(Observability="Datadog",D43*E43,0))*(1+Indexation)^0</f>
        <v>0</v>
      </c>
      <c r="G43" s="76">
        <f>(IF(Observability="Datadog",D43*E43,0))*(1+Indexation)^1</f>
        <v>0</v>
      </c>
      <c r="H43" s="76">
        <f>(IF(Observability="Datadog",D43*E43,0))*(1+Indexation)^2</f>
        <v>0</v>
      </c>
      <c r="I43" s="76">
        <f>(IF(Observability="Datadog",D43*E43,0))*(1+Indexation)^3</f>
        <v>0</v>
      </c>
      <c r="J43" s="76">
        <f>(IF(Observability="Datadog",D43*E43,0))*(1+Indexation)^4</f>
        <v>0</v>
      </c>
      <c r="K43" s="58">
        <f t="shared" si="6"/>
        <v>0</v>
      </c>
      <c r="L43" s="53" t="s">
        <v>1196</v>
      </c>
      <c r="M43" s="54" t="s">
        <v>1755</v>
      </c>
    </row>
    <row r="44" spans="1:13" ht="170" x14ac:dyDescent="0.2">
      <c r="A44" s="68" t="s">
        <v>1756</v>
      </c>
      <c r="B44" s="51" t="s">
        <v>57</v>
      </c>
      <c r="C44" s="69" t="s">
        <v>1757</v>
      </c>
      <c r="D44" s="70">
        <v>0</v>
      </c>
      <c r="E44" s="72">
        <f>Rates!$C$38</f>
        <v>3.7</v>
      </c>
      <c r="F44" s="76">
        <f>(IF(Observability="Datadog",D44*E44,0))*(1+Indexation)^0</f>
        <v>0</v>
      </c>
      <c r="G44" s="76">
        <f>(IF(Observability="Datadog",D44*E44,0))*(1+Indexation)^1</f>
        <v>0</v>
      </c>
      <c r="H44" s="76">
        <f>(IF(Observability="Datadog",D44*E44,0))*(1+Indexation)^2</f>
        <v>0</v>
      </c>
      <c r="I44" s="76">
        <f>(IF(Observability="Datadog",D44*E44,0))*(1+Indexation)^3</f>
        <v>0</v>
      </c>
      <c r="J44" s="76">
        <f>(IF(Observability="Datadog",D44*E44,0))*(1+Indexation)^4</f>
        <v>0</v>
      </c>
      <c r="K44" s="58">
        <f t="shared" si="6"/>
        <v>0</v>
      </c>
      <c r="L44" s="53" t="s">
        <v>128</v>
      </c>
      <c r="M44" s="54" t="s">
        <v>1758</v>
      </c>
    </row>
    <row r="45" spans="1:13" ht="102" x14ac:dyDescent="0.2">
      <c r="A45" s="68" t="s">
        <v>1759</v>
      </c>
      <c r="B45" s="51" t="s">
        <v>57</v>
      </c>
      <c r="C45" s="69" t="s">
        <v>1760</v>
      </c>
      <c r="D45" s="70">
        <v>600</v>
      </c>
      <c r="E45" s="72">
        <f>Rates!$C$59</f>
        <v>1.5</v>
      </c>
      <c r="F45" s="76">
        <f>((IF(ModelVendor="AzureOpenAI",IF(ModelSKU="GPT-4.1",D45*E45,0),0))*IF(AgentStack="Include",AgentCount,1))*(1+Indexation)^0</f>
        <v>0</v>
      </c>
      <c r="G45" s="76">
        <f>((IF(ModelVendor="AzureOpenAI",IF(ModelSKU="GPT-4.1",D45*E45,0),0))*IF(AgentStack="Include",AgentCount,1))*(1+Indexation)^1</f>
        <v>0</v>
      </c>
      <c r="H45" s="76">
        <f>((IF(ModelVendor="AzureOpenAI",IF(ModelSKU="GPT-4.1",D45*E45,0),0))*IF(AgentStack="Include",AgentCount,1))*(1+Indexation)^2</f>
        <v>0</v>
      </c>
      <c r="I45" s="76">
        <f>((IF(ModelVendor="AzureOpenAI",IF(ModelSKU="GPT-4.1",D45*E45,0),0))*IF(AgentStack="Include",AgentCount,1))*(1+Indexation)^3</f>
        <v>0</v>
      </c>
      <c r="J45" s="76">
        <f>((IF(ModelVendor="AzureOpenAI",IF(ModelSKU="GPT-4.1",D45*E45,0),0))*IF(AgentStack="Include",AgentCount,1))*(1+Indexation)^4</f>
        <v>0</v>
      </c>
      <c r="K45" s="58">
        <f t="shared" si="6"/>
        <v>0</v>
      </c>
      <c r="L45" s="53" t="s">
        <v>1196</v>
      </c>
      <c r="M45" s="54" t="s">
        <v>1761</v>
      </c>
    </row>
    <row r="46" spans="1:13" ht="102" x14ac:dyDescent="0.2">
      <c r="A46" s="68" t="s">
        <v>1762</v>
      </c>
      <c r="B46" s="51" t="s">
        <v>57</v>
      </c>
      <c r="C46" s="69" t="s">
        <v>1763</v>
      </c>
      <c r="D46" s="70">
        <v>120</v>
      </c>
      <c r="E46" s="72">
        <f>Rates!$C$60</f>
        <v>6.1</v>
      </c>
      <c r="F46" s="76">
        <f>((IF(ModelVendor="AzureOpenAI",IF(ModelSKU="GPT-4.1",D46*E46,0),0))*IF(AgentStack="Include",AgentCount,1))*(1+Indexation)^0</f>
        <v>0</v>
      </c>
      <c r="G46" s="76">
        <f>((IF(ModelVendor="AzureOpenAI",IF(ModelSKU="GPT-4.1",D46*E46,0),0))*IF(AgentStack="Include",AgentCount,1))*(1+Indexation)^1</f>
        <v>0</v>
      </c>
      <c r="H46" s="76">
        <f>((IF(ModelVendor="AzureOpenAI",IF(ModelSKU="GPT-4.1",D46*E46,0),0))*IF(AgentStack="Include",AgentCount,1))*(1+Indexation)^2</f>
        <v>0</v>
      </c>
      <c r="I46" s="76">
        <f>((IF(ModelVendor="AzureOpenAI",IF(ModelSKU="GPT-4.1",D46*E46,0),0))*IF(AgentStack="Include",AgentCount,1))*(1+Indexation)^3</f>
        <v>0</v>
      </c>
      <c r="J46" s="76">
        <f>((IF(ModelVendor="AzureOpenAI",IF(ModelSKU="GPT-4.1",D46*E46,0),0))*IF(AgentStack="Include",AgentCount,1))*(1+Indexation)^4</f>
        <v>0</v>
      </c>
      <c r="K46" s="58">
        <f t="shared" si="6"/>
        <v>0</v>
      </c>
      <c r="L46" s="53" t="s">
        <v>1196</v>
      </c>
      <c r="M46" s="54" t="s">
        <v>1761</v>
      </c>
    </row>
    <row r="47" spans="1:13" ht="119" x14ac:dyDescent="0.2">
      <c r="A47" s="68" t="s">
        <v>1764</v>
      </c>
      <c r="B47" s="51" t="s">
        <v>57</v>
      </c>
      <c r="C47" s="69" t="s">
        <v>1765</v>
      </c>
      <c r="D47" s="70">
        <v>600</v>
      </c>
      <c r="E47" s="72">
        <f>Rates!$C$61</f>
        <v>1.8504</v>
      </c>
      <c r="F47" s="76">
        <f>((IF(ModelVendor="AzureOpenAI",IF(ModelSKU="GPT-5.6-Terra",D47*E47,0),0))*IF(AgentStack="Include",AgentCount,1))*(1+Indexation)^0</f>
        <v>0</v>
      </c>
      <c r="G47" s="76">
        <f>((IF(ModelVendor="AzureOpenAI",IF(ModelSKU="GPT-5.6-Terra",D47*E47,0),0))*IF(AgentStack="Include",AgentCount,1))*(1+Indexation)^1</f>
        <v>0</v>
      </c>
      <c r="H47" s="76">
        <f>((IF(ModelVendor="AzureOpenAI",IF(ModelSKU="GPT-5.6-Terra",D47*E47,0),0))*IF(AgentStack="Include",AgentCount,1))*(1+Indexation)^2</f>
        <v>0</v>
      </c>
      <c r="I47" s="76">
        <f>((IF(ModelVendor="AzureOpenAI",IF(ModelSKU="GPT-5.6-Terra",D47*E47,0),0))*IF(AgentStack="Include",AgentCount,1))*(1+Indexation)^3</f>
        <v>0</v>
      </c>
      <c r="J47" s="76">
        <f>((IF(ModelVendor="AzureOpenAI",IF(ModelSKU="GPT-5.6-Terra",D47*E47,0),0))*IF(AgentStack="Include",AgentCount,1))*(1+Indexation)^4</f>
        <v>0</v>
      </c>
      <c r="K47" s="58">
        <f t="shared" si="6"/>
        <v>0</v>
      </c>
      <c r="L47" s="53" t="s">
        <v>1196</v>
      </c>
      <c r="M47" s="54" t="s">
        <v>1766</v>
      </c>
    </row>
    <row r="48" spans="1:13" ht="119" x14ac:dyDescent="0.2">
      <c r="A48" s="68" t="s">
        <v>1767</v>
      </c>
      <c r="B48" s="51" t="s">
        <v>57</v>
      </c>
      <c r="C48" s="69" t="s">
        <v>1768</v>
      </c>
      <c r="D48" s="70">
        <v>120</v>
      </c>
      <c r="E48" s="72">
        <f>Rates!$C$62</f>
        <v>11.1022</v>
      </c>
      <c r="F48" s="76">
        <f>((IF(ModelVendor="AzureOpenAI",IF(ModelSKU="GPT-5.6-Terra",D48*E48,0),0))*IF(AgentStack="Include",AgentCount,1))*(1+Indexation)^0</f>
        <v>0</v>
      </c>
      <c r="G48" s="76">
        <f>((IF(ModelVendor="AzureOpenAI",IF(ModelSKU="GPT-5.6-Terra",D48*E48,0),0))*IF(AgentStack="Include",AgentCount,1))*(1+Indexation)^1</f>
        <v>0</v>
      </c>
      <c r="H48" s="76">
        <f>((IF(ModelVendor="AzureOpenAI",IF(ModelSKU="GPT-5.6-Terra",D48*E48,0),0))*IF(AgentStack="Include",AgentCount,1))*(1+Indexation)^2</f>
        <v>0</v>
      </c>
      <c r="I48" s="76">
        <f>((IF(ModelVendor="AzureOpenAI",IF(ModelSKU="GPT-5.6-Terra",D48*E48,0),0))*IF(AgentStack="Include",AgentCount,1))*(1+Indexation)^3</f>
        <v>0</v>
      </c>
      <c r="J48" s="76">
        <f>((IF(ModelVendor="AzureOpenAI",IF(ModelSKU="GPT-5.6-Terra",D48*E48,0),0))*IF(AgentStack="Include",AgentCount,1))*(1+Indexation)^4</f>
        <v>0</v>
      </c>
      <c r="K48" s="58">
        <f t="shared" si="6"/>
        <v>0</v>
      </c>
      <c r="L48" s="53" t="s">
        <v>1196</v>
      </c>
      <c r="M48" s="54" t="s">
        <v>1766</v>
      </c>
    </row>
    <row r="49" spans="1:13" ht="119" x14ac:dyDescent="0.2">
      <c r="A49" s="68" t="s">
        <v>1769</v>
      </c>
      <c r="B49" s="51" t="s">
        <v>57</v>
      </c>
      <c r="C49" s="69" t="s">
        <v>1770</v>
      </c>
      <c r="D49" s="70">
        <v>600</v>
      </c>
      <c r="E49" s="72">
        <f>Rates!$C$63</f>
        <v>3.7006999999999999</v>
      </c>
      <c r="F49" s="76">
        <f>((IF(ModelVendor="AzureOpenAI",IF(ModelSKU="GPT-5.6-Sol",D49*E49,0),0))*IF(AgentStack="Include",AgentCount,1))*(1+Indexation)^0</f>
        <v>0</v>
      </c>
      <c r="G49" s="76">
        <f>((IF(ModelVendor="AzureOpenAI",IF(ModelSKU="GPT-5.6-Sol",D49*E49,0),0))*IF(AgentStack="Include",AgentCount,1))*(1+Indexation)^1</f>
        <v>0</v>
      </c>
      <c r="H49" s="76">
        <f>((IF(ModelVendor="AzureOpenAI",IF(ModelSKU="GPT-5.6-Sol",D49*E49,0),0))*IF(AgentStack="Include",AgentCount,1))*(1+Indexation)^2</f>
        <v>0</v>
      </c>
      <c r="I49" s="76">
        <f>((IF(ModelVendor="AzureOpenAI",IF(ModelSKU="GPT-5.6-Sol",D49*E49,0),0))*IF(AgentStack="Include",AgentCount,1))*(1+Indexation)^3</f>
        <v>0</v>
      </c>
      <c r="J49" s="76">
        <f>((IF(ModelVendor="AzureOpenAI",IF(ModelSKU="GPT-5.6-Sol",D49*E49,0),0))*IF(AgentStack="Include",AgentCount,1))*(1+Indexation)^4</f>
        <v>0</v>
      </c>
      <c r="K49" s="58">
        <f t="shared" si="6"/>
        <v>0</v>
      </c>
      <c r="L49" s="53" t="s">
        <v>1196</v>
      </c>
      <c r="M49" s="54" t="s">
        <v>1771</v>
      </c>
    </row>
    <row r="50" spans="1:13" ht="119" x14ac:dyDescent="0.2">
      <c r="A50" s="68" t="s">
        <v>1772</v>
      </c>
      <c r="B50" s="51" t="s">
        <v>57</v>
      </c>
      <c r="C50" s="69" t="s">
        <v>1773</v>
      </c>
      <c r="D50" s="70">
        <v>120</v>
      </c>
      <c r="E50" s="72">
        <f>Rates!$C$64</f>
        <v>22.204499999999999</v>
      </c>
      <c r="F50" s="76">
        <f>((IF(ModelVendor="AzureOpenAI",IF(ModelSKU="GPT-5.6-Sol",D50*E50,0),0))*IF(AgentStack="Include",AgentCount,1))*(1+Indexation)^0</f>
        <v>0</v>
      </c>
      <c r="G50" s="76">
        <f>((IF(ModelVendor="AzureOpenAI",IF(ModelSKU="GPT-5.6-Sol",D50*E50,0),0))*IF(AgentStack="Include",AgentCount,1))*(1+Indexation)^1</f>
        <v>0</v>
      </c>
      <c r="H50" s="76">
        <f>((IF(ModelVendor="AzureOpenAI",IF(ModelSKU="GPT-5.6-Sol",D50*E50,0),0))*IF(AgentStack="Include",AgentCount,1))*(1+Indexation)^2</f>
        <v>0</v>
      </c>
      <c r="I50" s="76">
        <f>((IF(ModelVendor="AzureOpenAI",IF(ModelSKU="GPT-5.6-Sol",D50*E50,0),0))*IF(AgentStack="Include",AgentCount,1))*(1+Indexation)^3</f>
        <v>0</v>
      </c>
      <c r="J50" s="76">
        <f>((IF(ModelVendor="AzureOpenAI",IF(ModelSKU="GPT-5.6-Sol",D50*E50,0),0))*IF(AgentStack="Include",AgentCount,1))*(1+Indexation)^4</f>
        <v>0</v>
      </c>
      <c r="K50" s="58">
        <f t="shared" si="6"/>
        <v>0</v>
      </c>
      <c r="L50" s="53" t="s">
        <v>1196</v>
      </c>
      <c r="M50" s="54" t="s">
        <v>1771</v>
      </c>
    </row>
    <row r="51" spans="1:13" ht="119" x14ac:dyDescent="0.2">
      <c r="A51" s="68" t="s">
        <v>1774</v>
      </c>
      <c r="B51" s="51" t="s">
        <v>57</v>
      </c>
      <c r="C51" s="69" t="s">
        <v>1775</v>
      </c>
      <c r="D51" s="70">
        <v>600</v>
      </c>
      <c r="E51" s="72">
        <f>Rates!$C$65</f>
        <v>7.4015000000000004</v>
      </c>
      <c r="F51" s="76">
        <f>((IF(ModelVendor="ClaudeOnAzure",IF(ModelSKU="Claude-Fable-5",D51*E51,0),0))*IF(AgentStack="Include",AgentCount,1))*(1+Indexation)^0</f>
        <v>0</v>
      </c>
      <c r="G51" s="76">
        <f>((IF(ModelVendor="ClaudeOnAzure",IF(ModelSKU="Claude-Fable-5",D51*E51,0),0))*IF(AgentStack="Include",AgentCount,1))*(1+Indexation)^1</f>
        <v>0</v>
      </c>
      <c r="H51" s="76">
        <f>((IF(ModelVendor="ClaudeOnAzure",IF(ModelSKU="Claude-Fable-5",D51*E51,0),0))*IF(AgentStack="Include",AgentCount,1))*(1+Indexation)^2</f>
        <v>0</v>
      </c>
      <c r="I51" s="76">
        <f>((IF(ModelVendor="ClaudeOnAzure",IF(ModelSKU="Claude-Fable-5",D51*E51,0),0))*IF(AgentStack="Include",AgentCount,1))*(1+Indexation)^3</f>
        <v>0</v>
      </c>
      <c r="J51" s="76">
        <f>((IF(ModelVendor="ClaudeOnAzure",IF(ModelSKU="Claude-Fable-5",D51*E51,0),0))*IF(AgentStack="Include",AgentCount,1))*(1+Indexation)^4</f>
        <v>0</v>
      </c>
      <c r="K51" s="58">
        <f t="shared" si="6"/>
        <v>0</v>
      </c>
      <c r="L51" s="53" t="s">
        <v>1196</v>
      </c>
      <c r="M51" s="54" t="s">
        <v>1776</v>
      </c>
    </row>
    <row r="52" spans="1:13" ht="119" x14ac:dyDescent="0.2">
      <c r="A52" s="68" t="s">
        <v>1777</v>
      </c>
      <c r="B52" s="51" t="s">
        <v>57</v>
      </c>
      <c r="C52" s="69" t="s">
        <v>1778</v>
      </c>
      <c r="D52" s="70">
        <v>120</v>
      </c>
      <c r="E52" s="72">
        <f>Rates!$C$66</f>
        <v>37.0075</v>
      </c>
      <c r="F52" s="76">
        <f>((IF(ModelVendor="ClaudeOnAzure",IF(ModelSKU="Claude-Fable-5",D52*E52,0),0))*IF(AgentStack="Include",AgentCount,1))*(1+Indexation)^0</f>
        <v>0</v>
      </c>
      <c r="G52" s="76">
        <f>((IF(ModelVendor="ClaudeOnAzure",IF(ModelSKU="Claude-Fable-5",D52*E52,0),0))*IF(AgentStack="Include",AgentCount,1))*(1+Indexation)^1</f>
        <v>0</v>
      </c>
      <c r="H52" s="76">
        <f>((IF(ModelVendor="ClaudeOnAzure",IF(ModelSKU="Claude-Fable-5",D52*E52,0),0))*IF(AgentStack="Include",AgentCount,1))*(1+Indexation)^2</f>
        <v>0</v>
      </c>
      <c r="I52" s="76">
        <f>((IF(ModelVendor="ClaudeOnAzure",IF(ModelSKU="Claude-Fable-5",D52*E52,0),0))*IF(AgentStack="Include",AgentCount,1))*(1+Indexation)^3</f>
        <v>0</v>
      </c>
      <c r="J52" s="76">
        <f>((IF(ModelVendor="ClaudeOnAzure",IF(ModelSKU="Claude-Fable-5",D52*E52,0),0))*IF(AgentStack="Include",AgentCount,1))*(1+Indexation)^4</f>
        <v>0</v>
      </c>
      <c r="K52" s="58">
        <f t="shared" si="6"/>
        <v>0</v>
      </c>
      <c r="L52" s="53" t="s">
        <v>1196</v>
      </c>
      <c r="M52" s="54" t="s">
        <v>1776</v>
      </c>
    </row>
    <row r="53" spans="1:13" ht="102" x14ac:dyDescent="0.2">
      <c r="A53" s="68" t="s">
        <v>1779</v>
      </c>
      <c r="B53" s="51" t="s">
        <v>57</v>
      </c>
      <c r="C53" s="69" t="s">
        <v>1780</v>
      </c>
      <c r="D53" s="70">
        <v>600</v>
      </c>
      <c r="E53" s="72">
        <f>Rates!$C$67</f>
        <v>0.92520000000000002</v>
      </c>
      <c r="F53" s="76">
        <f>((IF(ModelVendor="GrokOnAzure",IF(ModelSKU="Grok-4.3",D53*E53,0),0))*IF(AgentStack="Include",AgentCount,1))*(1+Indexation)^0</f>
        <v>0</v>
      </c>
      <c r="G53" s="76">
        <f>((IF(ModelVendor="GrokOnAzure",IF(ModelSKU="Grok-4.3",D53*E53,0),0))*IF(AgentStack="Include",AgentCount,1))*(1+Indexation)^1</f>
        <v>0</v>
      </c>
      <c r="H53" s="76">
        <f>((IF(ModelVendor="GrokOnAzure",IF(ModelSKU="Grok-4.3",D53*E53,0),0))*IF(AgentStack="Include",AgentCount,1))*(1+Indexation)^2</f>
        <v>0</v>
      </c>
      <c r="I53" s="76">
        <f>((IF(ModelVendor="GrokOnAzure",IF(ModelSKU="Grok-4.3",D53*E53,0),0))*IF(AgentStack="Include",AgentCount,1))*(1+Indexation)^3</f>
        <v>0</v>
      </c>
      <c r="J53" s="76">
        <f>((IF(ModelVendor="GrokOnAzure",IF(ModelSKU="Grok-4.3",D53*E53,0),0))*IF(AgentStack="Include",AgentCount,1))*(1+Indexation)^4</f>
        <v>0</v>
      </c>
      <c r="K53" s="58">
        <f t="shared" si="6"/>
        <v>0</v>
      </c>
      <c r="L53" s="53" t="s">
        <v>1196</v>
      </c>
      <c r="M53" s="54" t="s">
        <v>1781</v>
      </c>
    </row>
    <row r="54" spans="1:13" ht="102" x14ac:dyDescent="0.2">
      <c r="A54" s="68" t="s">
        <v>1782</v>
      </c>
      <c r="B54" s="51" t="s">
        <v>57</v>
      </c>
      <c r="C54" s="69" t="s">
        <v>1783</v>
      </c>
      <c r="D54" s="70">
        <v>120</v>
      </c>
      <c r="E54" s="72">
        <f>Rates!$C$68</f>
        <v>1.8504</v>
      </c>
      <c r="F54" s="76">
        <f>((IF(ModelVendor="GrokOnAzure",IF(ModelSKU="Grok-4.3",D54*E54,0),0))*IF(AgentStack="Include",AgentCount,1))*(1+Indexation)^0</f>
        <v>0</v>
      </c>
      <c r="G54" s="76">
        <f>((IF(ModelVendor="GrokOnAzure",IF(ModelSKU="Grok-4.3",D54*E54,0),0))*IF(AgentStack="Include",AgentCount,1))*(1+Indexation)^1</f>
        <v>0</v>
      </c>
      <c r="H54" s="76">
        <f>((IF(ModelVendor="GrokOnAzure",IF(ModelSKU="Grok-4.3",D54*E54,0),0))*IF(AgentStack="Include",AgentCount,1))*(1+Indexation)^2</f>
        <v>0</v>
      </c>
      <c r="I54" s="76">
        <f>((IF(ModelVendor="GrokOnAzure",IF(ModelSKU="Grok-4.3",D54*E54,0),0))*IF(AgentStack="Include",AgentCount,1))*(1+Indexation)^3</f>
        <v>0</v>
      </c>
      <c r="J54" s="76">
        <f>((IF(ModelVendor="GrokOnAzure",IF(ModelSKU="Grok-4.3",D54*E54,0),0))*IF(AgentStack="Include",AgentCount,1))*(1+Indexation)^4</f>
        <v>0</v>
      </c>
      <c r="K54" s="58">
        <f t="shared" si="6"/>
        <v>0</v>
      </c>
      <c r="L54" s="53" t="s">
        <v>1196</v>
      </c>
      <c r="M54" s="54" t="s">
        <v>1781</v>
      </c>
    </row>
    <row r="55" spans="1:13" ht="102" x14ac:dyDescent="0.2">
      <c r="A55" s="68" t="s">
        <v>1784</v>
      </c>
      <c r="B55" s="51" t="s">
        <v>57</v>
      </c>
      <c r="C55" s="69" t="s">
        <v>1785</v>
      </c>
      <c r="D55" s="70">
        <v>600</v>
      </c>
      <c r="E55" s="72">
        <f>Rates!$C$69</f>
        <v>1.4802999999999999</v>
      </c>
      <c r="F55" s="76">
        <f>((IF(ModelVendor="GrokOnAzure",IF(ModelSKU="Grok-4.5",D55*E55,0),0))*IF(AgentStack="Include",AgentCount,1))*(1+Indexation)^0</f>
        <v>0</v>
      </c>
      <c r="G55" s="76">
        <f>((IF(ModelVendor="GrokOnAzure",IF(ModelSKU="Grok-4.5",D55*E55,0),0))*IF(AgentStack="Include",AgentCount,1))*(1+Indexation)^1</f>
        <v>0</v>
      </c>
      <c r="H55" s="76">
        <f>((IF(ModelVendor="GrokOnAzure",IF(ModelSKU="Grok-4.5",D55*E55,0),0))*IF(AgentStack="Include",AgentCount,1))*(1+Indexation)^2</f>
        <v>0</v>
      </c>
      <c r="I55" s="76">
        <f>((IF(ModelVendor="GrokOnAzure",IF(ModelSKU="Grok-4.5",D55*E55,0),0))*IF(AgentStack="Include",AgentCount,1))*(1+Indexation)^3</f>
        <v>0</v>
      </c>
      <c r="J55" s="76">
        <f>((IF(ModelVendor="GrokOnAzure",IF(ModelSKU="Grok-4.5",D55*E55,0),0))*IF(AgentStack="Include",AgentCount,1))*(1+Indexation)^4</f>
        <v>0</v>
      </c>
      <c r="K55" s="58">
        <f t="shared" si="6"/>
        <v>0</v>
      </c>
      <c r="L55" s="53" t="s">
        <v>1196</v>
      </c>
      <c r="M55" s="54" t="s">
        <v>1786</v>
      </c>
    </row>
    <row r="56" spans="1:13" ht="102" x14ac:dyDescent="0.2">
      <c r="A56" s="68" t="s">
        <v>1787</v>
      </c>
      <c r="B56" s="51" t="s">
        <v>57</v>
      </c>
      <c r="C56" s="69" t="s">
        <v>1788</v>
      </c>
      <c r="D56" s="70">
        <v>120</v>
      </c>
      <c r="E56" s="72">
        <f>Rates!$C$70</f>
        <v>4.4409000000000001</v>
      </c>
      <c r="F56" s="76">
        <f>((IF(ModelVendor="GrokOnAzure",IF(ModelSKU="Grok-4.5",D56*E56,0),0))*IF(AgentStack="Include",AgentCount,1))*(1+Indexation)^0</f>
        <v>0</v>
      </c>
      <c r="G56" s="76">
        <f>((IF(ModelVendor="GrokOnAzure",IF(ModelSKU="Grok-4.5",D56*E56,0),0))*IF(AgentStack="Include",AgentCount,1))*(1+Indexation)^1</f>
        <v>0</v>
      </c>
      <c r="H56" s="76">
        <f>((IF(ModelVendor="GrokOnAzure",IF(ModelSKU="Grok-4.5",D56*E56,0),0))*IF(AgentStack="Include",AgentCount,1))*(1+Indexation)^2</f>
        <v>0</v>
      </c>
      <c r="I56" s="76">
        <f>((IF(ModelVendor="GrokOnAzure",IF(ModelSKU="Grok-4.5",D56*E56,0),0))*IF(AgentStack="Include",AgentCount,1))*(1+Indexation)^3</f>
        <v>0</v>
      </c>
      <c r="J56" s="76">
        <f>((IF(ModelVendor="GrokOnAzure",IF(ModelSKU="Grok-4.5",D56*E56,0),0))*IF(AgentStack="Include",AgentCount,1))*(1+Indexation)^4</f>
        <v>0</v>
      </c>
      <c r="K56" s="58">
        <f t="shared" si="6"/>
        <v>0</v>
      </c>
      <c r="L56" s="53" t="s">
        <v>1196</v>
      </c>
      <c r="M56" s="54" t="s">
        <v>1786</v>
      </c>
    </row>
    <row r="57" spans="1:13" ht="51" x14ac:dyDescent="0.2">
      <c r="A57" s="68" t="s">
        <v>1789</v>
      </c>
      <c r="B57" s="51" t="s">
        <v>57</v>
      </c>
      <c r="C57" s="69" t="s">
        <v>1790</v>
      </c>
      <c r="D57" s="70">
        <v>15768000</v>
      </c>
      <c r="E57" s="72">
        <f>Rates!$C$80</f>
        <v>2.0000000000000002E-5</v>
      </c>
      <c r="F57" s="76">
        <f>(IF(AgentStack="Include",(D57*McpServerCount)*E57,0))*(1+Indexation)^0</f>
        <v>0</v>
      </c>
      <c r="G57" s="76">
        <f>(IF(AgentStack="Include",(D57*McpServerCount)*E57,0))*(1+Indexation)^1</f>
        <v>0</v>
      </c>
      <c r="H57" s="76">
        <f>(IF(AgentStack="Include",(D57*McpServerCount)*E57,0))*(1+Indexation)^2</f>
        <v>0</v>
      </c>
      <c r="I57" s="76">
        <f>(IF(AgentStack="Include",(D57*McpServerCount)*E57,0))*(1+Indexation)^3</f>
        <v>0</v>
      </c>
      <c r="J57" s="76">
        <f>(IF(AgentStack="Include",(D57*McpServerCount)*E57,0))*(1+Indexation)^4</f>
        <v>0</v>
      </c>
      <c r="K57" s="58">
        <f t="shared" si="6"/>
        <v>0</v>
      </c>
      <c r="L57" s="53" t="s">
        <v>1196</v>
      </c>
      <c r="M57" s="54" t="s">
        <v>1791</v>
      </c>
    </row>
    <row r="58" spans="1:13" ht="34" x14ac:dyDescent="0.2">
      <c r="A58" s="68" t="s">
        <v>1792</v>
      </c>
      <c r="B58" s="51" t="s">
        <v>57</v>
      </c>
      <c r="C58" s="69" t="s">
        <v>1793</v>
      </c>
      <c r="D58" s="70">
        <v>31536000</v>
      </c>
      <c r="E58" s="72">
        <f>Rates!$C$81</f>
        <v>2.5000000000000002E-6</v>
      </c>
      <c r="F58" s="76">
        <f>(IF(AgentStack="Include",(D58*McpServerCount)*E58,0))*(1+Indexation)^0</f>
        <v>0</v>
      </c>
      <c r="G58" s="76">
        <f>(IF(AgentStack="Include",(D58*McpServerCount)*E58,0))*(1+Indexation)^1</f>
        <v>0</v>
      </c>
      <c r="H58" s="76">
        <f>(IF(AgentStack="Include",(D58*McpServerCount)*E58,0))*(1+Indexation)^2</f>
        <v>0</v>
      </c>
      <c r="I58" s="76">
        <f>(IF(AgentStack="Include",(D58*McpServerCount)*E58,0))*(1+Indexation)^3</f>
        <v>0</v>
      </c>
      <c r="J58" s="76">
        <f>(IF(AgentStack="Include",(D58*McpServerCount)*E58,0))*(1+Indexation)^4</f>
        <v>0</v>
      </c>
      <c r="K58" s="58">
        <f t="shared" si="6"/>
        <v>0</v>
      </c>
      <c r="L58" s="53" t="s">
        <v>1196</v>
      </c>
      <c r="M58" s="54" t="s">
        <v>1794</v>
      </c>
    </row>
    <row r="59" spans="1:13" ht="51" x14ac:dyDescent="0.2">
      <c r="A59" s="68" t="s">
        <v>1795</v>
      </c>
      <c r="B59" s="51" t="s">
        <v>57</v>
      </c>
      <c r="C59" s="69" t="s">
        <v>1796</v>
      </c>
      <c r="D59" s="70">
        <v>120</v>
      </c>
      <c r="E59" s="72">
        <f>Rates!$C$82</f>
        <v>4.2999999999999997E-2</v>
      </c>
      <c r="F59" s="76">
        <f>(IF(AgentStack="Include",(D59*McpServerCount)*E59,0))*(1+Indexation)^0</f>
        <v>0</v>
      </c>
      <c r="G59" s="76">
        <f>(IF(AgentStack="Include",(D59*McpServerCount)*E59,0))*(1+Indexation)^1</f>
        <v>0</v>
      </c>
      <c r="H59" s="76">
        <f>(IF(AgentStack="Include",(D59*McpServerCount)*E59,0))*(1+Indexation)^2</f>
        <v>0</v>
      </c>
      <c r="I59" s="76">
        <f>(IF(AgentStack="Include",(D59*McpServerCount)*E59,0))*(1+Indexation)^3</f>
        <v>0</v>
      </c>
      <c r="J59" s="76">
        <f>(IF(AgentStack="Include",(D59*McpServerCount)*E59,0))*(1+Indexation)^4</f>
        <v>0</v>
      </c>
      <c r="K59" s="58">
        <f t="shared" si="6"/>
        <v>0</v>
      </c>
      <c r="L59" s="53" t="s">
        <v>128</v>
      </c>
      <c r="M59" s="54" t="s">
        <v>1797</v>
      </c>
    </row>
    <row r="60" spans="1:13" ht="34" x14ac:dyDescent="0.2">
      <c r="A60" s="68" t="s">
        <v>1798</v>
      </c>
      <c r="B60" s="51" t="s">
        <v>57</v>
      </c>
      <c r="C60" s="69" t="s">
        <v>1799</v>
      </c>
      <c r="D60" s="70">
        <v>50</v>
      </c>
      <c r="E60" s="72">
        <f>Rates!$C$71</f>
        <v>0.1</v>
      </c>
      <c r="F60" s="76">
        <f>(IF(AgentStack="Include",(D60*AgentCount)*E60,0))*(1+Indexation)^0</f>
        <v>0</v>
      </c>
      <c r="G60" s="76">
        <f>(IF(AgentStack="Include",(D60*AgentCount)*E60,0))*(1+Indexation)^1</f>
        <v>0</v>
      </c>
      <c r="H60" s="76">
        <f>(IF(AgentStack="Include",(D60*AgentCount)*E60,0))*(1+Indexation)^2</f>
        <v>0</v>
      </c>
      <c r="I60" s="76">
        <f>(IF(AgentStack="Include",(D60*AgentCount)*E60,0))*(1+Indexation)^3</f>
        <v>0</v>
      </c>
      <c r="J60" s="76">
        <f>(IF(AgentStack="Include",(D60*AgentCount)*E60,0))*(1+Indexation)^4</f>
        <v>0</v>
      </c>
      <c r="K60" s="58">
        <f t="shared" si="6"/>
        <v>0</v>
      </c>
      <c r="L60" s="53" t="s">
        <v>128</v>
      </c>
      <c r="M60" s="54" t="s">
        <v>1800</v>
      </c>
    </row>
    <row r="61" spans="1:13" ht="34" x14ac:dyDescent="0.2">
      <c r="A61" s="68" t="s">
        <v>1801</v>
      </c>
      <c r="B61" s="51" t="s">
        <v>57</v>
      </c>
      <c r="C61" s="69" t="s">
        <v>1802</v>
      </c>
      <c r="D61" s="70">
        <v>8760</v>
      </c>
      <c r="E61" s="72">
        <f>Rates!$C$83</f>
        <v>8.4199999999999997E-2</v>
      </c>
      <c r="F61" s="76">
        <f>(IF(RagMemoryShape="AISearch_Cosmos",IF(AgentStack="Include",D61*E61,0),0))*(1+Indexation)^0</f>
        <v>0</v>
      </c>
      <c r="G61" s="76">
        <f>(IF(RagMemoryShape="AISearch_Cosmos",IF(AgentStack="Include",D61*E61,0),0))*(1+Indexation)^1</f>
        <v>0</v>
      </c>
      <c r="H61" s="76">
        <f>(IF(RagMemoryShape="AISearch_Cosmos",IF(AgentStack="Include",D61*E61,0),0))*(1+Indexation)^2</f>
        <v>0</v>
      </c>
      <c r="I61" s="76">
        <f>(IF(RagMemoryShape="AISearch_Cosmos",IF(AgentStack="Include",D61*E61,0),0))*(1+Indexation)^3</f>
        <v>0</v>
      </c>
      <c r="J61" s="76">
        <f>(IF(RagMemoryShape="AISearch_Cosmos",IF(AgentStack="Include",D61*E61,0),0))*(1+Indexation)^4</f>
        <v>0</v>
      </c>
      <c r="K61" s="58">
        <f t="shared" si="6"/>
        <v>0</v>
      </c>
      <c r="L61" s="53" t="s">
        <v>1123</v>
      </c>
      <c r="M61" s="54" t="s">
        <v>1803</v>
      </c>
    </row>
    <row r="62" spans="1:13" ht="51" x14ac:dyDescent="0.2">
      <c r="A62" s="68" t="s">
        <v>1804</v>
      </c>
      <c r="B62" s="51" t="s">
        <v>57</v>
      </c>
      <c r="C62" s="69" t="s">
        <v>1805</v>
      </c>
      <c r="D62" s="70">
        <v>8760</v>
      </c>
      <c r="E62" s="72">
        <f>Rates!$C$84</f>
        <v>9.1000000000000004E-3</v>
      </c>
      <c r="F62" s="76">
        <f>(IF(AgentStack="Include",(D62*AgentCount)*E62,0))*(1+Indexation)^0</f>
        <v>0</v>
      </c>
      <c r="G62" s="76">
        <f>(IF(AgentStack="Include",(D62*AgentCount)*E62,0))*(1+Indexation)^1</f>
        <v>0</v>
      </c>
      <c r="H62" s="76">
        <f>(IF(AgentStack="Include",(D62*AgentCount)*E62,0))*(1+Indexation)^2</f>
        <v>0</v>
      </c>
      <c r="I62" s="76">
        <f>(IF(AgentStack="Include",(D62*AgentCount)*E62,0))*(1+Indexation)^3</f>
        <v>0</v>
      </c>
      <c r="J62" s="76">
        <f>(IF(AgentStack="Include",(D62*AgentCount)*E62,0))*(1+Indexation)^4</f>
        <v>0</v>
      </c>
      <c r="K62" s="58">
        <f t="shared" si="6"/>
        <v>0</v>
      </c>
      <c r="L62" s="53" t="s">
        <v>128</v>
      </c>
      <c r="M62" s="54" t="s">
        <v>1806</v>
      </c>
    </row>
    <row r="63" spans="1:13" ht="17" x14ac:dyDescent="0.2">
      <c r="A63" s="93" t="s">
        <v>1807</v>
      </c>
      <c r="F63" s="79">
        <f t="shared" ref="F63:K63" si="7">SUM(F5:F62)</f>
        <v>312073.82419999997</v>
      </c>
      <c r="G63" s="79">
        <f t="shared" si="7"/>
        <v>321436.03892600001</v>
      </c>
      <c r="H63" s="79">
        <f t="shared" si="7"/>
        <v>331079.12009378005</v>
      </c>
      <c r="I63" s="79">
        <f t="shared" si="7"/>
        <v>341011.49369659339</v>
      </c>
      <c r="J63" s="79">
        <f t="shared" si="7"/>
        <v>351241.83850749122</v>
      </c>
      <c r="K63" s="79">
        <f t="shared" si="7"/>
        <v>1656842.3154238646</v>
      </c>
    </row>
    <row r="64" spans="1:13" ht="34" x14ac:dyDescent="0.2">
      <c r="A64" s="89" t="s">
        <v>1808</v>
      </c>
      <c r="F64" s="74">
        <f>F57+F58+F59+F60+F61+F62</f>
        <v>0</v>
      </c>
    </row>
    <row r="65" spans="1:13" ht="34" x14ac:dyDescent="0.2">
      <c r="A65" s="54" t="s">
        <v>1809</v>
      </c>
      <c r="F65" s="76">
        <f>F57+F58+F59</f>
        <v>0</v>
      </c>
    </row>
    <row r="66" spans="1:13" ht="34" x14ac:dyDescent="0.2">
      <c r="A66" s="54" t="s">
        <v>1810</v>
      </c>
      <c r="F66" s="76">
        <f>F60+F62</f>
        <v>0</v>
      </c>
    </row>
    <row r="67" spans="1:13" ht="17" x14ac:dyDescent="0.2">
      <c r="A67" s="54" t="s">
        <v>1811</v>
      </c>
      <c r="F67" s="76">
        <f>F61</f>
        <v>0</v>
      </c>
    </row>
    <row r="69" spans="1:13" ht="16" x14ac:dyDescent="0.2">
      <c r="A69" s="36" t="s">
        <v>1812</v>
      </c>
      <c r="B69" s="37"/>
      <c r="C69" s="37"/>
      <c r="D69" s="37"/>
      <c r="E69" s="37"/>
      <c r="F69" s="37"/>
      <c r="G69" s="37"/>
      <c r="H69" s="37"/>
      <c r="I69" s="37"/>
      <c r="J69" s="37"/>
      <c r="K69" s="37"/>
      <c r="L69" s="37"/>
      <c r="M69" s="37"/>
    </row>
    <row r="70" spans="1:13" ht="16" x14ac:dyDescent="0.2">
      <c r="A70" s="36" t="s">
        <v>1813</v>
      </c>
      <c r="B70" s="37"/>
      <c r="C70" s="37"/>
      <c r="D70" s="37"/>
      <c r="E70" s="37"/>
      <c r="F70" s="37"/>
      <c r="G70" s="37"/>
      <c r="H70" s="37"/>
      <c r="I70" s="37"/>
      <c r="J70" s="37"/>
      <c r="K70" s="37"/>
      <c r="L70" s="37"/>
      <c r="M70" s="37"/>
    </row>
    <row r="71" spans="1:13" ht="16" x14ac:dyDescent="0.2">
      <c r="A71" s="36" t="s">
        <v>1814</v>
      </c>
      <c r="B71" s="37"/>
      <c r="C71" s="37"/>
      <c r="D71" s="37"/>
      <c r="E71" s="37"/>
      <c r="F71" s="37"/>
      <c r="G71" s="37"/>
      <c r="H71" s="37"/>
      <c r="I71" s="37"/>
      <c r="J71" s="37"/>
      <c r="K71" s="37"/>
      <c r="L71" s="37"/>
      <c r="M71" s="37"/>
    </row>
    <row r="72" spans="1:13" ht="16" x14ac:dyDescent="0.2">
      <c r="A72" s="36" t="s">
        <v>1815</v>
      </c>
      <c r="B72" s="37"/>
      <c r="C72" s="37"/>
      <c r="D72" s="37"/>
      <c r="E72" s="37"/>
      <c r="F72" s="37"/>
      <c r="G72" s="37"/>
      <c r="H72" s="37"/>
      <c r="I72" s="37"/>
      <c r="J72" s="37"/>
      <c r="K72" s="37"/>
      <c r="L72" s="37"/>
      <c r="M72" s="37"/>
    </row>
    <row r="73" spans="1:13" ht="16" x14ac:dyDescent="0.2">
      <c r="A73" s="36" t="s">
        <v>1816</v>
      </c>
      <c r="B73" s="37"/>
      <c r="C73" s="37"/>
      <c r="D73" s="37"/>
      <c r="E73" s="37"/>
      <c r="F73" s="37"/>
      <c r="G73" s="37"/>
      <c r="H73" s="37"/>
      <c r="I73" s="37"/>
      <c r="J73" s="37"/>
      <c r="K73" s="37"/>
      <c r="L73" s="37"/>
      <c r="M73" s="37"/>
    </row>
    <row r="74" spans="1:13" ht="16" x14ac:dyDescent="0.2">
      <c r="A74" s="36" t="s">
        <v>1817</v>
      </c>
      <c r="B74" s="37"/>
      <c r="C74" s="37"/>
      <c r="D74" s="37"/>
      <c r="E74" s="37"/>
      <c r="F74" s="37"/>
      <c r="G74" s="37"/>
      <c r="H74" s="37"/>
      <c r="I74" s="37"/>
      <c r="J74" s="37"/>
      <c r="K74" s="37"/>
      <c r="L74" s="37"/>
      <c r="M74" s="37"/>
    </row>
    <row r="75" spans="1:13" ht="16" x14ac:dyDescent="0.2">
      <c r="A75" s="36" t="s">
        <v>1818</v>
      </c>
      <c r="B75" s="37"/>
      <c r="C75" s="37"/>
      <c r="D75" s="37"/>
      <c r="E75" s="37"/>
      <c r="F75" s="37"/>
      <c r="G75" s="37"/>
      <c r="H75" s="37"/>
      <c r="I75" s="37"/>
      <c r="J75" s="37"/>
      <c r="K75" s="37"/>
      <c r="L75" s="37"/>
      <c r="M75" s="37"/>
    </row>
    <row r="76" spans="1:13" ht="16" x14ac:dyDescent="0.2">
      <c r="A76" s="36" t="s">
        <v>1819</v>
      </c>
      <c r="B76" s="37"/>
      <c r="C76" s="37"/>
      <c r="D76" s="37"/>
      <c r="E76" s="37"/>
      <c r="F76" s="37"/>
      <c r="G76" s="37"/>
      <c r="H76" s="37"/>
      <c r="I76" s="37"/>
      <c r="J76" s="37"/>
      <c r="K76" s="37"/>
      <c r="L76" s="37"/>
      <c r="M76" s="37"/>
    </row>
  </sheetData>
  <mergeCells count="9">
    <mergeCell ref="A69:M69"/>
    <mergeCell ref="A2:M2"/>
    <mergeCell ref="A73:M73"/>
    <mergeCell ref="A71:M71"/>
    <mergeCell ref="A76:M76"/>
    <mergeCell ref="A75:M75"/>
    <mergeCell ref="A74:M74"/>
    <mergeCell ref="A70:M70"/>
    <mergeCell ref="A72:M7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9"/>
  <sheetViews>
    <sheetView showGridLines="0" workbookViewId="0">
      <pane ySplit="4" topLeftCell="A5" activePane="bottomLeft" state="frozen"/>
      <selection pane="bottomLeft" activeCell="K1" sqref="K1"/>
    </sheetView>
  </sheetViews>
  <sheetFormatPr baseColWidth="10" defaultColWidth="8.83203125" defaultRowHeight="15" x14ac:dyDescent="0.2"/>
  <cols>
    <col min="1" max="1" width="46" style="59" customWidth="1"/>
    <col min="2" max="2" width="10" style="59" customWidth="1"/>
    <col min="3" max="3" width="34" style="59" customWidth="1"/>
    <col min="4" max="7" width="10" style="59" customWidth="1"/>
    <col min="8" max="8" width="12" style="59" customWidth="1"/>
    <col min="9" max="9" width="14" style="59" customWidth="1"/>
    <col min="10" max="10" width="16.6640625" style="59" customWidth="1"/>
    <col min="11" max="11" width="54" style="60" customWidth="1"/>
  </cols>
  <sheetData>
    <row r="1" spans="1:11" ht="18" x14ac:dyDescent="0.2">
      <c r="A1" s="45" t="s">
        <v>1820</v>
      </c>
      <c r="B1" s="45"/>
      <c r="C1" s="45"/>
      <c r="D1" s="45"/>
      <c r="E1" s="45"/>
      <c r="F1" s="45"/>
      <c r="G1" s="45"/>
      <c r="H1" s="45"/>
      <c r="I1" s="45"/>
      <c r="J1" s="45"/>
      <c r="K1" s="46"/>
    </row>
    <row r="2" spans="1:11" x14ac:dyDescent="0.2">
      <c r="A2" s="66" t="str">
        <f>"Basis: effort = "&amp;EffortBasis&amp;"  ·  OUT OF TOTAL (not in TotalBuild / TotalRun5yr)  ·  interim infra, ~6 weeks, September"</f>
        <v>Basis: effort = Likely  ·  OUT OF TOTAL (not in TotalBuild / TotalRun5yr)  ·  interim infra, ~6 weeks, September</v>
      </c>
      <c r="B2" s="67"/>
      <c r="C2" s="67"/>
      <c r="D2" s="67"/>
      <c r="E2" s="67"/>
      <c r="F2" s="67"/>
      <c r="G2" s="67"/>
      <c r="H2" s="67"/>
      <c r="I2" s="67"/>
      <c r="J2" s="67"/>
      <c r="K2" s="67"/>
    </row>
    <row r="4" spans="1:11" x14ac:dyDescent="0.2">
      <c r="A4" s="95" t="s">
        <v>1821</v>
      </c>
      <c r="B4" s="67"/>
      <c r="C4" s="67"/>
      <c r="D4" s="67"/>
      <c r="E4" s="67"/>
      <c r="F4" s="67"/>
      <c r="G4" s="67"/>
      <c r="H4" s="67"/>
      <c r="I4" s="67"/>
      <c r="J4" s="67"/>
      <c r="K4" s="67"/>
    </row>
    <row r="5" spans="1:11" x14ac:dyDescent="0.2">
      <c r="A5" s="67"/>
      <c r="B5" s="67"/>
      <c r="C5" s="67"/>
      <c r="D5" s="67"/>
      <c r="E5" s="67"/>
      <c r="F5" s="67"/>
      <c r="G5" s="67"/>
      <c r="H5" s="67"/>
      <c r="I5" s="67"/>
      <c r="J5" s="67"/>
      <c r="K5" s="67"/>
    </row>
    <row r="6" spans="1:11" x14ac:dyDescent="0.2">
      <c r="A6" s="67"/>
      <c r="B6" s="67"/>
      <c r="C6" s="67"/>
      <c r="D6" s="67"/>
      <c r="E6" s="67"/>
      <c r="F6" s="67"/>
      <c r="G6" s="67"/>
      <c r="H6" s="67"/>
      <c r="I6" s="67"/>
      <c r="J6" s="67"/>
      <c r="K6" s="67"/>
    </row>
    <row r="8" spans="1:11" ht="17" x14ac:dyDescent="0.2">
      <c r="A8" s="49" t="s">
        <v>1822</v>
      </c>
      <c r="B8" s="49" t="s">
        <v>104</v>
      </c>
      <c r="C8" s="49" t="s">
        <v>1419</v>
      </c>
      <c r="D8" s="49" t="s">
        <v>1420</v>
      </c>
      <c r="E8" s="49" t="s">
        <v>1421</v>
      </c>
      <c r="F8" s="49" t="s">
        <v>1422</v>
      </c>
      <c r="G8" s="49" t="s">
        <v>1423</v>
      </c>
      <c r="H8" s="49" t="s">
        <v>1424</v>
      </c>
      <c r="I8" s="49" t="s">
        <v>1425</v>
      </c>
      <c r="J8" s="49" t="s">
        <v>105</v>
      </c>
      <c r="K8" s="50" t="s">
        <v>113</v>
      </c>
    </row>
    <row r="9" spans="1:11" ht="221" x14ac:dyDescent="0.2">
      <c r="A9" s="68" t="s">
        <v>1823</v>
      </c>
      <c r="B9" s="51" t="s">
        <v>55</v>
      </c>
      <c r="C9" s="69" t="s">
        <v>1824</v>
      </c>
      <c r="D9" s="70">
        <v>40</v>
      </c>
      <c r="E9" s="70">
        <v>60</v>
      </c>
      <c r="F9" s="70">
        <v>80</v>
      </c>
      <c r="G9" s="71">
        <f>CHOOSE(MATCH(EffortBasis,{"Low","Likely","High"},0),D9,E9,F9)</f>
        <v>60</v>
      </c>
      <c r="H9" s="72">
        <f>Rates!$C$93</f>
        <v>525</v>
      </c>
      <c r="I9" s="58">
        <f t="shared" ref="I9:I16" si="0">G9*H9</f>
        <v>31500</v>
      </c>
      <c r="J9" s="53" t="s">
        <v>128</v>
      </c>
      <c r="K9" s="54" t="s">
        <v>1825</v>
      </c>
    </row>
    <row r="10" spans="1:11" ht="136" x14ac:dyDescent="0.2">
      <c r="A10" s="68" t="s">
        <v>1826</v>
      </c>
      <c r="B10" s="51" t="s">
        <v>55</v>
      </c>
      <c r="C10" s="69" t="s">
        <v>1827</v>
      </c>
      <c r="D10" s="70">
        <v>5</v>
      </c>
      <c r="E10" s="70">
        <v>8</v>
      </c>
      <c r="F10" s="70">
        <v>12</v>
      </c>
      <c r="G10" s="71">
        <f>CHOOSE(MATCH(EffortBasis,{"Low","Likely","High"},0),D10,E10,F10)</f>
        <v>8</v>
      </c>
      <c r="H10" s="72">
        <f>Rates!$C$96</f>
        <v>625</v>
      </c>
      <c r="I10" s="58">
        <f t="shared" si="0"/>
        <v>5000</v>
      </c>
      <c r="J10" s="53" t="s">
        <v>128</v>
      </c>
      <c r="K10" s="54" t="s">
        <v>1828</v>
      </c>
    </row>
    <row r="11" spans="1:11" ht="153" x14ac:dyDescent="0.2">
      <c r="A11" s="68" t="s">
        <v>1829</v>
      </c>
      <c r="B11" s="51" t="s">
        <v>57</v>
      </c>
      <c r="C11" s="69" t="s">
        <v>1830</v>
      </c>
      <c r="D11" s="70">
        <v>720</v>
      </c>
      <c r="E11" s="70">
        <v>1008</v>
      </c>
      <c r="F11" s="70">
        <v>2016</v>
      </c>
      <c r="G11" s="71">
        <f>CHOOSE(MATCH(EffortBasis,{"Low","Likely","High"},0),D11,E11,F11)</f>
        <v>1008</v>
      </c>
      <c r="H11" s="72">
        <f>Rates!$C$7</f>
        <v>0.16819999999999999</v>
      </c>
      <c r="I11" s="58">
        <f t="shared" si="0"/>
        <v>169.54559999999998</v>
      </c>
      <c r="J11" s="53" t="s">
        <v>128</v>
      </c>
      <c r="K11" s="54" t="s">
        <v>1831</v>
      </c>
    </row>
    <row r="12" spans="1:11" ht="102" x14ac:dyDescent="0.2">
      <c r="A12" s="68" t="s">
        <v>1832</v>
      </c>
      <c r="B12" s="51" t="s">
        <v>57</v>
      </c>
      <c r="C12" s="69" t="s">
        <v>1833</v>
      </c>
      <c r="D12" s="70">
        <v>360</v>
      </c>
      <c r="E12" s="70">
        <v>504</v>
      </c>
      <c r="F12" s="70">
        <v>1008</v>
      </c>
      <c r="G12" s="71">
        <f>CHOOSE(MATCH(EffortBasis,{"Low","Likely","High"},0),D12,E12,F12)</f>
        <v>504</v>
      </c>
      <c r="H12" s="72">
        <f>Rates!$C$14</f>
        <v>0.31209999999999999</v>
      </c>
      <c r="I12" s="58">
        <f t="shared" si="0"/>
        <v>157.29839999999999</v>
      </c>
      <c r="J12" s="53" t="s">
        <v>128</v>
      </c>
      <c r="K12" s="54" t="s">
        <v>1834</v>
      </c>
    </row>
    <row r="13" spans="1:11" ht="85" x14ac:dyDescent="0.2">
      <c r="A13" s="68" t="s">
        <v>1835</v>
      </c>
      <c r="B13" s="51" t="s">
        <v>57</v>
      </c>
      <c r="C13" s="69" t="s">
        <v>1836</v>
      </c>
      <c r="D13" s="70">
        <v>32</v>
      </c>
      <c r="E13" s="70">
        <v>48</v>
      </c>
      <c r="F13" s="70">
        <v>96</v>
      </c>
      <c r="G13" s="71">
        <f>CHOOSE(MATCH(EffortBasis,{"Low","Likely","High"},0),D13,E13,F13)</f>
        <v>48</v>
      </c>
      <c r="H13" s="72">
        <f>Rates!$C$15</f>
        <v>0.1008</v>
      </c>
      <c r="I13" s="58">
        <f t="shared" si="0"/>
        <v>4.8384</v>
      </c>
      <c r="J13" s="53" t="s">
        <v>128</v>
      </c>
      <c r="K13" s="54" t="s">
        <v>1837</v>
      </c>
    </row>
    <row r="14" spans="1:11" ht="102" x14ac:dyDescent="0.2">
      <c r="A14" s="68" t="s">
        <v>1838</v>
      </c>
      <c r="B14" s="51" t="s">
        <v>57</v>
      </c>
      <c r="C14" s="69" t="s">
        <v>1839</v>
      </c>
      <c r="D14" s="70">
        <v>10</v>
      </c>
      <c r="E14" s="70">
        <v>30</v>
      </c>
      <c r="F14" s="70">
        <v>60</v>
      </c>
      <c r="G14" s="71">
        <f>CHOOSE(MATCH(EffortBasis,{"Low","Likely","High"},0),D14,E14,F14)</f>
        <v>30</v>
      </c>
      <c r="H14" s="72">
        <f>Rates!$C$31</f>
        <v>2.1819000000000002</v>
      </c>
      <c r="I14" s="58">
        <f t="shared" si="0"/>
        <v>65.457000000000008</v>
      </c>
      <c r="J14" s="53" t="s">
        <v>128</v>
      </c>
      <c r="K14" s="54" t="s">
        <v>1840</v>
      </c>
    </row>
    <row r="15" spans="1:11" ht="119" x14ac:dyDescent="0.2">
      <c r="A15" s="68" t="s">
        <v>1841</v>
      </c>
      <c r="B15" s="51" t="s">
        <v>57</v>
      </c>
      <c r="C15" s="69" t="s">
        <v>1842</v>
      </c>
      <c r="D15" s="70">
        <v>5</v>
      </c>
      <c r="E15" s="70">
        <v>15</v>
      </c>
      <c r="F15" s="70">
        <v>40</v>
      </c>
      <c r="G15" s="71">
        <f>CHOOSE(MATCH(EffortBasis,{"Low","Likely","High"},0),D15,E15,F15)</f>
        <v>15</v>
      </c>
      <c r="H15" s="72">
        <f>Rates!$C$131</f>
        <v>1.9</v>
      </c>
      <c r="I15" s="58">
        <f t="shared" si="0"/>
        <v>28.5</v>
      </c>
      <c r="J15" s="53" t="s">
        <v>128</v>
      </c>
      <c r="K15" s="54" t="s">
        <v>1843</v>
      </c>
    </row>
    <row r="16" spans="1:11" ht="102" x14ac:dyDescent="0.2">
      <c r="A16" s="68" t="s">
        <v>1844</v>
      </c>
      <c r="B16" s="51" t="s">
        <v>57</v>
      </c>
      <c r="C16" s="69" t="s">
        <v>1845</v>
      </c>
      <c r="D16" s="70">
        <v>2</v>
      </c>
      <c r="E16" s="70">
        <v>5</v>
      </c>
      <c r="F16" s="70">
        <v>12</v>
      </c>
      <c r="G16" s="71">
        <f>CHOOSE(MATCH(EffortBasis,{"Low","Likely","High"},0),D16,E16,F16)</f>
        <v>5</v>
      </c>
      <c r="H16" s="72">
        <f>Rates!$C$132</f>
        <v>7.6</v>
      </c>
      <c r="I16" s="58">
        <f t="shared" si="0"/>
        <v>38</v>
      </c>
      <c r="J16" s="53" t="s">
        <v>128</v>
      </c>
      <c r="K16" s="54" t="s">
        <v>1846</v>
      </c>
    </row>
    <row r="17" spans="1:11" ht="16" x14ac:dyDescent="0.2">
      <c r="A17" s="78" t="s">
        <v>1847</v>
      </c>
      <c r="I17" s="79">
        <f>SUM(I9:I16)</f>
        <v>36963.6394</v>
      </c>
    </row>
    <row r="19" spans="1:11" x14ac:dyDescent="0.2">
      <c r="A19" s="66" t="str">
        <f>"Pilot total £"&amp;TEXT(PilotTotal,"#,##0")&amp;"  vs  POAP build FLOOR £"&amp;TEXT(TotalBuild,"#,##0")&amp;"  —  the price of saying yes to one supervised agent in September."</f>
        <v>Pilot total £36,964  vs  POAP build FLOOR £830,342  —  the price of saying yes to one supervised agent in September.</v>
      </c>
      <c r="B19" s="67"/>
      <c r="C19" s="67"/>
      <c r="D19" s="67"/>
      <c r="E19" s="67"/>
      <c r="F19" s="67"/>
      <c r="G19" s="67"/>
      <c r="H19" s="67"/>
      <c r="I19" s="67"/>
      <c r="J19" s="67"/>
      <c r="K19" s="67"/>
    </row>
  </sheetData>
  <mergeCells count="3">
    <mergeCell ref="A2:K2"/>
    <mergeCell ref="A19:K19"/>
    <mergeCell ref="A4:K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showGridLines="0" workbookViewId="0">
      <pane ySplit="4" topLeftCell="A5" activePane="bottomLeft" state="frozen"/>
      <selection pane="bottomLeft" activeCell="G14" sqref="G14"/>
    </sheetView>
  </sheetViews>
  <sheetFormatPr baseColWidth="10" defaultColWidth="8.83203125" defaultRowHeight="15" x14ac:dyDescent="0.2"/>
  <cols>
    <col min="1" max="1" width="14" style="59" customWidth="1"/>
    <col min="2" max="2" width="42" style="59" customWidth="1"/>
    <col min="3" max="3" width="12" style="59" customWidth="1"/>
    <col min="4" max="4" width="28" style="59" customWidth="1"/>
    <col min="5" max="5" width="12" style="59" customWidth="1"/>
    <col min="6" max="6" width="14" style="59" customWidth="1"/>
    <col min="7" max="7" width="54" style="59" customWidth="1"/>
    <col min="8" max="8" width="8.83203125" style="59"/>
  </cols>
  <sheetData>
    <row r="1" spans="1:7" ht="18" x14ac:dyDescent="0.2">
      <c r="A1" s="45" t="s">
        <v>1848</v>
      </c>
      <c r="B1" s="45"/>
      <c r="C1" s="45"/>
      <c r="D1" s="45"/>
      <c r="E1" s="45"/>
      <c r="F1" s="45"/>
      <c r="G1" s="45"/>
    </row>
    <row r="2" spans="1:7" x14ac:dyDescent="0.2">
      <c r="A2" s="66" t="str">
        <f>"AgentStack = "&amp;AgentStack&amp;"  ·  AgentCount intensity = "&amp;AgentCount&amp;"  ·  Include flags mark which agents are in the delivery programme (Gantt rows always visible as ASSUMPTION gaps when Exclude)."</f>
        <v>AgentStack = Exclude  ·  AgentCount intensity = 1  ·  Include flags mark which agents are in the delivery programme (Gantt rows always visible as ASSUMPTION gaps when Exclude).</v>
      </c>
      <c r="B2" s="67"/>
      <c r="C2" s="67"/>
      <c r="D2" s="67"/>
      <c r="E2" s="67"/>
      <c r="F2" s="67"/>
      <c r="G2" s="67"/>
    </row>
    <row r="4" spans="1:7" ht="17" x14ac:dyDescent="0.2">
      <c r="A4" s="50" t="s">
        <v>1849</v>
      </c>
      <c r="B4" s="50" t="s">
        <v>1850</v>
      </c>
      <c r="C4" s="50" t="s">
        <v>1851</v>
      </c>
      <c r="D4" s="50" t="s">
        <v>1852</v>
      </c>
      <c r="E4" s="50" t="s">
        <v>1853</v>
      </c>
      <c r="F4" s="50" t="s">
        <v>1056</v>
      </c>
      <c r="G4" s="50" t="s">
        <v>1120</v>
      </c>
    </row>
    <row r="5" spans="1:7" ht="17" x14ac:dyDescent="0.2">
      <c r="A5" s="91" t="s">
        <v>1854</v>
      </c>
      <c r="B5" s="68" t="s">
        <v>1855</v>
      </c>
      <c r="C5" s="68" t="s">
        <v>1856</v>
      </c>
      <c r="D5" s="68" t="s">
        <v>1857</v>
      </c>
      <c r="E5" s="68" t="s">
        <v>1858</v>
      </c>
      <c r="F5" s="97" t="str">
        <f>IF(AgentStack="Include","Include","Exclude")</f>
        <v>Exclude</v>
      </c>
      <c r="G5" s="69"/>
    </row>
    <row r="6" spans="1:7" ht="17" x14ac:dyDescent="0.2">
      <c r="A6" s="91" t="s">
        <v>1859</v>
      </c>
      <c r="B6" s="68" t="s">
        <v>1860</v>
      </c>
      <c r="C6" s="68" t="s">
        <v>1861</v>
      </c>
      <c r="D6" s="68" t="s">
        <v>1862</v>
      </c>
      <c r="E6" s="68" t="s">
        <v>1858</v>
      </c>
      <c r="F6" s="97" t="str">
        <f>IF(AgentStack="Include","Include","Exclude")</f>
        <v>Exclude</v>
      </c>
      <c r="G6" s="69"/>
    </row>
    <row r="7" spans="1:7" ht="34" x14ac:dyDescent="0.2">
      <c r="A7" s="91" t="s">
        <v>1863</v>
      </c>
      <c r="B7" s="68" t="s">
        <v>1864</v>
      </c>
      <c r="C7" s="68" t="s">
        <v>1865</v>
      </c>
      <c r="D7" s="68" t="s">
        <v>1866</v>
      </c>
      <c r="E7" s="68" t="s">
        <v>1858</v>
      </c>
      <c r="F7" s="97" t="str">
        <f>IF(AgentStack="Include","Include","Exclude")</f>
        <v>Exclude</v>
      </c>
      <c r="G7" s="69"/>
    </row>
    <row r="8" spans="1:7" ht="17" x14ac:dyDescent="0.2">
      <c r="A8" s="91" t="s">
        <v>1867</v>
      </c>
      <c r="B8" s="68" t="s">
        <v>1868</v>
      </c>
      <c r="C8" s="68" t="s">
        <v>1869</v>
      </c>
      <c r="D8" s="68" t="s">
        <v>1870</v>
      </c>
      <c r="E8" s="68" t="s">
        <v>1871</v>
      </c>
      <c r="F8" s="97" t="str">
        <f>IF(AgentStack="Include","Include","Exclude")</f>
        <v>Exclude</v>
      </c>
      <c r="G8" s="69"/>
    </row>
    <row r="9" spans="1:7" ht="17" x14ac:dyDescent="0.2">
      <c r="A9" s="91" t="s">
        <v>1872</v>
      </c>
      <c r="B9" s="68" t="s">
        <v>1873</v>
      </c>
      <c r="C9" s="68" t="s">
        <v>1874</v>
      </c>
      <c r="D9" s="68" t="s">
        <v>1875</v>
      </c>
      <c r="E9" s="68" t="s">
        <v>1871</v>
      </c>
      <c r="F9" s="97" t="str">
        <f>IF(AgentStack="Include","Include","Exclude")</f>
        <v>Exclude</v>
      </c>
      <c r="G9" s="69"/>
    </row>
    <row r="10" spans="1:7" ht="34" x14ac:dyDescent="0.2">
      <c r="A10" s="91" t="s">
        <v>1876</v>
      </c>
      <c r="B10" s="68" t="s">
        <v>1877</v>
      </c>
      <c r="C10" s="68" t="s">
        <v>1878</v>
      </c>
      <c r="D10" s="68"/>
      <c r="E10" s="68" t="s">
        <v>1871</v>
      </c>
      <c r="F10" s="97" t="str">
        <f>IF(AgentStack="Include","Exclude","Exclude")</f>
        <v>Exclude</v>
      </c>
      <c r="G10" s="69" t="s">
        <v>1879</v>
      </c>
    </row>
    <row r="11" spans="1:7" ht="34" x14ac:dyDescent="0.2">
      <c r="A11" s="91" t="s">
        <v>1880</v>
      </c>
      <c r="B11" s="68" t="s">
        <v>1881</v>
      </c>
      <c r="C11" s="68" t="s">
        <v>1882</v>
      </c>
      <c r="D11" s="68"/>
      <c r="E11" s="68" t="s">
        <v>1871</v>
      </c>
      <c r="F11" s="97" t="str">
        <f>IF(AgentStack="Include","Exclude","Exclude")</f>
        <v>Exclude</v>
      </c>
      <c r="G11" s="69" t="s">
        <v>1883</v>
      </c>
    </row>
    <row r="12" spans="1:7" x14ac:dyDescent="0.2">
      <c r="A12" s="60"/>
      <c r="B12" s="60"/>
      <c r="C12" s="60"/>
      <c r="D12" s="60"/>
      <c r="E12" s="60"/>
      <c r="F12" s="60"/>
      <c r="G12" s="60"/>
    </row>
    <row r="13" spans="1:7" x14ac:dyDescent="0.2">
      <c r="A13" s="95" t="s">
        <v>1884</v>
      </c>
      <c r="B13" s="81"/>
      <c r="C13" s="81"/>
      <c r="D13" s="81"/>
      <c r="E13" s="81"/>
      <c r="F13" s="81"/>
      <c r="G13" s="81"/>
    </row>
    <row r="14" spans="1:7" x14ac:dyDescent="0.2">
      <c r="A14" s="60"/>
      <c r="B14" s="60"/>
      <c r="C14" s="60"/>
      <c r="D14" s="60"/>
      <c r="E14" s="60"/>
      <c r="F14" s="60"/>
      <c r="G14" s="60"/>
    </row>
  </sheetData>
  <mergeCells count="2">
    <mergeCell ref="A13:G13"/>
    <mergeCell ref="A2:G2"/>
  </mergeCells>
  <dataValidations count="1">
    <dataValidation type="list" sqref="F5:F11" xr:uid="{00000000-0002-0000-0900-000000000000}">
      <formula1>"Include,Exclude"</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2"/>
  <sheetViews>
    <sheetView showGridLines="0" workbookViewId="0">
      <pane ySplit="4" topLeftCell="A5" activePane="bottomLeft" state="frozen"/>
      <selection pane="bottomLeft" activeCell="F56" sqref="F56"/>
    </sheetView>
  </sheetViews>
  <sheetFormatPr baseColWidth="10" defaultColWidth="8.83203125" defaultRowHeight="15" x14ac:dyDescent="0.2"/>
  <cols>
    <col min="1" max="1" width="18.33203125" customWidth="1"/>
    <col min="2" max="2" width="64.1640625" customWidth="1"/>
    <col min="3" max="3" width="12" customWidth="1"/>
    <col min="4" max="4" width="10" customWidth="1"/>
    <col min="5" max="5" width="17.1640625" customWidth="1"/>
    <col min="6" max="6" width="138.1640625" customWidth="1"/>
  </cols>
  <sheetData>
    <row r="1" spans="1:6" ht="18" x14ac:dyDescent="0.2">
      <c r="A1" s="1" t="s">
        <v>1885</v>
      </c>
      <c r="B1" s="1"/>
      <c r="C1" s="1"/>
      <c r="D1" s="1"/>
      <c r="E1" s="1"/>
      <c r="F1" s="1"/>
    </row>
    <row r="3" spans="1:6" ht="16" x14ac:dyDescent="0.2">
      <c r="A3" s="49" t="s">
        <v>54</v>
      </c>
      <c r="B3" s="49" t="s">
        <v>1886</v>
      </c>
      <c r="C3" s="49" t="s">
        <v>104</v>
      </c>
      <c r="D3" s="49" t="s">
        <v>1887</v>
      </c>
      <c r="E3" s="49" t="s">
        <v>105</v>
      </c>
      <c r="F3" s="49" t="s">
        <v>1888</v>
      </c>
    </row>
    <row r="4" spans="1:6" ht="16" x14ac:dyDescent="0.2">
      <c r="A4" s="75" t="s">
        <v>1889</v>
      </c>
      <c r="B4" s="75" t="s">
        <v>1890</v>
      </c>
      <c r="C4" s="51" t="s">
        <v>55</v>
      </c>
      <c r="D4" s="98">
        <v>1</v>
      </c>
      <c r="E4" s="53" t="s">
        <v>128</v>
      </c>
      <c r="F4" s="77" t="s">
        <v>1891</v>
      </c>
    </row>
    <row r="5" spans="1:6" ht="16" x14ac:dyDescent="0.2">
      <c r="A5" s="75" t="s">
        <v>1889</v>
      </c>
      <c r="B5" s="75" t="s">
        <v>1892</v>
      </c>
      <c r="C5" s="51" t="s">
        <v>55</v>
      </c>
      <c r="D5" s="98">
        <v>0.6</v>
      </c>
      <c r="E5" s="53" t="s">
        <v>128</v>
      </c>
      <c r="F5" s="77" t="s">
        <v>1893</v>
      </c>
    </row>
    <row r="6" spans="1:6" ht="16" x14ac:dyDescent="0.2">
      <c r="A6" s="75" t="s">
        <v>1889</v>
      </c>
      <c r="B6" s="75" t="s">
        <v>1894</v>
      </c>
      <c r="C6" s="51" t="s">
        <v>55</v>
      </c>
      <c r="D6" s="98">
        <v>0.4</v>
      </c>
      <c r="E6" s="53" t="s">
        <v>128</v>
      </c>
      <c r="F6" s="77" t="s">
        <v>1895</v>
      </c>
    </row>
    <row r="7" spans="1:6" ht="16" x14ac:dyDescent="0.2">
      <c r="A7" s="75" t="s">
        <v>1889</v>
      </c>
      <c r="B7" s="75" t="s">
        <v>1896</v>
      </c>
      <c r="C7" s="51" t="s">
        <v>55</v>
      </c>
      <c r="D7" s="98">
        <v>0.4</v>
      </c>
      <c r="E7" s="53" t="s">
        <v>128</v>
      </c>
      <c r="F7" s="77" t="s">
        <v>1897</v>
      </c>
    </row>
    <row r="8" spans="1:6" ht="16" x14ac:dyDescent="0.2">
      <c r="A8" s="75" t="s">
        <v>1889</v>
      </c>
      <c r="B8" s="75" t="s">
        <v>1898</v>
      </c>
      <c r="C8" s="51" t="s">
        <v>55</v>
      </c>
      <c r="D8" s="98">
        <v>0.4</v>
      </c>
      <c r="E8" s="53" t="s">
        <v>128</v>
      </c>
      <c r="F8" s="77" t="s">
        <v>1899</v>
      </c>
    </row>
    <row r="9" spans="1:6" ht="16" x14ac:dyDescent="0.2">
      <c r="A9" s="75" t="s">
        <v>1889</v>
      </c>
      <c r="B9" s="75" t="s">
        <v>1900</v>
      </c>
      <c r="C9" s="51" t="s">
        <v>55</v>
      </c>
      <c r="D9" s="98">
        <v>1</v>
      </c>
      <c r="E9" s="53" t="s">
        <v>128</v>
      </c>
      <c r="F9" s="77" t="s">
        <v>1901</v>
      </c>
    </row>
    <row r="10" spans="1:6" ht="16" x14ac:dyDescent="0.2">
      <c r="A10" s="75" t="s">
        <v>1889</v>
      </c>
      <c r="B10" s="75" t="s">
        <v>1902</v>
      </c>
      <c r="C10" s="51" t="s">
        <v>56</v>
      </c>
      <c r="D10" s="98">
        <v>0.6</v>
      </c>
      <c r="E10" s="53" t="s">
        <v>128</v>
      </c>
      <c r="F10" s="77" t="s">
        <v>1903</v>
      </c>
    </row>
    <row r="11" spans="1:6" ht="16" x14ac:dyDescent="0.2">
      <c r="A11" s="75" t="s">
        <v>1904</v>
      </c>
      <c r="B11" s="75" t="s">
        <v>1905</v>
      </c>
      <c r="C11" s="51" t="s">
        <v>55</v>
      </c>
      <c r="D11" s="98">
        <v>2</v>
      </c>
      <c r="E11" s="53" t="s">
        <v>128</v>
      </c>
      <c r="F11" s="77" t="s">
        <v>1906</v>
      </c>
    </row>
    <row r="12" spans="1:6" ht="16" x14ac:dyDescent="0.2">
      <c r="A12" s="75" t="s">
        <v>1904</v>
      </c>
      <c r="B12" s="75" t="s">
        <v>1907</v>
      </c>
      <c r="C12" s="51" t="s">
        <v>55</v>
      </c>
      <c r="D12" s="98">
        <v>1</v>
      </c>
      <c r="E12" s="53" t="s">
        <v>128</v>
      </c>
      <c r="F12" s="77" t="s">
        <v>1908</v>
      </c>
    </row>
    <row r="13" spans="1:6" ht="16" x14ac:dyDescent="0.2">
      <c r="A13" s="75" t="s">
        <v>1904</v>
      </c>
      <c r="B13" s="75" t="s">
        <v>1909</v>
      </c>
      <c r="C13" s="51" t="s">
        <v>55</v>
      </c>
      <c r="D13" s="98">
        <v>1.5</v>
      </c>
      <c r="E13" s="53" t="s">
        <v>128</v>
      </c>
      <c r="F13" s="77" t="s">
        <v>1910</v>
      </c>
    </row>
    <row r="14" spans="1:6" ht="16" x14ac:dyDescent="0.2">
      <c r="A14" s="75" t="s">
        <v>1904</v>
      </c>
      <c r="B14" s="75" t="s">
        <v>1911</v>
      </c>
      <c r="C14" s="51" t="s">
        <v>55</v>
      </c>
      <c r="D14" s="98">
        <v>0.5</v>
      </c>
      <c r="E14" s="53" t="s">
        <v>128</v>
      </c>
      <c r="F14" s="77" t="s">
        <v>1908</v>
      </c>
    </row>
    <row r="15" spans="1:6" ht="16" x14ac:dyDescent="0.2">
      <c r="A15" s="75" t="s">
        <v>1904</v>
      </c>
      <c r="B15" s="75" t="s">
        <v>1912</v>
      </c>
      <c r="C15" s="51" t="s">
        <v>55</v>
      </c>
      <c r="D15" s="98">
        <v>0.5</v>
      </c>
      <c r="E15" s="53" t="s">
        <v>128</v>
      </c>
      <c r="F15" s="77" t="s">
        <v>1908</v>
      </c>
    </row>
    <row r="16" spans="1:6" ht="16" x14ac:dyDescent="0.2">
      <c r="A16" s="75" t="s">
        <v>1904</v>
      </c>
      <c r="B16" s="75" t="s">
        <v>1913</v>
      </c>
      <c r="C16" s="51" t="s">
        <v>55</v>
      </c>
      <c r="D16" s="98">
        <v>0.44</v>
      </c>
      <c r="E16" s="53" t="s">
        <v>128</v>
      </c>
      <c r="F16" s="77" t="s">
        <v>1914</v>
      </c>
    </row>
    <row r="17" spans="1:6" ht="16" x14ac:dyDescent="0.2">
      <c r="A17" s="75" t="s">
        <v>1904</v>
      </c>
      <c r="B17" s="75" t="s">
        <v>1915</v>
      </c>
      <c r="C17" s="51" t="s">
        <v>55</v>
      </c>
      <c r="D17" s="98">
        <v>1</v>
      </c>
      <c r="E17" s="53" t="s">
        <v>128</v>
      </c>
      <c r="F17" s="77" t="s">
        <v>1916</v>
      </c>
    </row>
    <row r="18" spans="1:6" ht="16" x14ac:dyDescent="0.2">
      <c r="A18" s="75" t="s">
        <v>1904</v>
      </c>
      <c r="B18" s="75" t="s">
        <v>1917</v>
      </c>
      <c r="C18" s="51" t="s">
        <v>55</v>
      </c>
      <c r="D18" s="98">
        <v>0.6</v>
      </c>
      <c r="E18" s="53" t="s">
        <v>128</v>
      </c>
      <c r="F18" s="77" t="s">
        <v>1918</v>
      </c>
    </row>
    <row r="19" spans="1:6" ht="16" x14ac:dyDescent="0.2">
      <c r="A19" s="75" t="s">
        <v>1919</v>
      </c>
      <c r="B19" s="75" t="s">
        <v>1920</v>
      </c>
      <c r="C19" s="51" t="s">
        <v>56</v>
      </c>
      <c r="D19" s="98">
        <v>3</v>
      </c>
      <c r="E19" s="53" t="s">
        <v>128</v>
      </c>
      <c r="F19" s="77" t="s">
        <v>1921</v>
      </c>
    </row>
    <row r="20" spans="1:6" ht="16" x14ac:dyDescent="0.2">
      <c r="A20" s="75" t="s">
        <v>1919</v>
      </c>
      <c r="B20" s="75" t="s">
        <v>1922</v>
      </c>
      <c r="C20" s="51" t="s">
        <v>56</v>
      </c>
      <c r="D20" s="98">
        <v>2</v>
      </c>
      <c r="E20" s="53" t="s">
        <v>128</v>
      </c>
      <c r="F20" s="77" t="s">
        <v>1923</v>
      </c>
    </row>
    <row r="21" spans="1:6" ht="16" x14ac:dyDescent="0.2">
      <c r="A21" s="75" t="s">
        <v>1919</v>
      </c>
      <c r="B21" s="75" t="s">
        <v>1924</v>
      </c>
      <c r="C21" s="51" t="s">
        <v>55</v>
      </c>
      <c r="D21" s="98">
        <v>1</v>
      </c>
      <c r="E21" s="53" t="s">
        <v>128</v>
      </c>
      <c r="F21" s="77" t="s">
        <v>1925</v>
      </c>
    </row>
    <row r="22" spans="1:6" ht="16" x14ac:dyDescent="0.2">
      <c r="A22" s="75" t="s">
        <v>1926</v>
      </c>
      <c r="B22" s="75" t="s">
        <v>1927</v>
      </c>
      <c r="C22" s="51" t="s">
        <v>55</v>
      </c>
      <c r="D22" s="98">
        <v>2.75</v>
      </c>
      <c r="E22" s="53" t="s">
        <v>128</v>
      </c>
      <c r="F22" s="77" t="s">
        <v>1928</v>
      </c>
    </row>
    <row r="23" spans="1:6" ht="16" x14ac:dyDescent="0.2">
      <c r="A23" s="75" t="s">
        <v>1926</v>
      </c>
      <c r="B23" s="75" t="s">
        <v>1929</v>
      </c>
      <c r="C23" s="51" t="s">
        <v>55</v>
      </c>
      <c r="D23" s="98">
        <v>1</v>
      </c>
      <c r="E23" s="53" t="s">
        <v>128</v>
      </c>
      <c r="F23" s="77" t="s">
        <v>1930</v>
      </c>
    </row>
    <row r="24" spans="1:6" ht="16" x14ac:dyDescent="0.2">
      <c r="A24" s="75" t="s">
        <v>1926</v>
      </c>
      <c r="B24" s="75" t="s">
        <v>1931</v>
      </c>
      <c r="C24" s="51" t="s">
        <v>55</v>
      </c>
      <c r="D24" s="98">
        <v>1</v>
      </c>
      <c r="E24" s="53" t="s">
        <v>128</v>
      </c>
      <c r="F24" s="77" t="s">
        <v>1932</v>
      </c>
    </row>
    <row r="25" spans="1:6" ht="16" x14ac:dyDescent="0.2">
      <c r="A25" s="75" t="s">
        <v>1926</v>
      </c>
      <c r="B25" s="75" t="s">
        <v>1933</v>
      </c>
      <c r="C25" s="51" t="s">
        <v>58</v>
      </c>
      <c r="D25" s="98">
        <v>0.5</v>
      </c>
      <c r="E25" s="53" t="s">
        <v>1196</v>
      </c>
      <c r="F25" s="77" t="s">
        <v>1934</v>
      </c>
    </row>
    <row r="26" spans="1:6" ht="16" x14ac:dyDescent="0.2">
      <c r="A26" s="75" t="s">
        <v>1926</v>
      </c>
      <c r="B26" s="75" t="s">
        <v>1935</v>
      </c>
      <c r="C26" s="51" t="s">
        <v>56</v>
      </c>
      <c r="D26" s="98">
        <v>1</v>
      </c>
      <c r="E26" s="53" t="s">
        <v>128</v>
      </c>
      <c r="F26" s="77" t="s">
        <v>1936</v>
      </c>
    </row>
    <row r="27" spans="1:6" ht="16" x14ac:dyDescent="0.2">
      <c r="A27" s="75" t="s">
        <v>1926</v>
      </c>
      <c r="B27" s="75" t="s">
        <v>1937</v>
      </c>
      <c r="C27" s="51" t="s">
        <v>55</v>
      </c>
      <c r="D27" s="98">
        <v>1</v>
      </c>
      <c r="E27" s="53" t="s">
        <v>128</v>
      </c>
      <c r="F27" s="77" t="s">
        <v>1938</v>
      </c>
    </row>
    <row r="28" spans="1:6" ht="16" x14ac:dyDescent="0.2">
      <c r="A28" s="75" t="s">
        <v>1939</v>
      </c>
      <c r="B28" s="75" t="s">
        <v>1940</v>
      </c>
      <c r="C28" s="51" t="s">
        <v>55</v>
      </c>
      <c r="D28" s="98">
        <v>2</v>
      </c>
      <c r="E28" s="53" t="s">
        <v>128</v>
      </c>
      <c r="F28" s="77" t="s">
        <v>1941</v>
      </c>
    </row>
    <row r="29" spans="1:6" ht="16" x14ac:dyDescent="0.2">
      <c r="A29" s="75" t="s">
        <v>1939</v>
      </c>
      <c r="B29" s="75" t="s">
        <v>1942</v>
      </c>
      <c r="C29" s="51" t="s">
        <v>55</v>
      </c>
      <c r="D29" s="98">
        <v>1</v>
      </c>
      <c r="E29" s="53" t="s">
        <v>128</v>
      </c>
      <c r="F29" s="77" t="s">
        <v>1943</v>
      </c>
    </row>
    <row r="30" spans="1:6" ht="16" x14ac:dyDescent="0.2">
      <c r="A30" s="75" t="s">
        <v>1939</v>
      </c>
      <c r="B30" s="75" t="s">
        <v>1944</v>
      </c>
      <c r="C30" s="51" t="s">
        <v>55</v>
      </c>
      <c r="D30" s="98">
        <v>1</v>
      </c>
      <c r="E30" s="53" t="s">
        <v>128</v>
      </c>
      <c r="F30" s="77" t="s">
        <v>1945</v>
      </c>
    </row>
    <row r="31" spans="1:6" ht="16" x14ac:dyDescent="0.2">
      <c r="A31" s="75" t="s">
        <v>1939</v>
      </c>
      <c r="B31" s="75" t="s">
        <v>1946</v>
      </c>
      <c r="C31" s="51" t="s">
        <v>55</v>
      </c>
      <c r="D31" s="98">
        <v>0.5</v>
      </c>
      <c r="E31" s="53" t="s">
        <v>128</v>
      </c>
      <c r="F31" s="77" t="s">
        <v>1947</v>
      </c>
    </row>
    <row r="32" spans="1:6" ht="16" x14ac:dyDescent="0.2">
      <c r="A32" s="75" t="s">
        <v>1939</v>
      </c>
      <c r="B32" s="75" t="s">
        <v>1948</v>
      </c>
      <c r="C32" s="51" t="s">
        <v>56</v>
      </c>
      <c r="D32" s="98">
        <v>1</v>
      </c>
      <c r="E32" s="53" t="s">
        <v>128</v>
      </c>
      <c r="F32" s="77" t="s">
        <v>1949</v>
      </c>
    </row>
    <row r="33" spans="1:6" ht="16" x14ac:dyDescent="0.2">
      <c r="A33" s="75" t="s">
        <v>1950</v>
      </c>
      <c r="B33" s="75" t="s">
        <v>1951</v>
      </c>
      <c r="C33" s="51" t="s">
        <v>55</v>
      </c>
      <c r="D33" s="98">
        <v>1.5</v>
      </c>
      <c r="E33" s="53" t="s">
        <v>128</v>
      </c>
      <c r="F33" s="77" t="s">
        <v>1952</v>
      </c>
    </row>
    <row r="34" spans="1:6" ht="16" x14ac:dyDescent="0.2">
      <c r="A34" s="75" t="s">
        <v>1950</v>
      </c>
      <c r="B34" s="75" t="s">
        <v>1953</v>
      </c>
      <c r="C34" s="51" t="s">
        <v>56</v>
      </c>
      <c r="D34" s="98">
        <v>1</v>
      </c>
      <c r="E34" s="53" t="s">
        <v>128</v>
      </c>
      <c r="F34" s="77" t="s">
        <v>1954</v>
      </c>
    </row>
    <row r="35" spans="1:6" ht="16" x14ac:dyDescent="0.2">
      <c r="A35" s="75" t="s">
        <v>1950</v>
      </c>
      <c r="B35" s="75" t="s">
        <v>1955</v>
      </c>
      <c r="C35" s="51" t="s">
        <v>55</v>
      </c>
      <c r="D35" s="98">
        <v>0.8</v>
      </c>
      <c r="E35" s="53" t="s">
        <v>128</v>
      </c>
      <c r="F35" s="77" t="s">
        <v>1956</v>
      </c>
    </row>
    <row r="36" spans="1:6" ht="16" x14ac:dyDescent="0.2">
      <c r="A36" s="75" t="s">
        <v>1950</v>
      </c>
      <c r="B36" s="75" t="s">
        <v>1957</v>
      </c>
      <c r="C36" s="51" t="s">
        <v>55</v>
      </c>
      <c r="D36" s="98">
        <v>0.5</v>
      </c>
      <c r="E36" s="53" t="s">
        <v>128</v>
      </c>
      <c r="F36" s="77" t="s">
        <v>1958</v>
      </c>
    </row>
    <row r="37" spans="1:6" x14ac:dyDescent="0.2">
      <c r="A37" s="59"/>
      <c r="B37" s="59"/>
      <c r="C37" s="59"/>
      <c r="D37" s="59"/>
      <c r="E37" s="59"/>
      <c r="F37" s="59"/>
    </row>
    <row r="38" spans="1:6" ht="16" x14ac:dyDescent="0.2">
      <c r="A38" s="47" t="s">
        <v>1959</v>
      </c>
      <c r="B38" s="47"/>
      <c r="C38" s="47"/>
      <c r="D38" s="47"/>
      <c r="E38" s="47"/>
      <c r="F38" s="47"/>
    </row>
    <row r="39" spans="1:6" ht="17" x14ac:dyDescent="0.2">
      <c r="A39" s="91" t="s">
        <v>1960</v>
      </c>
      <c r="B39" s="95" t="s">
        <v>1961</v>
      </c>
      <c r="C39" s="81"/>
      <c r="D39" s="81"/>
      <c r="E39" s="81"/>
      <c r="F39" s="81"/>
    </row>
    <row r="40" spans="1:6" ht="34" x14ac:dyDescent="0.2">
      <c r="A40" s="91" t="s">
        <v>1962</v>
      </c>
      <c r="B40" s="95" t="s">
        <v>1963</v>
      </c>
      <c r="C40" s="81"/>
      <c r="D40" s="81"/>
      <c r="E40" s="81"/>
      <c r="F40" s="81"/>
    </row>
    <row r="41" spans="1:6" ht="34" x14ac:dyDescent="0.2">
      <c r="A41" s="91" t="s">
        <v>1964</v>
      </c>
      <c r="B41" s="95" t="s">
        <v>1965</v>
      </c>
      <c r="C41" s="81"/>
      <c r="D41" s="81"/>
      <c r="E41" s="81"/>
      <c r="F41" s="81"/>
    </row>
    <row r="42" spans="1:6" ht="34" x14ac:dyDescent="0.2">
      <c r="A42" s="91" t="s">
        <v>1966</v>
      </c>
      <c r="B42" s="95" t="s">
        <v>1967</v>
      </c>
      <c r="C42" s="81"/>
      <c r="D42" s="81"/>
      <c r="E42" s="81"/>
      <c r="F42" s="81"/>
    </row>
  </sheetData>
  <mergeCells count="4">
    <mergeCell ref="B40:F40"/>
    <mergeCell ref="B39:F39"/>
    <mergeCell ref="B41:F41"/>
    <mergeCell ref="B42:F4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
  <sheetViews>
    <sheetView showGridLines="0" tabSelected="1" workbookViewId="0">
      <pane ySplit="4" topLeftCell="A5" activePane="bottomLeft" state="frozen"/>
      <selection pane="bottomLeft" activeCell="A10" sqref="A10"/>
    </sheetView>
  </sheetViews>
  <sheetFormatPr baseColWidth="10" defaultColWidth="8.83203125" defaultRowHeight="15" x14ac:dyDescent="0.2"/>
  <cols>
    <col min="1" max="1" width="56" customWidth="1"/>
    <col min="2" max="2" width="22" customWidth="1"/>
    <col min="3" max="3" width="24" customWidth="1"/>
    <col min="4" max="4" width="16" customWidth="1"/>
    <col min="5" max="5" width="60" customWidth="1"/>
    <col min="6" max="6" width="40" customWidth="1"/>
  </cols>
  <sheetData>
    <row r="1" spans="1:6" ht="18" x14ac:dyDescent="0.2">
      <c r="A1" s="1" t="s">
        <v>1968</v>
      </c>
      <c r="B1" s="1"/>
      <c r="C1" s="1"/>
      <c r="D1" s="1"/>
      <c r="E1" s="1"/>
      <c r="F1" s="1"/>
    </row>
    <row r="2" spans="1:6" ht="16" x14ac:dyDescent="0.2">
      <c r="A2" s="36" t="s">
        <v>1969</v>
      </c>
      <c r="B2" s="37"/>
      <c r="C2" s="37"/>
      <c r="D2" s="37"/>
      <c r="E2" s="37"/>
      <c r="F2" s="37"/>
    </row>
    <row r="4" spans="1:6" ht="17" x14ac:dyDescent="0.2">
      <c r="A4" s="50" t="s">
        <v>1970</v>
      </c>
      <c r="B4" s="99" t="s">
        <v>1971</v>
      </c>
      <c r="C4" s="99" t="s">
        <v>1117</v>
      </c>
      <c r="D4" s="99" t="s">
        <v>105</v>
      </c>
      <c r="E4" s="50" t="s">
        <v>1119</v>
      </c>
      <c r="F4" s="99" t="s">
        <v>1972</v>
      </c>
    </row>
    <row r="5" spans="1:6" ht="51" x14ac:dyDescent="0.2">
      <c r="A5" s="68" t="s">
        <v>1973</v>
      </c>
      <c r="B5" s="100">
        <v>463</v>
      </c>
      <c r="C5" s="101" t="s">
        <v>1974</v>
      </c>
      <c r="D5" s="102" t="s">
        <v>1123</v>
      </c>
      <c r="E5" s="54" t="s">
        <v>1975</v>
      </c>
      <c r="F5" s="100">
        <f>OrgSize</f>
        <v>700</v>
      </c>
    </row>
    <row r="6" spans="1:6" ht="34" x14ac:dyDescent="0.2">
      <c r="A6" s="68" t="s">
        <v>1976</v>
      </c>
      <c r="B6" s="100">
        <v>726</v>
      </c>
      <c r="C6" s="101" t="s">
        <v>1977</v>
      </c>
      <c r="D6" s="102" t="s">
        <v>1123</v>
      </c>
      <c r="E6" s="54" t="s">
        <v>1978</v>
      </c>
      <c r="F6" s="104">
        <f>(TotalBuild+TotalRun5yr)/726000000</f>
        <v>3.4258738102188216E-3</v>
      </c>
    </row>
    <row r="7" spans="1:6" ht="34" x14ac:dyDescent="0.2">
      <c r="A7" s="68" t="s">
        <v>1979</v>
      </c>
      <c r="B7" s="103" t="s">
        <v>1980</v>
      </c>
      <c r="C7" s="101" t="s">
        <v>1981</v>
      </c>
      <c r="D7" s="102" t="s">
        <v>1196</v>
      </c>
      <c r="E7" s="54" t="s">
        <v>1982</v>
      </c>
      <c r="F7" s="104">
        <f>((TotalBuild+TotalRun5yr)/5)/726000000</f>
        <v>6.8517476204376434E-4</v>
      </c>
    </row>
    <row r="8" spans="1:6" ht="34" x14ac:dyDescent="0.2">
      <c r="A8" s="68" t="s">
        <v>1983</v>
      </c>
      <c r="B8" s="100">
        <v>7614</v>
      </c>
      <c r="C8" s="101" t="s">
        <v>1984</v>
      </c>
      <c r="D8" s="102" t="s">
        <v>1196</v>
      </c>
      <c r="E8" s="54" t="s">
        <v>1985</v>
      </c>
      <c r="F8" s="105">
        <f>(TotalBuild+TotalRun5yr)/5/OrgSize</f>
        <v>710.62411034824697</v>
      </c>
    </row>
    <row r="9" spans="1:6" ht="51" x14ac:dyDescent="0.2">
      <c r="A9" s="68" t="s">
        <v>1986</v>
      </c>
      <c r="B9" s="103" t="s">
        <v>1987</v>
      </c>
      <c r="C9" s="101" t="s">
        <v>1988</v>
      </c>
      <c r="D9" s="102" t="s">
        <v>1123</v>
      </c>
      <c r="E9" s="54" t="s">
        <v>1989</v>
      </c>
      <c r="F9" s="104">
        <f>ContingencyPct</f>
        <v>0.15</v>
      </c>
    </row>
    <row r="10" spans="1:6" ht="68" x14ac:dyDescent="0.2">
      <c r="A10" s="68" t="s">
        <v>1990</v>
      </c>
      <c r="B10" s="103" t="s">
        <v>1991</v>
      </c>
      <c r="C10" s="101" t="s">
        <v>1992</v>
      </c>
      <c r="D10" s="102" t="s">
        <v>1123</v>
      </c>
      <c r="E10" s="54" t="s">
        <v>1993</v>
      </c>
      <c r="F10" s="106" t="s">
        <v>1994</v>
      </c>
    </row>
    <row r="11" spans="1:6" ht="34" x14ac:dyDescent="0.2">
      <c r="A11" s="68" t="s">
        <v>1995</v>
      </c>
      <c r="B11" s="103" t="s">
        <v>1996</v>
      </c>
      <c r="C11" s="101" t="s">
        <v>1997</v>
      </c>
      <c r="D11" s="102" t="s">
        <v>1123</v>
      </c>
      <c r="E11" s="54" t="s">
        <v>1998</v>
      </c>
      <c r="F11" s="104">
        <f>ContingencyPct</f>
        <v>0.15</v>
      </c>
    </row>
    <row r="12" spans="1:6" ht="85" x14ac:dyDescent="0.2">
      <c r="A12" s="68" t="s">
        <v>1999</v>
      </c>
      <c r="B12" s="103" t="s">
        <v>2000</v>
      </c>
      <c r="C12" s="101" t="s">
        <v>2001</v>
      </c>
      <c r="D12" s="102" t="s">
        <v>1123</v>
      </c>
      <c r="E12" s="54" t="s">
        <v>2002</v>
      </c>
      <c r="F12" s="105">
        <f>TotalBuild*3</f>
        <v>2491026.2123849997</v>
      </c>
    </row>
    <row r="13" spans="1:6" ht="34" x14ac:dyDescent="0.2">
      <c r="A13" s="68" t="s">
        <v>2003</v>
      </c>
      <c r="B13" s="100">
        <v>10</v>
      </c>
      <c r="C13" s="101" t="s">
        <v>2004</v>
      </c>
      <c r="D13" s="102" t="s">
        <v>1123</v>
      </c>
      <c r="E13" s="54" t="s">
        <v>2005</v>
      </c>
      <c r="F13" s="105">
        <f>TotalBuild*0.1</f>
        <v>83034.207079500004</v>
      </c>
    </row>
    <row r="14" spans="1:6" ht="34" x14ac:dyDescent="0.2">
      <c r="A14" s="68" t="s">
        <v>2006</v>
      </c>
      <c r="B14" s="103" t="s">
        <v>2007</v>
      </c>
      <c r="C14" s="101" t="s">
        <v>2008</v>
      </c>
      <c r="D14" s="102" t="s">
        <v>128</v>
      </c>
      <c r="E14" s="54" t="s">
        <v>2009</v>
      </c>
      <c r="F14" s="104">
        <f>RunY1/TotalBuild</f>
        <v>0.37583766398974466</v>
      </c>
    </row>
    <row r="15" spans="1:6" ht="51" x14ac:dyDescent="0.2">
      <c r="A15" s="68" t="s">
        <v>2010</v>
      </c>
      <c r="B15" s="100">
        <v>22</v>
      </c>
      <c r="C15" s="101" t="s">
        <v>2011</v>
      </c>
      <c r="D15" s="102" t="s">
        <v>1123</v>
      </c>
      <c r="E15" s="54" t="s">
        <v>2012</v>
      </c>
      <c r="F15" s="106" t="s">
        <v>2013</v>
      </c>
    </row>
    <row r="16" spans="1:6" ht="51" x14ac:dyDescent="0.2">
      <c r="A16" s="68" t="s">
        <v>2014</v>
      </c>
      <c r="B16" s="103" t="s">
        <v>2015</v>
      </c>
      <c r="C16" s="101" t="s">
        <v>2016</v>
      </c>
      <c r="D16" s="102" t="s">
        <v>128</v>
      </c>
      <c r="E16" s="54" t="s">
        <v>2017</v>
      </c>
      <c r="F16" s="106" t="s">
        <v>2018</v>
      </c>
    </row>
    <row r="17" spans="1:6" ht="102" x14ac:dyDescent="0.2">
      <c r="A17" s="68" t="s">
        <v>2019</v>
      </c>
      <c r="B17" s="103" t="s">
        <v>2020</v>
      </c>
      <c r="C17" s="101" t="s">
        <v>2021</v>
      </c>
      <c r="D17" s="102" t="s">
        <v>1123</v>
      </c>
      <c r="E17" s="54" t="s">
        <v>2022</v>
      </c>
      <c r="F17" s="106" t="s">
        <v>2023</v>
      </c>
    </row>
    <row r="18" spans="1:6" ht="34" x14ac:dyDescent="0.2">
      <c r="A18" s="68" t="s">
        <v>1372</v>
      </c>
      <c r="B18" s="100">
        <v>23.1</v>
      </c>
      <c r="C18" s="101" t="s">
        <v>2024</v>
      </c>
      <c r="D18" s="102" t="s">
        <v>1123</v>
      </c>
      <c r="E18" s="54" t="s">
        <v>2025</v>
      </c>
      <c r="F18" s="105">
        <f>OrgSize*23.1*12</f>
        <v>194040.00000000003</v>
      </c>
    </row>
    <row r="19" spans="1:6" ht="51" x14ac:dyDescent="0.2">
      <c r="A19" s="68" t="s">
        <v>2026</v>
      </c>
      <c r="B19" s="100">
        <v>100</v>
      </c>
      <c r="C19" s="101" t="s">
        <v>2027</v>
      </c>
      <c r="D19" s="102" t="s">
        <v>1196</v>
      </c>
      <c r="E19" s="54" t="s">
        <v>2028</v>
      </c>
      <c r="F19" s="106" t="s">
        <v>2029</v>
      </c>
    </row>
    <row r="20" spans="1:6" ht="51" x14ac:dyDescent="0.2">
      <c r="A20" s="68" t="s">
        <v>2030</v>
      </c>
      <c r="B20" s="100">
        <v>7.5800000000000006E-2</v>
      </c>
      <c r="C20" s="101" t="s">
        <v>2031</v>
      </c>
      <c r="D20" s="102" t="s">
        <v>1123</v>
      </c>
      <c r="E20" s="54" t="s">
        <v>2032</v>
      </c>
      <c r="F20" s="106" t="s">
        <v>2033</v>
      </c>
    </row>
    <row r="21" spans="1:6" ht="68" x14ac:dyDescent="0.2">
      <c r="A21" s="68" t="s">
        <v>2034</v>
      </c>
      <c r="B21" s="100">
        <v>3.2399999999999998E-2</v>
      </c>
      <c r="C21" s="101" t="s">
        <v>2035</v>
      </c>
      <c r="D21" s="102" t="s">
        <v>1123</v>
      </c>
      <c r="E21" s="54" t="s">
        <v>2036</v>
      </c>
      <c r="F21" s="106" t="s">
        <v>2037</v>
      </c>
    </row>
  </sheetData>
  <mergeCells count="1">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11</vt:i4>
      </vt:variant>
      <vt:variant>
        <vt:lpstr>Named Ranges</vt:lpstr>
      </vt:variant>
      <vt:variant>
        <vt:i4>53</vt:i4>
      </vt:variant>
    </vt:vector>
  </HeadingPairs>
  <TitlesOfParts>
    <vt:vector size="64" baseType="lpstr">
      <vt:lpstr>Overview</vt:lpstr>
      <vt:lpstr>Gantt - POAP As Drawn</vt:lpstr>
      <vt:lpstr>Gantt - Revised</vt:lpstr>
      <vt:lpstr>Control Panel&gt;&gt;&gt;</vt:lpstr>
      <vt:lpstr>Rates</vt:lpstr>
      <vt:lpstr>POAP Build Cost</vt:lpstr>
      <vt:lpstr>5yr Run Cost</vt:lpstr>
      <vt:lpstr>R1 Pilot</vt:lpstr>
      <vt:lpstr>Agents</vt:lpstr>
      <vt:lpstr>Team Model</vt:lpstr>
      <vt:lpstr>Benchmarks</vt:lpstr>
      <vt:lpstr>Agent_AGT_CAPEX</vt:lpstr>
      <vt:lpstr>Agent_AGT_GROWTH</vt:lpstr>
      <vt:lpstr>Agent_AGT_METER</vt:lpstr>
      <vt:lpstr>Agent_AGT_OPEX</vt:lpstr>
      <vt:lpstr>Agent_AGT_ORCH</vt:lpstr>
      <vt:lpstr>Agent_AGT_R1_CONTENT</vt:lpstr>
      <vt:lpstr>Agent_AGT_RECON</vt:lpstr>
      <vt:lpstr>AgentCount</vt:lpstr>
      <vt:lpstr>AgentStack</vt:lpstr>
      <vt:lpstr>AgentStackAgentY1</vt:lpstr>
      <vt:lpstr>AgentStackFixedY1</vt:lpstr>
      <vt:lpstr>AgentStackMcpY1</vt:lpstr>
      <vt:lpstr>AgentStackRunY1</vt:lpstr>
      <vt:lpstr>ClusterCount</vt:lpstr>
      <vt:lpstr>ContingencyPct</vt:lpstr>
      <vt:lpstr>DayRate</vt:lpstr>
      <vt:lpstr>EffortBasis</vt:lpstr>
      <vt:lpstr>EnvCount</vt:lpstr>
      <vt:lpstr>GanttCorrGoLive</vt:lpstr>
      <vt:lpstr>GanttFixedEnd</vt:lpstr>
      <vt:lpstr>GanttFoldFixedEnd</vt:lpstr>
      <vt:lpstr>GanttGoLive</vt:lpstr>
      <vt:lpstr>GanttParentEnd</vt:lpstr>
      <vt:lpstr>GanttParentStart</vt:lpstr>
      <vt:lpstr>GanttProbeEnd</vt:lpstr>
      <vt:lpstr>GanttStepEnd</vt:lpstr>
      <vt:lpstr>GanttStepStart</vt:lpstr>
      <vt:lpstr>GoLiveDate</vt:lpstr>
      <vt:lpstr>GoLiveWeek</vt:lpstr>
      <vt:lpstr>HCL_Toggle</vt:lpstr>
      <vt:lpstr>Indexation</vt:lpstr>
      <vt:lpstr>McpServerCount</vt:lpstr>
      <vt:lpstr>ModelSKU</vt:lpstr>
      <vt:lpstr>ModelVendor</vt:lpstr>
      <vt:lpstr>NodeSize</vt:lpstr>
      <vt:lpstr>Observability</vt:lpstr>
      <vt:lpstr>OrgSize</vt:lpstr>
      <vt:lpstr>OverlapWeeks</vt:lpstr>
      <vt:lpstr>PilotTotal</vt:lpstr>
      <vt:lpstr>Platform</vt:lpstr>
      <vt:lpstr>RagMemoryShape</vt:lpstr>
      <vt:lpstr>RefStackY1_1x2</vt:lpstr>
      <vt:lpstr>RefStackY1_30x50</vt:lpstr>
      <vt:lpstr>RefStackY1_5x10</vt:lpstr>
      <vt:lpstr>RunY1</vt:lpstr>
      <vt:lpstr>RunY2</vt:lpstr>
      <vt:lpstr>RunY3</vt:lpstr>
      <vt:lpstr>RunY4</vt:lpstr>
      <vt:lpstr>RunY5</vt:lpstr>
      <vt:lpstr>SlipWeeks</vt:lpstr>
      <vt:lpstr>TotalBuild</vt:lpstr>
      <vt:lpstr>TotalRun5yr</vt:lpstr>
      <vt:lpstr>WeeklyBurn</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Lui</dc:creator>
  <cp:keywords/>
  <dc:description/>
  <cp:lastModifiedBy>A Lui</cp:lastModifiedBy>
  <dcterms:created xsi:type="dcterms:W3CDTF">2026-07-19T16:35:32Z</dcterms:created>
  <dcterms:modified xsi:type="dcterms:W3CDTF">2026-07-20T08:29:30Z</dcterms:modified>
  <cp:category/>
</cp:coreProperties>
</file>