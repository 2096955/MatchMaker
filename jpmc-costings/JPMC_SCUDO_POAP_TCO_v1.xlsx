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nthonylui/MatchMaker/MatchMaker/jpmc-costings/"/>
    </mc:Choice>
  </mc:AlternateContent>
  <xr:revisionPtr revIDLastSave="0" documentId="13_ncr:1_{D77F5C09-20F3-F44A-B3B6-CF3F81241566}" xr6:coauthVersionLast="47" xr6:coauthVersionMax="47" xr10:uidLastSave="{00000000-0000-0000-0000-000000000000}"/>
  <bookViews>
    <workbookView xWindow="0" yWindow="880" windowWidth="35900" windowHeight="23100" tabRatio="500" xr2:uid="{00000000-000D-0000-FFFF-FFFF00000000}"/>
  </bookViews>
  <sheets>
    <sheet name="Overview" sheetId="1" r:id="rId1"/>
    <sheet name="Control Panel &gt;&gt;&gt;" sheetId="2" r:id="rId2"/>
    <sheet name="Rates" sheetId="3" r:id="rId3"/>
    <sheet name="Pod Build" sheetId="4" r:id="rId4"/>
    <sheet name="Monthly TCO" sheetId="5" r:id="rId5"/>
    <sheet name="12mo Run Cost" sheetId="6" r:id="rId6"/>
    <sheet name="Gantt" sheetId="7" r:id="rId7"/>
    <sheet name="Assumptions" sheetId="8" r:id="rId8"/>
  </sheets>
  <definedNames>
    <definedName name="AuroraSize">'Control Panel &gt;&gt;&gt;'!$B$15</definedName>
    <definedName name="CallsPerItem">'Control Panel &gt;&gt;&gt;'!$B$12</definedName>
    <definedName name="ContingencyPct">'Control Panel &gt;&gt;&gt;'!$B$19</definedName>
    <definedName name="DatasetCount">'Control Panel &gt;&gt;&gt;'!$B$7</definedName>
    <definedName name="DeliveriesPerMonth">'Control Panel &gt;&gt;&gt;'!$B$5</definedName>
    <definedName name="EnvMultiplier">'Control Panel &gt;&gt;&gt;'!$B$14</definedName>
    <definedName name="GanttCorrGoLive">Gantt!$AE$4</definedName>
    <definedName name="HitlPct">'Control Panel &gt;&gt;&gt;'!$B$16</definedName>
    <definedName name="InputTokensPerCallK">'Control Panel &gt;&gt;&gt;'!$B$10</definedName>
    <definedName name="ItemsPerMonth">'Control Panel &gt;&gt;&gt;'!$B$22</definedName>
    <definedName name="LlmItems">'Control Panel &gt;&gt;&gt;'!$B$23</definedName>
    <definedName name="LlmReachablePct">'Control Panel &gt;&gt;&gt;'!$B$8</definedName>
    <definedName name="ModelSKU">'Control Panel &gt;&gt;&gt;'!$B$9</definedName>
    <definedName name="MonthlyTCO">'Monthly TCO'!$C$23</definedName>
    <definedName name="OutputTokensPerCallK">'Control Panel &gt;&gt;&gt;'!$B$11</definedName>
    <definedName name="PointRate">'Control Panel &gt;&gt;&gt;'!$B$13</definedName>
    <definedName name="ProductsPerDelivery">'Control Panel &gt;&gt;&gt;'!$B$6</definedName>
    <definedName name="RampM1">'12mo Run Cost'!$C$4</definedName>
    <definedName name="RampM2">'12mo Run Cost'!$D$4</definedName>
    <definedName name="RampM3Plus">'12mo Run Cost'!$E$4</definedName>
    <definedName name="Run12mo">'12mo Run Cost'!$O$44</definedName>
    <definedName name="SlipWeeks">'Control Panel &gt;&gt;&gt;'!$B$18</definedName>
    <definedName name="StoragePerItemKB">'Control Panel &gt;&gt;&gt;'!$B$17</definedName>
    <definedName name="TotalBuildCost">'Pod Build'!$J$43</definedName>
    <definedName name="TotalBuildPoints">'Pod Build'!$D$43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" i="8" l="1"/>
  <c r="F31" i="7"/>
  <c r="F28" i="7"/>
  <c r="F25" i="7"/>
  <c r="F21" i="7"/>
  <c r="F17" i="7"/>
  <c r="F13" i="7"/>
  <c r="F10" i="7"/>
  <c r="F7" i="7"/>
  <c r="Y5" i="7"/>
  <c r="X5" i="7"/>
  <c r="W5" i="7"/>
  <c r="T5" i="7"/>
  <c r="S5" i="7"/>
  <c r="R5" i="7"/>
  <c r="Q5" i="7"/>
  <c r="AG4" i="7"/>
  <c r="AF4" i="7"/>
  <c r="AE4" i="7"/>
  <c r="A2" i="7"/>
  <c r="K41" i="6"/>
  <c r="J41" i="6"/>
  <c r="I41" i="6"/>
  <c r="G41" i="6"/>
  <c r="F41" i="6"/>
  <c r="E41" i="6"/>
  <c r="D41" i="6"/>
  <c r="C41" i="6"/>
  <c r="N40" i="6"/>
  <c r="M40" i="6"/>
  <c r="H40" i="6"/>
  <c r="G40" i="6"/>
  <c r="F40" i="6"/>
  <c r="E40" i="6"/>
  <c r="D40" i="6"/>
  <c r="C40" i="6"/>
  <c r="N39" i="6"/>
  <c r="M39" i="6"/>
  <c r="L39" i="6"/>
  <c r="K39" i="6"/>
  <c r="J39" i="6"/>
  <c r="E39" i="6"/>
  <c r="D39" i="6"/>
  <c r="C39" i="6"/>
  <c r="F36" i="6"/>
  <c r="E36" i="6"/>
  <c r="C36" i="6"/>
  <c r="L34" i="6"/>
  <c r="F34" i="6"/>
  <c r="E34" i="6"/>
  <c r="D34" i="6"/>
  <c r="H32" i="6"/>
  <c r="G32" i="6"/>
  <c r="C30" i="6"/>
  <c r="N22" i="6"/>
  <c r="M22" i="6"/>
  <c r="L22" i="6"/>
  <c r="K22" i="6"/>
  <c r="J22" i="6"/>
  <c r="I22" i="6"/>
  <c r="H22" i="6"/>
  <c r="G22" i="6"/>
  <c r="K21" i="6"/>
  <c r="J21" i="6"/>
  <c r="I21" i="6"/>
  <c r="H21" i="6"/>
  <c r="G21" i="6"/>
  <c r="F21" i="6"/>
  <c r="E21" i="6"/>
  <c r="D21" i="6"/>
  <c r="C19" i="6"/>
  <c r="N11" i="6"/>
  <c r="M11" i="6"/>
  <c r="L11" i="6"/>
  <c r="K11" i="6"/>
  <c r="J11" i="6"/>
  <c r="I11" i="6"/>
  <c r="H11" i="6"/>
  <c r="G11" i="6"/>
  <c r="F11" i="6"/>
  <c r="N4" i="6"/>
  <c r="M4" i="6"/>
  <c r="L4" i="6"/>
  <c r="K4" i="6"/>
  <c r="J4" i="6"/>
  <c r="I4" i="6"/>
  <c r="H4" i="6"/>
  <c r="G4" i="6"/>
  <c r="F4" i="6"/>
  <c r="A2" i="6"/>
  <c r="C7" i="5"/>
  <c r="A2" i="5"/>
  <c r="D43" i="4"/>
  <c r="C6" i="1" s="1"/>
  <c r="J41" i="4"/>
  <c r="J40" i="4"/>
  <c r="I40" i="4"/>
  <c r="J39" i="4"/>
  <c r="I39" i="4"/>
  <c r="L40" i="6" s="1"/>
  <c r="J38" i="4"/>
  <c r="I38" i="4"/>
  <c r="I39" i="6" s="1"/>
  <c r="J37" i="4"/>
  <c r="I37" i="4"/>
  <c r="J36" i="4"/>
  <c r="I36" i="4"/>
  <c r="J35" i="4"/>
  <c r="I35" i="4"/>
  <c r="J34" i="4"/>
  <c r="J33" i="4"/>
  <c r="I33" i="4"/>
  <c r="N34" i="6" s="1"/>
  <c r="J32" i="4"/>
  <c r="J31" i="4"/>
  <c r="I31" i="4"/>
  <c r="K32" i="6" s="1"/>
  <c r="J30" i="4"/>
  <c r="I30" i="4"/>
  <c r="J29" i="4"/>
  <c r="I29" i="4"/>
  <c r="J28" i="4"/>
  <c r="I28" i="4"/>
  <c r="E28" i="4"/>
  <c r="J27" i="4"/>
  <c r="H27" i="4"/>
  <c r="G27" i="4"/>
  <c r="J26" i="4"/>
  <c r="H26" i="4"/>
  <c r="G26" i="4"/>
  <c r="J25" i="4"/>
  <c r="J24" i="4"/>
  <c r="J23" i="4"/>
  <c r="J22" i="4"/>
  <c r="J21" i="4"/>
  <c r="I21" i="4"/>
  <c r="F22" i="6" s="1"/>
  <c r="J20" i="4"/>
  <c r="I20" i="4"/>
  <c r="C21" i="6" s="1"/>
  <c r="F20" i="4"/>
  <c r="J19" i="4"/>
  <c r="J18" i="4"/>
  <c r="I18" i="4"/>
  <c r="E19" i="6" s="1"/>
  <c r="J17" i="4"/>
  <c r="I17" i="4"/>
  <c r="D18" i="6" s="1"/>
  <c r="J16" i="4"/>
  <c r="I16" i="4"/>
  <c r="N17" i="6" s="1"/>
  <c r="J15" i="4"/>
  <c r="J14" i="4"/>
  <c r="J13" i="4"/>
  <c r="J12" i="4"/>
  <c r="J11" i="4"/>
  <c r="E11" i="4"/>
  <c r="J10" i="4"/>
  <c r="I10" i="4"/>
  <c r="E11" i="6" s="1"/>
  <c r="J9" i="4"/>
  <c r="E9" i="4"/>
  <c r="J8" i="4"/>
  <c r="J7" i="4"/>
  <c r="J6" i="4"/>
  <c r="E6" i="4"/>
  <c r="J5" i="4"/>
  <c r="J43" i="4" s="1"/>
  <c r="C7" i="1" s="1"/>
  <c r="I5" i="4"/>
  <c r="L6" i="6" s="1"/>
  <c r="J4" i="4"/>
  <c r="A2" i="4"/>
  <c r="B22" i="2"/>
  <c r="D12" i="1"/>
  <c r="C12" i="1"/>
  <c r="B11" i="1"/>
  <c r="AB7" i="7" l="1"/>
  <c r="G25" i="7"/>
  <c r="S25" i="7" s="1"/>
  <c r="T25" i="7"/>
  <c r="G31" i="7"/>
  <c r="T31" i="7" s="1"/>
  <c r="G7" i="7"/>
  <c r="N7" i="7" s="1"/>
  <c r="F19" i="7"/>
  <c r="S17" i="7"/>
  <c r="AB21" i="7"/>
  <c r="G21" i="7"/>
  <c r="Y21" i="7" s="1"/>
  <c r="U21" i="7"/>
  <c r="W21" i="7"/>
  <c r="X21" i="7"/>
  <c r="G13" i="7"/>
  <c r="F23" i="7"/>
  <c r="G23" i="7" s="1"/>
  <c r="V21" i="7"/>
  <c r="G17" i="7"/>
  <c r="T17" i="7" s="1"/>
  <c r="AA21" i="7"/>
  <c r="AB31" i="7"/>
  <c r="U17" i="7"/>
  <c r="K17" i="6"/>
  <c r="L29" i="6"/>
  <c r="K29" i="6"/>
  <c r="J29" i="6"/>
  <c r="C14" i="5"/>
  <c r="D16" i="1" s="1"/>
  <c r="C16" i="1" s="1"/>
  <c r="I29" i="6"/>
  <c r="H29" i="6"/>
  <c r="D29" i="6"/>
  <c r="E29" i="6"/>
  <c r="C29" i="6"/>
  <c r="N29" i="6"/>
  <c r="I6" i="6"/>
  <c r="F29" i="6"/>
  <c r="K6" i="6"/>
  <c r="C18" i="6"/>
  <c r="G29" i="6"/>
  <c r="N30" i="6"/>
  <c r="C15" i="5"/>
  <c r="D17" i="1" s="1"/>
  <c r="C17" i="1" s="1"/>
  <c r="M30" i="6"/>
  <c r="L30" i="6"/>
  <c r="K30" i="6"/>
  <c r="G30" i="6"/>
  <c r="I30" i="6"/>
  <c r="J30" i="6"/>
  <c r="H30" i="6"/>
  <c r="D30" i="6"/>
  <c r="O30" i="6" s="1"/>
  <c r="M29" i="6"/>
  <c r="N31" i="6"/>
  <c r="J31" i="6"/>
  <c r="F31" i="6"/>
  <c r="E31" i="6"/>
  <c r="D31" i="6"/>
  <c r="C31" i="6"/>
  <c r="L31" i="6"/>
  <c r="K31" i="6"/>
  <c r="D19" i="6"/>
  <c r="O19" i="6" s="1"/>
  <c r="E30" i="6"/>
  <c r="D37" i="6"/>
  <c r="C37" i="6"/>
  <c r="L37" i="6"/>
  <c r="F37" i="6"/>
  <c r="E37" i="6"/>
  <c r="N37" i="6"/>
  <c r="K37" i="6"/>
  <c r="J37" i="6"/>
  <c r="J18" i="6"/>
  <c r="I18" i="6"/>
  <c r="H18" i="6"/>
  <c r="G18" i="6"/>
  <c r="F18" i="6"/>
  <c r="N18" i="6"/>
  <c r="M18" i="6"/>
  <c r="E18" i="6"/>
  <c r="L18" i="6"/>
  <c r="K18" i="6"/>
  <c r="M19" i="6"/>
  <c r="L19" i="6"/>
  <c r="K19" i="6"/>
  <c r="J19" i="6"/>
  <c r="I19" i="6"/>
  <c r="G19" i="6"/>
  <c r="F19" i="6"/>
  <c r="F30" i="6"/>
  <c r="H19" i="6"/>
  <c r="G31" i="6"/>
  <c r="G17" i="6"/>
  <c r="F17" i="6"/>
  <c r="E17" i="6"/>
  <c r="D17" i="6"/>
  <c r="H17" i="6"/>
  <c r="C17" i="6"/>
  <c r="M17" i="6"/>
  <c r="L17" i="6"/>
  <c r="I31" i="6"/>
  <c r="G37" i="6"/>
  <c r="I22" i="4"/>
  <c r="I32" i="4"/>
  <c r="E22" i="4"/>
  <c r="I15" i="4"/>
  <c r="I4" i="4"/>
  <c r="E32" i="4"/>
  <c r="E15" i="4"/>
  <c r="I9" i="4"/>
  <c r="E4" i="4"/>
  <c r="F9" i="4"/>
  <c r="F34" i="4"/>
  <c r="I14" i="4"/>
  <c r="I8" i="4"/>
  <c r="I41" i="4"/>
  <c r="E34" i="4"/>
  <c r="F14" i="4"/>
  <c r="F8" i="4"/>
  <c r="E14" i="4"/>
  <c r="E8" i="4"/>
  <c r="I13" i="4"/>
  <c r="I7" i="4"/>
  <c r="I12" i="4"/>
  <c r="I6" i="4"/>
  <c r="H37" i="6"/>
  <c r="I11" i="4"/>
  <c r="E12" i="4"/>
  <c r="I37" i="6"/>
  <c r="F6" i="6"/>
  <c r="E6" i="6"/>
  <c r="D6" i="6"/>
  <c r="C6" i="6"/>
  <c r="N6" i="6"/>
  <c r="M6" i="6"/>
  <c r="J6" i="6"/>
  <c r="H6" i="6"/>
  <c r="G6" i="6"/>
  <c r="O21" i="6"/>
  <c r="I34" i="4"/>
  <c r="N36" i="6"/>
  <c r="M36" i="6"/>
  <c r="I36" i="6"/>
  <c r="H36" i="6"/>
  <c r="L36" i="6"/>
  <c r="K36" i="6"/>
  <c r="G36" i="6"/>
  <c r="J36" i="6"/>
  <c r="D36" i="6"/>
  <c r="I17" i="6"/>
  <c r="M37" i="6"/>
  <c r="N19" i="6"/>
  <c r="H31" i="6"/>
  <c r="O36" i="6"/>
  <c r="M31" i="6"/>
  <c r="B23" i="2"/>
  <c r="J17" i="6"/>
  <c r="AC7" i="7"/>
  <c r="G28" i="7"/>
  <c r="X28" i="7" s="1"/>
  <c r="G38" i="6"/>
  <c r="F38" i="6"/>
  <c r="E38" i="6"/>
  <c r="D38" i="6"/>
  <c r="C38" i="6"/>
  <c r="F32" i="6"/>
  <c r="M25" i="7"/>
  <c r="Y25" i="7"/>
  <c r="L25" i="7"/>
  <c r="L21" i="6"/>
  <c r="M34" i="6"/>
  <c r="K38" i="6"/>
  <c r="N5" i="7"/>
  <c r="AC5" i="7"/>
  <c r="M5" i="7"/>
  <c r="AB5" i="7"/>
  <c r="L5" i="7"/>
  <c r="AA5" i="7"/>
  <c r="Z5" i="7"/>
  <c r="V5" i="7"/>
  <c r="U5" i="7"/>
  <c r="V25" i="7"/>
  <c r="H38" i="6"/>
  <c r="E32" i="6"/>
  <c r="D32" i="6"/>
  <c r="C32" i="6"/>
  <c r="M32" i="6"/>
  <c r="I32" i="6"/>
  <c r="I38" i="6"/>
  <c r="U25" i="7"/>
  <c r="N41" i="6"/>
  <c r="M41" i="6"/>
  <c r="L41" i="6"/>
  <c r="H41" i="6"/>
  <c r="O41" i="6" s="1"/>
  <c r="M21" i="6"/>
  <c r="L32" i="6"/>
  <c r="L38" i="6"/>
  <c r="AC10" i="7"/>
  <c r="L21" i="7"/>
  <c r="W25" i="7"/>
  <c r="N21" i="6"/>
  <c r="N32" i="6"/>
  <c r="M38" i="6"/>
  <c r="M21" i="7"/>
  <c r="O31" i="7"/>
  <c r="N38" i="6"/>
  <c r="O5" i="7"/>
  <c r="S7" i="7"/>
  <c r="S21" i="7"/>
  <c r="J32" i="6"/>
  <c r="J38" i="6"/>
  <c r="K34" i="6"/>
  <c r="J34" i="6"/>
  <c r="I34" i="6"/>
  <c r="H34" i="6"/>
  <c r="G34" i="6"/>
  <c r="C34" i="6"/>
  <c r="O34" i="6" s="1"/>
  <c r="P5" i="7"/>
  <c r="T21" i="7"/>
  <c r="Z13" i="7"/>
  <c r="Z21" i="7"/>
  <c r="Z25" i="7"/>
  <c r="C22" i="6"/>
  <c r="F39" i="6"/>
  <c r="O39" i="6" s="1"/>
  <c r="I40" i="6"/>
  <c r="F14" i="7"/>
  <c r="N21" i="7"/>
  <c r="F22" i="7"/>
  <c r="C11" i="6"/>
  <c r="D22" i="6"/>
  <c r="G39" i="6"/>
  <c r="J40" i="6"/>
  <c r="W7" i="7"/>
  <c r="G10" i="7"/>
  <c r="AA10" i="7" s="1"/>
  <c r="G14" i="7"/>
  <c r="O21" i="7"/>
  <c r="D11" i="6"/>
  <c r="E22" i="6"/>
  <c r="H39" i="6"/>
  <c r="K40" i="6"/>
  <c r="X7" i="7"/>
  <c r="P13" i="7"/>
  <c r="P21" i="7"/>
  <c r="Q13" i="7"/>
  <c r="Q21" i="7"/>
  <c r="R13" i="7"/>
  <c r="R21" i="7"/>
  <c r="R25" i="7"/>
  <c r="R17" i="7" l="1"/>
  <c r="N28" i="7"/>
  <c r="Y31" i="7"/>
  <c r="AC25" i="7"/>
  <c r="F26" i="7"/>
  <c r="R31" i="7"/>
  <c r="W23" i="7"/>
  <c r="S31" i="7"/>
  <c r="U7" i="7"/>
  <c r="Q31" i="7"/>
  <c r="L7" i="7"/>
  <c r="N19" i="7"/>
  <c r="AA31" i="7"/>
  <c r="Q25" i="7"/>
  <c r="V23" i="7"/>
  <c r="N25" i="7"/>
  <c r="Y13" i="7"/>
  <c r="F16" i="7"/>
  <c r="G16" i="7" s="1"/>
  <c r="L16" i="7" s="1"/>
  <c r="AB13" i="7"/>
  <c r="AA13" i="7"/>
  <c r="W13" i="7"/>
  <c r="AC13" i="7"/>
  <c r="X13" i="7"/>
  <c r="U13" i="7"/>
  <c r="M13" i="7"/>
  <c r="V13" i="7"/>
  <c r="T13" i="7"/>
  <c r="S13" i="7"/>
  <c r="P31" i="7"/>
  <c r="Y17" i="7"/>
  <c r="AB17" i="7"/>
  <c r="AC17" i="7"/>
  <c r="V17" i="7"/>
  <c r="AA17" i="7"/>
  <c r="W17" i="7"/>
  <c r="X17" i="7"/>
  <c r="Z17" i="7"/>
  <c r="M19" i="7"/>
  <c r="G34" i="7"/>
  <c r="L34" i="7" s="1"/>
  <c r="F33" i="7"/>
  <c r="Q17" i="7"/>
  <c r="AB25" i="7"/>
  <c r="U31" i="7"/>
  <c r="L31" i="7"/>
  <c r="X25" i="7"/>
  <c r="N31" i="7"/>
  <c r="M7" i="7"/>
  <c r="W31" i="7"/>
  <c r="Y7" i="7"/>
  <c r="F18" i="7"/>
  <c r="AA25" i="7"/>
  <c r="Z19" i="7"/>
  <c r="U19" i="7"/>
  <c r="Z31" i="7"/>
  <c r="F34" i="7"/>
  <c r="AC34" i="7" s="1"/>
  <c r="F32" i="7"/>
  <c r="M31" i="7"/>
  <c r="O25" i="7"/>
  <c r="X31" i="7"/>
  <c r="O17" i="7"/>
  <c r="N17" i="7"/>
  <c r="AA7" i="7"/>
  <c r="AC21" i="7"/>
  <c r="Z7" i="7"/>
  <c r="V31" i="7"/>
  <c r="P25" i="7"/>
  <c r="M17" i="7"/>
  <c r="F20" i="7"/>
  <c r="G20" i="7" s="1"/>
  <c r="M20" i="7" s="1"/>
  <c r="P7" i="7"/>
  <c r="O7" i="7"/>
  <c r="Q7" i="7"/>
  <c r="F27" i="7"/>
  <c r="O13" i="7"/>
  <c r="T7" i="7"/>
  <c r="R7" i="7"/>
  <c r="G8" i="7"/>
  <c r="R8" i="7" s="1"/>
  <c r="G19" i="7"/>
  <c r="AA19" i="7" s="1"/>
  <c r="N13" i="7"/>
  <c r="L17" i="7"/>
  <c r="P17" i="7"/>
  <c r="V7" i="7"/>
  <c r="F15" i="7"/>
  <c r="F9" i="7"/>
  <c r="F8" i="7"/>
  <c r="U8" i="7" s="1"/>
  <c r="F24" i="7"/>
  <c r="AC31" i="7"/>
  <c r="L13" i="7"/>
  <c r="AA16" i="7"/>
  <c r="F29" i="7"/>
  <c r="S16" i="7"/>
  <c r="C42" i="6"/>
  <c r="K42" i="6"/>
  <c r="J42" i="6"/>
  <c r="I42" i="6"/>
  <c r="H42" i="6"/>
  <c r="E42" i="6"/>
  <c r="D42" i="6"/>
  <c r="G42" i="6"/>
  <c r="F42" i="6"/>
  <c r="N42" i="6"/>
  <c r="L42" i="6"/>
  <c r="M42" i="6"/>
  <c r="N9" i="6"/>
  <c r="M9" i="6"/>
  <c r="L9" i="6"/>
  <c r="D9" i="6"/>
  <c r="C9" i="6"/>
  <c r="K9" i="6"/>
  <c r="I9" i="6"/>
  <c r="H9" i="6"/>
  <c r="J9" i="6"/>
  <c r="E9" i="6"/>
  <c r="G9" i="6"/>
  <c r="F9" i="6"/>
  <c r="N14" i="6"/>
  <c r="M14" i="6"/>
  <c r="L14" i="6"/>
  <c r="K14" i="6"/>
  <c r="C14" i="6"/>
  <c r="J14" i="6"/>
  <c r="H14" i="6"/>
  <c r="G14" i="6"/>
  <c r="F14" i="6"/>
  <c r="I14" i="6"/>
  <c r="E14" i="6"/>
  <c r="D14" i="6"/>
  <c r="N34" i="7"/>
  <c r="Q34" i="7"/>
  <c r="T28" i="7"/>
  <c r="AC23" i="7"/>
  <c r="AB23" i="7"/>
  <c r="T23" i="7"/>
  <c r="S23" i="7"/>
  <c r="P23" i="7"/>
  <c r="O23" i="7"/>
  <c r="M23" i="7"/>
  <c r="L23" i="7"/>
  <c r="N23" i="7"/>
  <c r="Y28" i="7"/>
  <c r="X23" i="7"/>
  <c r="L28" i="7"/>
  <c r="V28" i="7"/>
  <c r="C19" i="5"/>
  <c r="D19" i="1" s="1"/>
  <c r="C19" i="1" s="1"/>
  <c r="N15" i="6"/>
  <c r="J15" i="6"/>
  <c r="E15" i="6"/>
  <c r="I15" i="6"/>
  <c r="H15" i="6"/>
  <c r="G15" i="6"/>
  <c r="F15" i="6"/>
  <c r="D15" i="6"/>
  <c r="M15" i="6"/>
  <c r="K15" i="6"/>
  <c r="L15" i="6"/>
  <c r="C15" i="6"/>
  <c r="L8" i="6"/>
  <c r="K8" i="6"/>
  <c r="J8" i="6"/>
  <c r="I8" i="6"/>
  <c r="H8" i="6"/>
  <c r="N8" i="6"/>
  <c r="G8" i="6"/>
  <c r="M8" i="6"/>
  <c r="D8" i="6"/>
  <c r="E8" i="6"/>
  <c r="F8" i="6"/>
  <c r="C8" i="6"/>
  <c r="U28" i="7"/>
  <c r="O17" i="6"/>
  <c r="O37" i="6"/>
  <c r="O29" i="6"/>
  <c r="Q16" i="7"/>
  <c r="AB28" i="7"/>
  <c r="AB10" i="7"/>
  <c r="N14" i="7"/>
  <c r="AC14" i="7"/>
  <c r="M14" i="7"/>
  <c r="AB14" i="7"/>
  <c r="L14" i="7"/>
  <c r="AA14" i="7"/>
  <c r="Z14" i="7"/>
  <c r="V14" i="7"/>
  <c r="U14" i="7"/>
  <c r="S14" i="7"/>
  <c r="R14" i="7"/>
  <c r="Q14" i="7"/>
  <c r="P14" i="7"/>
  <c r="O14" i="7"/>
  <c r="Y14" i="7"/>
  <c r="W14" i="7"/>
  <c r="T14" i="7"/>
  <c r="X14" i="7"/>
  <c r="Y23" i="7"/>
  <c r="P28" i="7"/>
  <c r="P16" i="7"/>
  <c r="O16" i="7"/>
  <c r="L10" i="7"/>
  <c r="AB16" i="7"/>
  <c r="Z23" i="7"/>
  <c r="V8" i="7"/>
  <c r="P8" i="7"/>
  <c r="X8" i="7"/>
  <c r="W8" i="7"/>
  <c r="O8" i="7"/>
  <c r="H12" i="6"/>
  <c r="G12" i="6"/>
  <c r="F12" i="6"/>
  <c r="E12" i="6"/>
  <c r="I12" i="6"/>
  <c r="D12" i="6"/>
  <c r="C12" i="6"/>
  <c r="N12" i="6"/>
  <c r="M12" i="6"/>
  <c r="L12" i="6"/>
  <c r="K12" i="6"/>
  <c r="J12" i="6"/>
  <c r="V20" i="7"/>
  <c r="U20" i="7"/>
  <c r="T20" i="7"/>
  <c r="AC20" i="7"/>
  <c r="AA20" i="7"/>
  <c r="Z20" i="7"/>
  <c r="Y20" i="7"/>
  <c r="X20" i="7"/>
  <c r="W20" i="7"/>
  <c r="Q20" i="7"/>
  <c r="O20" i="7"/>
  <c r="L20" i="7"/>
  <c r="P20" i="7"/>
  <c r="AA28" i="7"/>
  <c r="K10" i="6"/>
  <c r="J10" i="6"/>
  <c r="I10" i="6"/>
  <c r="F10" i="6"/>
  <c r="H10" i="6"/>
  <c r="G10" i="6"/>
  <c r="E10" i="6"/>
  <c r="D10" i="6"/>
  <c r="C10" i="6"/>
  <c r="O10" i="6" s="1"/>
  <c r="N10" i="6"/>
  <c r="M10" i="6"/>
  <c r="L10" i="6"/>
  <c r="F11" i="7"/>
  <c r="G11" i="7" s="1"/>
  <c r="N10" i="7"/>
  <c r="V10" i="7"/>
  <c r="U10" i="7"/>
  <c r="Q10" i="7"/>
  <c r="P10" i="7"/>
  <c r="O10" i="7"/>
  <c r="Y10" i="7"/>
  <c r="X10" i="7"/>
  <c r="W10" i="7"/>
  <c r="S10" i="7"/>
  <c r="R10" i="7"/>
  <c r="F12" i="7"/>
  <c r="G12" i="7" s="1"/>
  <c r="T10" i="7"/>
  <c r="O40" i="6"/>
  <c r="W16" i="7"/>
  <c r="M28" i="7"/>
  <c r="E27" i="4"/>
  <c r="C13" i="5"/>
  <c r="I26" i="4"/>
  <c r="E26" i="4"/>
  <c r="I19" i="4"/>
  <c r="E19" i="4"/>
  <c r="I27" i="4"/>
  <c r="I24" i="4"/>
  <c r="E23" i="4"/>
  <c r="I23" i="4"/>
  <c r="I25" i="4"/>
  <c r="E25" i="4"/>
  <c r="E24" i="4"/>
  <c r="I7" i="6"/>
  <c r="H7" i="6"/>
  <c r="G7" i="6"/>
  <c r="F7" i="6"/>
  <c r="J7" i="6"/>
  <c r="E7" i="6"/>
  <c r="D7" i="6"/>
  <c r="C7" i="6"/>
  <c r="N7" i="6"/>
  <c r="K7" i="6"/>
  <c r="M7" i="6"/>
  <c r="L7" i="6"/>
  <c r="O32" i="6"/>
  <c r="AC28" i="7"/>
  <c r="N16" i="7"/>
  <c r="N35" i="6"/>
  <c r="M35" i="6"/>
  <c r="L35" i="6"/>
  <c r="K35" i="6"/>
  <c r="J35" i="6"/>
  <c r="F35" i="6"/>
  <c r="D35" i="6"/>
  <c r="C35" i="6"/>
  <c r="I35" i="6"/>
  <c r="H35" i="6"/>
  <c r="G35" i="6"/>
  <c r="E35" i="6"/>
  <c r="K13" i="6"/>
  <c r="J13" i="6"/>
  <c r="I13" i="6"/>
  <c r="H13" i="6"/>
  <c r="N13" i="6"/>
  <c r="G13" i="6"/>
  <c r="M13" i="6"/>
  <c r="F13" i="6"/>
  <c r="L13" i="6"/>
  <c r="C13" i="6"/>
  <c r="D13" i="6"/>
  <c r="E13" i="6"/>
  <c r="D16" i="6"/>
  <c r="C16" i="6"/>
  <c r="L16" i="6"/>
  <c r="N16" i="6"/>
  <c r="K16" i="6"/>
  <c r="M16" i="6"/>
  <c r="H16" i="6"/>
  <c r="F16" i="6"/>
  <c r="E16" i="6"/>
  <c r="J16" i="6"/>
  <c r="I16" i="6"/>
  <c r="G16" i="6"/>
  <c r="Z10" i="7"/>
  <c r="Y16" i="7"/>
  <c r="G15" i="7"/>
  <c r="AA15" i="7" s="1"/>
  <c r="O22" i="6"/>
  <c r="O38" i="6"/>
  <c r="G29" i="7"/>
  <c r="Z28" i="7"/>
  <c r="R28" i="7"/>
  <c r="U16" i="7"/>
  <c r="H33" i="6"/>
  <c r="G33" i="6"/>
  <c r="F33" i="6"/>
  <c r="E33" i="6"/>
  <c r="D33" i="6"/>
  <c r="C33" i="6"/>
  <c r="M33" i="6"/>
  <c r="L33" i="6"/>
  <c r="K33" i="6"/>
  <c r="J33" i="6"/>
  <c r="I33" i="6"/>
  <c r="N33" i="6"/>
  <c r="V16" i="7"/>
  <c r="I23" i="6"/>
  <c r="H23" i="6"/>
  <c r="G23" i="6"/>
  <c r="F23" i="6"/>
  <c r="N23" i="6"/>
  <c r="M23" i="6"/>
  <c r="L23" i="6"/>
  <c r="K23" i="6"/>
  <c r="J23" i="6"/>
  <c r="D23" i="6"/>
  <c r="E23" i="6"/>
  <c r="C23" i="6"/>
  <c r="O18" i="6"/>
  <c r="C17" i="5"/>
  <c r="D18" i="1" s="1"/>
  <c r="C18" i="1" s="1"/>
  <c r="C5" i="6"/>
  <c r="L5" i="6"/>
  <c r="K5" i="6"/>
  <c r="J5" i="6"/>
  <c r="G5" i="6"/>
  <c r="I5" i="6"/>
  <c r="F5" i="6"/>
  <c r="H5" i="6"/>
  <c r="C5" i="5"/>
  <c r="N5" i="6"/>
  <c r="M5" i="6"/>
  <c r="E5" i="6"/>
  <c r="D5" i="6"/>
  <c r="O31" i="6"/>
  <c r="Q28" i="7"/>
  <c r="T16" i="7"/>
  <c r="M10" i="7"/>
  <c r="Q23" i="7"/>
  <c r="F30" i="7"/>
  <c r="G22" i="7"/>
  <c r="Z22" i="7" s="1"/>
  <c r="G9" i="7"/>
  <c r="U9" i="7" s="1"/>
  <c r="R23" i="7"/>
  <c r="O28" i="7"/>
  <c r="S28" i="7"/>
  <c r="O11" i="6"/>
  <c r="U23" i="7"/>
  <c r="W28" i="7"/>
  <c r="G27" i="7"/>
  <c r="W27" i="7" s="1"/>
  <c r="N27" i="7"/>
  <c r="M27" i="7"/>
  <c r="AB27" i="7"/>
  <c r="AA27" i="7"/>
  <c r="AC27" i="7"/>
  <c r="O6" i="6"/>
  <c r="AA23" i="7"/>
  <c r="W34" i="7" l="1"/>
  <c r="T34" i="7"/>
  <c r="Q19" i="7"/>
  <c r="AB9" i="7"/>
  <c r="Y8" i="7"/>
  <c r="S34" i="7"/>
  <c r="P19" i="7"/>
  <c r="AC9" i="7"/>
  <c r="X19" i="7"/>
  <c r="X9" i="7"/>
  <c r="AA8" i="7"/>
  <c r="V34" i="7"/>
  <c r="Q8" i="7"/>
  <c r="T15" i="7"/>
  <c r="X34" i="7"/>
  <c r="W19" i="7"/>
  <c r="R34" i="7"/>
  <c r="V27" i="7"/>
  <c r="AB15" i="7"/>
  <c r="AB8" i="7"/>
  <c r="Y9" i="7"/>
  <c r="AC15" i="7"/>
  <c r="M8" i="7"/>
  <c r="Z16" i="7"/>
  <c r="Y34" i="7"/>
  <c r="R16" i="7"/>
  <c r="T19" i="7"/>
  <c r="S19" i="7"/>
  <c r="T9" i="7"/>
  <c r="V9" i="7"/>
  <c r="O34" i="7"/>
  <c r="G18" i="7"/>
  <c r="Z8" i="7"/>
  <c r="U34" i="7"/>
  <c r="X27" i="7"/>
  <c r="Z27" i="7"/>
  <c r="N9" i="7"/>
  <c r="Q15" i="7"/>
  <c r="AB20" i="7"/>
  <c r="AC8" i="7"/>
  <c r="Z34" i="7"/>
  <c r="G26" i="7"/>
  <c r="Y19" i="7"/>
  <c r="W9" i="7"/>
  <c r="O9" i="7"/>
  <c r="R15" i="7"/>
  <c r="N8" i="7"/>
  <c r="X16" i="7"/>
  <c r="AA34" i="7"/>
  <c r="G24" i="7"/>
  <c r="U24" i="7"/>
  <c r="AC24" i="7"/>
  <c r="R32" i="7"/>
  <c r="Q32" i="7"/>
  <c r="N32" i="7"/>
  <c r="AC32" i="7"/>
  <c r="P32" i="7"/>
  <c r="O19" i="7"/>
  <c r="G32" i="7"/>
  <c r="AA32" i="7" s="1"/>
  <c r="AA9" i="7"/>
  <c r="G33" i="7"/>
  <c r="AA33" i="7" s="1"/>
  <c r="X18" i="7"/>
  <c r="AC18" i="7"/>
  <c r="N20" i="7"/>
  <c r="S8" i="7"/>
  <c r="AB34" i="7"/>
  <c r="L19" i="7"/>
  <c r="V19" i="7"/>
  <c r="R19" i="7"/>
  <c r="Y27" i="7"/>
  <c r="Z26" i="7"/>
  <c r="AA26" i="7"/>
  <c r="AC16" i="7"/>
  <c r="M16" i="7"/>
  <c r="R20" i="7"/>
  <c r="T8" i="7"/>
  <c r="M34" i="7"/>
  <c r="AB19" i="7"/>
  <c r="S20" i="7"/>
  <c r="L8" i="7"/>
  <c r="AA24" i="7"/>
  <c r="P34" i="7"/>
  <c r="AC19" i="7"/>
  <c r="L24" i="6"/>
  <c r="K24" i="6"/>
  <c r="J24" i="6"/>
  <c r="I24" i="6"/>
  <c r="H24" i="6"/>
  <c r="F24" i="6"/>
  <c r="E24" i="6"/>
  <c r="C24" i="6"/>
  <c r="N24" i="6"/>
  <c r="M24" i="6"/>
  <c r="G24" i="6"/>
  <c r="D24" i="6"/>
  <c r="AA22" i="7"/>
  <c r="L22" i="7"/>
  <c r="N30" i="7"/>
  <c r="AC30" i="7"/>
  <c r="AA30" i="7"/>
  <c r="Z30" i="7"/>
  <c r="Y30" i="7"/>
  <c r="V30" i="7"/>
  <c r="U30" i="7"/>
  <c r="R30" i="7"/>
  <c r="X30" i="7"/>
  <c r="W30" i="7"/>
  <c r="Q30" i="7"/>
  <c r="P30" i="7"/>
  <c r="O30" i="7"/>
  <c r="AB22" i="7"/>
  <c r="O27" i="7"/>
  <c r="Z9" i="7"/>
  <c r="V15" i="7"/>
  <c r="I28" i="6"/>
  <c r="H28" i="6"/>
  <c r="G28" i="6"/>
  <c r="F28" i="6"/>
  <c r="E28" i="6"/>
  <c r="L28" i="6"/>
  <c r="N28" i="6"/>
  <c r="K28" i="6"/>
  <c r="M28" i="6"/>
  <c r="C28" i="6"/>
  <c r="D28" i="6"/>
  <c r="J28" i="6"/>
  <c r="M22" i="7"/>
  <c r="W15" i="7"/>
  <c r="O16" i="6"/>
  <c r="O12" i="6"/>
  <c r="M33" i="7"/>
  <c r="O22" i="7"/>
  <c r="AC22" i="7"/>
  <c r="S22" i="7"/>
  <c r="N22" i="7"/>
  <c r="O5" i="6"/>
  <c r="N25" i="6"/>
  <c r="M25" i="6"/>
  <c r="L25" i="6"/>
  <c r="L44" i="6" s="1"/>
  <c r="H25" i="6"/>
  <c r="G25" i="6"/>
  <c r="F25" i="6"/>
  <c r="E25" i="6"/>
  <c r="C25" i="6"/>
  <c r="D25" i="6"/>
  <c r="K25" i="6"/>
  <c r="J25" i="6"/>
  <c r="I25" i="6"/>
  <c r="C11" i="5"/>
  <c r="D14" i="1" s="1"/>
  <c r="C14" i="1" s="1"/>
  <c r="X15" i="7"/>
  <c r="O7" i="6"/>
  <c r="P22" i="7"/>
  <c r="Q27" i="7"/>
  <c r="M9" i="7"/>
  <c r="Q9" i="7"/>
  <c r="M15" i="7"/>
  <c r="Z15" i="7"/>
  <c r="O15" i="6"/>
  <c r="Q22" i="7"/>
  <c r="L27" i="7"/>
  <c r="P27" i="7"/>
  <c r="S27" i="7"/>
  <c r="I43" i="4"/>
  <c r="N20" i="6"/>
  <c r="N44" i="6" s="1"/>
  <c r="M20" i="6"/>
  <c r="I20" i="6"/>
  <c r="I44" i="6" s="1"/>
  <c r="H20" i="6"/>
  <c r="H44" i="6" s="1"/>
  <c r="G20" i="6"/>
  <c r="G44" i="6" s="1"/>
  <c r="D20" i="6"/>
  <c r="F20" i="6"/>
  <c r="C20" i="6"/>
  <c r="E20" i="6"/>
  <c r="E44" i="6" s="1"/>
  <c r="L20" i="6"/>
  <c r="J20" i="6"/>
  <c r="J44" i="6" s="1"/>
  <c r="K20" i="6"/>
  <c r="K44" i="6" s="1"/>
  <c r="C9" i="5"/>
  <c r="D13" i="1" s="1"/>
  <c r="C13" i="1" s="1"/>
  <c r="T27" i="7"/>
  <c r="P9" i="7"/>
  <c r="O23" i="6"/>
  <c r="L15" i="7"/>
  <c r="Y15" i="7"/>
  <c r="O35" i="6"/>
  <c r="F27" i="6"/>
  <c r="E27" i="6"/>
  <c r="D27" i="6"/>
  <c r="C27" i="6"/>
  <c r="C12" i="5"/>
  <c r="D15" i="1" s="1"/>
  <c r="C15" i="1" s="1"/>
  <c r="N27" i="6"/>
  <c r="H27" i="6"/>
  <c r="G27" i="6"/>
  <c r="M27" i="6"/>
  <c r="L27" i="6"/>
  <c r="K27" i="6"/>
  <c r="J27" i="6"/>
  <c r="I27" i="6"/>
  <c r="R27" i="7"/>
  <c r="L9" i="7"/>
  <c r="R9" i="7"/>
  <c r="M44" i="6"/>
  <c r="N15" i="7"/>
  <c r="O13" i="6"/>
  <c r="T22" i="7"/>
  <c r="U27" i="7"/>
  <c r="S9" i="7"/>
  <c r="O33" i="6"/>
  <c r="S15" i="7"/>
  <c r="W22" i="7"/>
  <c r="X22" i="7"/>
  <c r="C21" i="5"/>
  <c r="D11" i="1"/>
  <c r="G30" i="7"/>
  <c r="M30" i="7" s="1"/>
  <c r="O15" i="7"/>
  <c r="O8" i="6"/>
  <c r="R22" i="7"/>
  <c r="O9" i="6"/>
  <c r="P15" i="7"/>
  <c r="U22" i="7"/>
  <c r="O42" i="6"/>
  <c r="U15" i="7"/>
  <c r="Z11" i="7"/>
  <c r="Y11" i="7"/>
  <c r="X11" i="7"/>
  <c r="W11" i="7"/>
  <c r="V11" i="7"/>
  <c r="R11" i="7"/>
  <c r="Q11" i="7"/>
  <c r="AA11" i="7"/>
  <c r="U11" i="7"/>
  <c r="T11" i="7"/>
  <c r="S11" i="7"/>
  <c r="N11" i="7"/>
  <c r="M11" i="7"/>
  <c r="P11" i="7"/>
  <c r="O11" i="7"/>
  <c r="L11" i="7"/>
  <c r="AC11" i="7"/>
  <c r="AB11" i="7"/>
  <c r="V22" i="7"/>
  <c r="X33" i="7"/>
  <c r="Y22" i="7"/>
  <c r="R29" i="7"/>
  <c r="Q29" i="7"/>
  <c r="P29" i="7"/>
  <c r="O29" i="7"/>
  <c r="N29" i="7"/>
  <c r="AC29" i="7"/>
  <c r="M29" i="7"/>
  <c r="Z29" i="7"/>
  <c r="Y29" i="7"/>
  <c r="W29" i="7"/>
  <c r="T29" i="7"/>
  <c r="S29" i="7"/>
  <c r="L29" i="7"/>
  <c r="AB29" i="7"/>
  <c r="AA29" i="7"/>
  <c r="V29" i="7"/>
  <c r="U29" i="7"/>
  <c r="X29" i="7"/>
  <c r="C26" i="6"/>
  <c r="C44" i="6" s="1"/>
  <c r="K26" i="6"/>
  <c r="N26" i="6"/>
  <c r="J26" i="6"/>
  <c r="M26" i="6"/>
  <c r="L26" i="6"/>
  <c r="G26" i="6"/>
  <c r="E26" i="6"/>
  <c r="D26" i="6"/>
  <c r="D44" i="6" s="1"/>
  <c r="F26" i="6"/>
  <c r="F44" i="6" s="1"/>
  <c r="H26" i="6"/>
  <c r="I26" i="6"/>
  <c r="V12" i="7"/>
  <c r="U12" i="7"/>
  <c r="T12" i="7"/>
  <c r="S12" i="7"/>
  <c r="R12" i="7"/>
  <c r="N12" i="7"/>
  <c r="AC12" i="7"/>
  <c r="M12" i="7"/>
  <c r="AB12" i="7"/>
  <c r="AA12" i="7"/>
  <c r="W12" i="7"/>
  <c r="Z12" i="7"/>
  <c r="Y12" i="7"/>
  <c r="X12" i="7"/>
  <c r="Q12" i="7"/>
  <c r="P12" i="7"/>
  <c r="O12" i="7"/>
  <c r="L12" i="7"/>
  <c r="O14" i="6"/>
  <c r="R18" i="7" l="1"/>
  <c r="O18" i="7"/>
  <c r="S18" i="7"/>
  <c r="Z33" i="7"/>
  <c r="Y32" i="7"/>
  <c r="L33" i="7"/>
  <c r="T18" i="7"/>
  <c r="P24" i="7"/>
  <c r="Z24" i="7"/>
  <c r="L24" i="7"/>
  <c r="N24" i="7"/>
  <c r="Q24" i="7"/>
  <c r="AB24" i="7"/>
  <c r="S24" i="7"/>
  <c r="O24" i="7"/>
  <c r="P26" i="7"/>
  <c r="N26" i="7"/>
  <c r="AC26" i="7"/>
  <c r="Y26" i="7"/>
  <c r="O26" i="7"/>
  <c r="M26" i="7"/>
  <c r="V26" i="7"/>
  <c r="T26" i="7"/>
  <c r="U26" i="7"/>
  <c r="X26" i="7"/>
  <c r="W26" i="7"/>
  <c r="R26" i="7"/>
  <c r="AB26" i="7"/>
  <c r="S26" i="7"/>
  <c r="Q26" i="7"/>
  <c r="W33" i="7"/>
  <c r="O33" i="7"/>
  <c r="X32" i="7"/>
  <c r="M24" i="7"/>
  <c r="AA18" i="7"/>
  <c r="Q33" i="7"/>
  <c r="R24" i="7"/>
  <c r="AB18" i="7"/>
  <c r="AC33" i="7"/>
  <c r="U18" i="7"/>
  <c r="Y33" i="7"/>
  <c r="V24" i="7"/>
  <c r="P18" i="7"/>
  <c r="Y18" i="7"/>
  <c r="W24" i="7"/>
  <c r="W18" i="7"/>
  <c r="V33" i="7"/>
  <c r="V32" i="7"/>
  <c r="O32" i="7"/>
  <c r="L32" i="7"/>
  <c r="N33" i="7"/>
  <c r="AB32" i="7"/>
  <c r="Z32" i="7"/>
  <c r="T33" i="7"/>
  <c r="U33" i="7"/>
  <c r="S33" i="7"/>
  <c r="W32" i="7"/>
  <c r="T24" i="7"/>
  <c r="L18" i="7"/>
  <c r="Q18" i="7"/>
  <c r="V18" i="7"/>
  <c r="T32" i="7"/>
  <c r="N18" i="7"/>
  <c r="T30" i="7"/>
  <c r="Y24" i="7"/>
  <c r="X24" i="7"/>
  <c r="M32" i="7"/>
  <c r="L26" i="7"/>
  <c r="R33" i="7"/>
  <c r="S32" i="7"/>
  <c r="P33" i="7"/>
  <c r="S30" i="7"/>
  <c r="U32" i="7"/>
  <c r="M18" i="7"/>
  <c r="Z18" i="7"/>
  <c r="AB33" i="7"/>
  <c r="O44" i="6"/>
  <c r="C5" i="1" s="1"/>
  <c r="C22" i="5"/>
  <c r="C23" i="5" s="1"/>
  <c r="O28" i="6"/>
  <c r="C26" i="1"/>
  <c r="B26" i="1" s="1"/>
  <c r="C25" i="1"/>
  <c r="B25" i="1" s="1"/>
  <c r="C27" i="1"/>
  <c r="B27" i="1" s="1"/>
  <c r="C11" i="1"/>
  <c r="E11" i="1"/>
  <c r="B12" i="1" s="1"/>
  <c r="E12" i="1" s="1"/>
  <c r="B13" i="1" s="1"/>
  <c r="E13" i="1" s="1"/>
  <c r="B14" i="1" s="1"/>
  <c r="E14" i="1" s="1"/>
  <c r="B15" i="1" s="1"/>
  <c r="E15" i="1" s="1"/>
  <c r="B16" i="1" s="1"/>
  <c r="E16" i="1" s="1"/>
  <c r="B17" i="1" s="1"/>
  <c r="E17" i="1" s="1"/>
  <c r="B18" i="1" s="1"/>
  <c r="E18" i="1" s="1"/>
  <c r="B19" i="1" s="1"/>
  <c r="E19" i="1" s="1"/>
  <c r="E21" i="1" s="1"/>
  <c r="O24" i="6"/>
  <c r="O25" i="6"/>
  <c r="O27" i="6"/>
  <c r="O20" i="6"/>
  <c r="L30" i="7"/>
  <c r="AB30" i="7"/>
  <c r="O26" i="6"/>
  <c r="C4" i="1" l="1"/>
  <c r="A2" i="1"/>
</calcChain>
</file>

<file path=xl/sharedStrings.xml><?xml version="1.0" encoding="utf-8"?>
<sst xmlns="http://schemas.openxmlformats.org/spreadsheetml/2006/main" count="1438" uniqueCount="780">
  <si>
    <t>Overview -- headline TCO + cost waterfall</t>
  </si>
  <si>
    <t>HEADLINE</t>
  </si>
  <si>
    <t>Monthly TCO (at Control Panel defaults)</t>
  </si>
  <si>
    <t>12-month run cost total</t>
  </si>
  <si>
    <t>Total build points</t>
  </si>
  <si>
    <t>Total build cost (Points x PointRate)</t>
  </si>
  <si>
    <t>COST WATERFALL -- MONTHLY TCO BY ZONE</t>
  </si>
  <si>
    <t>Zone / component</t>
  </si>
  <si>
    <t>Base (invisible)</t>
  </si>
  <si>
    <t>Block (visible)</t>
  </si>
  <si>
    <t>Delta</t>
  </si>
  <si>
    <t>Zone1 Ingestion</t>
  </si>
  <si>
    <t>Zone2 ETL/Validation</t>
  </si>
  <si>
    <t>Zone3 Matching</t>
  </si>
  <si>
    <t>Zone4 Orchestrator+Memory</t>
  </si>
  <si>
    <t>Zone4 LLM tokens (LIKELY)</t>
  </si>
  <si>
    <t>Zone4 Dense-arm (opt, 0 default)</t>
  </si>
  <si>
    <t>Zone4 Evaluations</t>
  </si>
  <si>
    <t>Zone5 Persistence/HITL</t>
  </si>
  <si>
    <t>Platform (always-on)</t>
  </si>
  <si>
    <t>Cumulative total (should equal Subtotal on Monthly TCO)</t>
  </si>
  <si>
    <t>TOP COST DRIVERS</t>
  </si>
  <si>
    <t>Rank</t>
  </si>
  <si>
    <t>Monthly cost</t>
  </si>
  <si>
    <t>JPMC SCUDO POAP TCO -- Control Panel (all scenarios drive live)</t>
  </si>
  <si>
    <t>Amber cells are editable inputs -- change a value and every tab, total and chart recalculates live. Status labels: VERIFIED (grounded to source) / INDICATIVE (list price, editable) / DERIVED (formula) / ASSUMPTION (stated basis, editable) / RATE_MISSING (no source rate -- $0 until entered). USD, us-east-1 throughout.</t>
  </si>
  <si>
    <t>SCENARIO SWITCHES &amp; LOADINGS</t>
  </si>
  <si>
    <t>DeliveriesPerMonth</t>
  </si>
  <si>
    <t>ASSUMPTION</t>
  </si>
  <si>
    <t>Vendor deliveries per month -&gt; volume model</t>
  </si>
  <si>
    <t>ProductsPerDelivery</t>
  </si>
  <si>
    <t>Products per delivery -&gt; ItemsPerMonth = Deliveries x Products</t>
  </si>
  <si>
    <t>DatasetCount</t>
  </si>
  <si>
    <t>Catalogue size (CDAO datasets) -&gt; storage lines</t>
  </si>
  <si>
    <t>LlmReachablePct</t>
  </si>
  <si>
    <t>DERIVED</t>
  </si>
  <si>
    <t>Fraction of items reaching the agent loop. CODE-VERIFIED default: the deployed Strands orchestrator invokes specialist+verifier per product UNCONDITIONALLY (not band-gated) -&gt; 1.0, DERIVED. Lower it to model a band-gated future.</t>
  </si>
  <si>
    <t>ModelSKU</t>
  </si>
  <si>
    <t>Opus-4.8</t>
  </si>
  <si>
    <t>Bedrock model SKU selection via SKU-gate pattern (vendor fixed = Bedrock)</t>
  </si>
  <si>
    <t>InputTokensPerCallK</t>
  </si>
  <si>
    <t>Per-call input tokens (thousands). CODE-VERIFIED LIKELY ~0.69-0.94K (specialist), ~0.38-0.52K (verifier). Client sketch said 50K -&gt; carried as the HIGH scenario row, not the default.</t>
  </si>
  <si>
    <t>OutputTokensPerCallK</t>
  </si>
  <si>
    <t>Per-call output tokens (thousands). CODE-VERIFIED LIKELY ~0.21-0.27K.</t>
  </si>
  <si>
    <t>CallsPerItem</t>
  </si>
  <si>
    <t>Bedrock calls per item. CODE-VERIFIED: 2 (mapping specialist + verifier). Dense-arm opus_dense_score is OFF by default (DenseBackend=jaro_winkler); if flipped, it fires per taxonomy node scored -&gt; carried as a separate optional line, default 0.</t>
  </si>
  <si>
    <t>PointRate</t>
  </si>
  <si>
    <t>$ per build point. DEFAULT 0 = RATE_MISSING visible zero (un-costed, not free).</t>
  </si>
  <si>
    <t>EnvMultiplier</t>
  </si>
  <si>
    <t>Non-prod environment multiplier on always-on infra</t>
  </si>
  <si>
    <t>AuroraSize</t>
  </si>
  <si>
    <t>2xlarge</t>
  </si>
  <si>
    <t>Aurora instance class selector (client sketch says 2xLarge; repo-real default is Serverless v2 db.serverless, a material sizing divergence -- see Assumptions)</t>
  </si>
  <si>
    <t>HitlPct</t>
  </si>
  <si>
    <t>Fraction of items routed to HITL review (AppSync traffic)</t>
  </si>
  <si>
    <t>StoragePerItemKB</t>
  </si>
  <si>
    <t>Canonical JSON-LD per product (repo estimate: ~2-4KB actual; 50KB is a conservative client-facing ceiling -- see Assumptions)</t>
  </si>
  <si>
    <t>SlipWeeks</t>
  </si>
  <si>
    <t>Gantt stretch (14-week core, spec 5b with 29-&gt;14)</t>
  </si>
  <si>
    <t>ContingencyPct</t>
  </si>
  <si>
    <t>Uplift on monthly TCO subtotal</t>
  </si>
  <si>
    <t>DERIVED VOLUME</t>
  </si>
  <si>
    <t>Items per month (Deliveries x Products)</t>
  </si>
  <si>
    <t>LLM-reachable items per month</t>
  </si>
  <si>
    <t>SCOPE NOTES</t>
  </si>
  <si>
    <t>* LlmReachablePct default 1.0 is CODE-VERIFIED (orchestrator.py:113-151): the deployed Strands orchestrator has no dependency on the confidence-band gate for LLM reachability -- it calls mapping+verifier for every non-RESEARCH product. Lower this to model a future band-gated design.</t>
  </si>
  <si>
    <t>* InputTokensPerCallK/OutputTokensPerCallK defaults are the CODE-VERIFIED LIKELY scenario (measured prompt-template character counts, llm_call_model.md SS3). The client sketch's 50K in / 1K out is carried as a labelled CLIENT-SKETCH HIGH scenario row on Monthly TCO, not the default.</t>
  </si>
  <si>
    <t>* PointRate defaults to 0 by design (RATE_MISSING convention): Pod Build shows visible $0 build cost until a real $/point rate is supplied -- this is un-costed, not free.</t>
  </si>
  <si>
    <t>* AuroraSize offers large/xlarge/2xlarge fixed-instance rates from Rates!, matching the client sketch's 'Aurora db 2xLarge' line. The repo-real deployed config is Aurora Serverless v2 (db.serverless, 0.5-2 ACU) -- a material sizing divergence, see Assumptions.</t>
  </si>
  <si>
    <t>* StoragePerItemKB defaults to 50KB as a conservative client-facing ceiling. The repo-real measured canonical JSON-LD payload is ~2-4KB per fully-published product (arch_infra_persistence.md SSC.5) -- storage cost at 50KB is a deliberate overstatement, not a repo-measured figure.</t>
  </si>
  <si>
    <t>* All figures are USD, AWS us-east-1 region only -- no other currency or cloud vendor.</t>
  </si>
  <si>
    <t>Rates -- USD list prices, us-east-1, on-demand (July 2026)</t>
  </si>
  <si>
    <t>Every figure on this tab is an editable input. All rates VERIFIED from AWS Price List Bulk API / aws.amazon.com/*/pricing pages, us-east-1, as cited per row. RATE_MISSING lines are $0 until a real rate is supplied. USD only.</t>
  </si>
  <si>
    <t>Rate</t>
  </si>
  <si>
    <t>Unit</t>
  </si>
  <si>
    <t>Value (USD)</t>
  </si>
  <si>
    <t>Status</t>
  </si>
  <si>
    <t>Source URL</t>
  </si>
  <si>
    <t>Notes / As-of</t>
  </si>
  <si>
    <t>AMAZON AURORA POSTGRESQL</t>
  </si>
  <si>
    <t>db.r6g.2xlarge Single-AZ instance (Standard)</t>
  </si>
  <si>
    <t>USD per hour</t>
  </si>
  <si>
    <t>VERIFIED</t>
  </si>
  <si>
    <t>https://pricing.us-east-1.amazonaws.com/offers/v1.0/aws/AmazonRDS/current/us-east-1/index.json</t>
  </si>
  <si>
    <t>AWS Price List Bulk API (AmazonRDS), sku attrs databaseEngine=Aurora PostgreSQL, instanceType=db.r6g.2xlarge, deploymentOption=Single-AZ, usagetype=InstanceUsage:db.r6g.2xl. As of publicationDate 2026-07-21T17:58:18Z. Matches client sketch's 'Aurora db 2xLarge'.</t>
  </si>
  <si>
    <t>db.r6g.2xlarge Single-AZ instance (I/O-Optimized)</t>
  </si>
  <si>
    <t>Same source/date as above; usagetype=InstanceUsageIOOptimized:db.r6g.2xl. I/O-Optimized carries no per-I/O charge (see storage row) but a higher instance rate.</t>
  </si>
  <si>
    <t>db.r6g.xlarge Single-AZ instance (Standard) — cheaper alternate</t>
  </si>
  <si>
    <t>usagetype=InstanceUsage:db.r6g.xl. As of 2026-07-21.</t>
  </si>
  <si>
    <t>db.r6g.xlarge Single-AZ instance (I/O-Optimized)</t>
  </si>
  <si>
    <t>usagetype=InstanceUsageIOOptimized:db.r6g.xl.</t>
  </si>
  <si>
    <t>db.r6g.large Single-AZ instance (Standard) — cheaper alternate</t>
  </si>
  <si>
    <t>usagetype=InstanceUsage:db.r6g.large.</t>
  </si>
  <si>
    <t>db.r6g.large Single-AZ instance (I/O-Optimized)</t>
  </si>
  <si>
    <t>usagetype=InstanceUsageIOOptimized:db.r6g.large.</t>
  </si>
  <si>
    <t>AMAZON AURORA SERVERLESS V2 (POSTGRESQL)</t>
  </si>
  <si>
    <t>Aurora Capacity Unit (Standard config)</t>
  </si>
  <si>
    <t>USD per ACU-hour</t>
  </si>
  <si>
    <t>usagetype=Aurora:ServerlessV2Usage.</t>
  </si>
  <si>
    <t>Aurora Capacity Unit (I/O-Optimized config)</t>
  </si>
  <si>
    <t>usagetype=Aurora:ServerlessV2IOOptimizedUsage.</t>
  </si>
  <si>
    <t>Consumed storage (Standard)</t>
  </si>
  <si>
    <t>USD per GB-month</t>
  </si>
  <si>
    <t>usagetype=Aurora:StorageUsage. Standard config also bills I/O separately (next row); I/O-Optimized rolls I/O into a higher $/GB-mo rate with zero per-I/O charge.</t>
  </si>
  <si>
    <t>Consumed storage (I/O-Optimized)</t>
  </si>
  <si>
    <t>usagetype=Aurora:IO-OptimizedStorageUsage. I/O-Optimized has $0 per-I/O charge — all read/write I/O cost is folded into this higher storage rate vs. the 0.10 Standard rate.</t>
  </si>
  <si>
    <t>I/O requests (Standard config only)</t>
  </si>
  <si>
    <t>USD per 1,000,000 I/Os</t>
  </si>
  <si>
    <t>usagetype=Aurora:StorageIOUsage ($0.0000002/IO). Only billed under Standard storage config; I/O-Optimized has no separate I/O charge (folded into the 0.225 GB-mo storage rate above).</t>
  </si>
  <si>
    <t>AMAZON OPENSEARCH SERVICE</t>
  </si>
  <si>
    <t>r7g.large.search on-demand instance</t>
  </si>
  <si>
    <t>https://pricing.us-east-1.amazonaws.com/offers/v1.0/aws/AmazonES/current/us-east-1/index.json</t>
  </si>
  <si>
    <t>AWS Price List Bulk API (AmazonES), instanceType=r7g.large.search, usagetype=ESInstance:r7g.large. As of publicationDate 2026-07-09T09:08:58Z.</t>
  </si>
  <si>
    <t>m7g.large.search on-demand instance</t>
  </si>
  <si>
    <t>instanceType=m7g.large.search, usagetype=ESInstance:m7g.large.</t>
  </si>
  <si>
    <t>t3.small.search on-demand instance (dev/test)</t>
  </si>
  <si>
    <t>instanceType=t3.small.search, usagetype=ESInstance:t3.small.</t>
  </si>
  <si>
    <t>EBS gp3 provisioned storage</t>
  </si>
  <si>
    <t>usagetype=ES:GP3-Storage. gp3 also has separate optional provisioned-IOPS ($0.008/PIOPS-mo) and provisioned-throughput ($0.064/MiBps-mo) meters not requested in the brief.</t>
  </si>
  <si>
    <t>AMAZON OPENSEARCH SERVERLESS</t>
  </si>
  <si>
    <t>Indexing OCU / Search OCU (compute)</t>
  </si>
  <si>
    <t>USD per OCU-hour</t>
  </si>
  <si>
    <t>usagetype=USE1-IndexingOCU and USE1-SearchOCU, both $0.24/OCU-hr identically. As of 2026-07-09.</t>
  </si>
  <si>
    <t>Minimum billed OCUs — production (redundancy) vs dev/test</t>
  </si>
  <si>
    <t>OCU count (not USD)</t>
  </si>
  <si>
    <t>https://docs.aws.amazon.com/opensearch-service/latest/developerguide/serverless-scaling.html</t>
  </si>
  <si>
    <t>CORRECTION to brief's framing: current AWS docs (fetched 2026-07-22) state the minimum is 2 OCUs total with redundancy ON (1 OCU=[0.5x2] indexing + 1 OCU=[0.5x2] search, for HA) vs 1 OCU total with redundancy OFF/dev-test (0.5 indexing + 0.5 search) — NOT '4-OCU vs 2-OCU' as the brief's note suggested. At $0.24/OCU-hr, production-minimum ~2 OCU x $0.24 x 730hr = ~$350/mo; dev-minimum ~1 OCU x $0.24 x 730hr = ~$175/mo. Flagging this discrepancy rather than fabricating a 4-OCU figure to match the brief's wording.</t>
  </si>
  <si>
    <t>AMAZON DYNAMODB (ON-DEMAND CAPACITY)</t>
  </si>
  <si>
    <t>Write request units</t>
  </si>
  <si>
    <t>USD per 1,000,000 WRU</t>
  </si>
  <si>
    <t>https://pricing.us-east-1.amazonaws.com/offers/v1.0/aws/AmazonDynamoDB/current/us-east-1/index.json</t>
  </si>
  <si>
    <t>usagetype=WriteRequestUnits, group=DDB-WriteUnits, description '$0.625 per million write request units (N. Virginia)'. Standard table class. As of publicationDate 2026-07-22T00:38:27Z.</t>
  </si>
  <si>
    <t>Read request units</t>
  </si>
  <si>
    <t>USD per 1,000,000 RRU</t>
  </si>
  <si>
    <t>usagetype=ReadRequestUnits, group=DDB-ReadUnits, description '$0.125 per million read request units (N. Virginia)'. Standard table class.</t>
  </si>
  <si>
    <t>AMAZON DYNAMODB</t>
  </si>
  <si>
    <t>Storage (Standard table class, beyond 25GB free tier)</t>
  </si>
  <si>
    <t>usagetype=TimedStorage-ByteHrs, priced tier beyond first 25 free GB-months (first 25 GB-mo is $0/GB). Standard-IA table class is cheaper at $0.10/GB-mo if applicable.</t>
  </si>
  <si>
    <t>AMAZON NEPTUNE</t>
  </si>
  <si>
    <t>db.r6g.large instance (Standard)</t>
  </si>
  <si>
    <t>https://pricing.us-east-1.amazonaws.com/offers/v1.0/aws/AmazonNeptune/current/us-east-1/index.json</t>
  </si>
  <si>
    <t>AWS Price List Bulk API (AmazonNeptune), instanceType=db.r6g.large, usagetype=InstanceUsage:db.r6g.large. Publication date in file is stale (2026-03-13) — cross-check against live console before finalizing budget; no newer bulk-API snapshot was available at fetch time so this is the latest published rate, not a guess.</t>
  </si>
  <si>
    <t>db.r6g.large instance (I/O-Optimized)</t>
  </si>
  <si>
    <t>usagetype=InstanceUsageIOOptimized:db.r6g.large. Same file caveat as above (publicationDate 2026-03-13T14:07:01Z).</t>
  </si>
  <si>
    <t>Storage (Standard)</t>
  </si>
  <si>
    <t>usagetype=StorageUsage. I/O-Optimized storage is $0.225/GB-mo (usagetype=IO-OptimizedStorageUsage), mirroring the Aurora pattern.</t>
  </si>
  <si>
    <t>usagetype=StorageIOUsage. Context per brief: repo ships Neptune CFN templates but the live PoC runs FalkorDB on ECS instead — Neptune priced here for comparison, not as the deployed graph store.</t>
  </si>
  <si>
    <t>AWS FARGATE (X86/LINUX, ON ECS)</t>
  </si>
  <si>
    <t>vCPU-hour</t>
  </si>
  <si>
    <t>USD per vCPU-hour</t>
  </si>
  <si>
    <t>https://pricing.us-east-1.amazonaws.com/offers/v1.0/aws/AmazonECS/current/us-east-1/index.json</t>
  </si>
  <si>
    <t>usagetype=USE1-Fargate-vCPU-Hours:perCPU. As of publicationDate 2026-07-07T16:06:51Z. ARM/Graviton Fargate is cheaper at $0.03238/vCPU-hr (usagetype=USE1-Fargate-ARM-vCPU-Hours:perCPU).</t>
  </si>
  <si>
    <t>GB-hour (memory)</t>
  </si>
  <si>
    <t>USD per GB-hour</t>
  </si>
  <si>
    <t>usagetype=USE1-Fargate-GB-Hours. ARM/Graviton is cheaper at $0.00356/GB-hr (usagetype=USE1-Fargate-ARM-GB-Hours).</t>
  </si>
  <si>
    <t>AWS FARGATE</t>
  </si>
  <si>
    <t>Monthly example: 0.25 vCPU / 0.5 GB, always-on (730 hr/mo)</t>
  </si>
  <si>
    <t>USD per month</t>
  </si>
  <si>
    <t>Derived calc: (0.25 vCPU x $0.04048/hr + 0.5 GB x $0.004445/hr) x 730 hr = $9.01/mo. x86/Linux rates; excludes ephemeral storage beyond the free 20GB and any data transfer.</t>
  </si>
  <si>
    <t>Monthly example: 1 vCPU / 2 GB, always-on (730 hr/mo)</t>
  </si>
  <si>
    <t>Derived calc: (1 vCPU x $0.04048/hr + 2 GB x $0.004445/hr) x 730 hr = $36.04/mo. x86/Linux rates; excludes ephemeral storage beyond the free 20GB and any data transfer.</t>
  </si>
  <si>
    <t>AMAZON RDS PROXY</t>
  </si>
  <si>
    <t>Proxy usage (per vCPU of underlying Aurora PostgreSQL instance)</t>
  </si>
  <si>
    <t>usagetype=USE1-RDS:ProxyUsage, description '$0.015 per hour per vCPU of the Aurora PostgreSQL instances associated with an RDS Proxy'. Same $0.015/vCPU-hr rate applies uniformly across Aurora MySQL/PostgreSQL/RDS engines and to Serverless v2 (ACU-hr) underlying instances. As of publicationDate 2026-07-21T17:58:18Z.</t>
  </si>
  <si>
    <t>db.r6g.2xlarge (Standard, Single-AZ)</t>
  </si>
  <si>
    <t>USD per instance-hour</t>
  </si>
  <si>
    <t>AWS Price List API bulk offer file for AmazonRDS, us-east-1, publicationDate 2026-07-21. SKU description: '$1.038 per RDS db.r6g.2xlarge Single-AZ instance hour running Aurora PostgreSQL'. IO-Optimized variant for same instance is $1.349/hr (see separate row).</t>
  </si>
  <si>
    <t>db.r6g.2xlarge (I/O-Optimized, Single-AZ)</t>
  </si>
  <si>
    <t>Same source/date as above. I/O-Optimized pricing has no separate per-request I/O charge (bundled into instance rate + storage), trading a higher instance rate for zero I/O billing.</t>
  </si>
  <si>
    <t>db.r6g.xlarge (Standard, Single-AZ)</t>
  </si>
  <si>
    <t>Cheaper alternate to 2xlarge, per brief. I/O-Optimized variant is $0.675/hr.</t>
  </si>
  <si>
    <t>db.r6g.large (Standard, Single-AZ)</t>
  </si>
  <si>
    <t>Cheapest alternate per brief. I/O-Optimized variant is $0.338/hr.</t>
  </si>
  <si>
    <t>AMAZON AURORA POSTGRESQL SERVERLESS V2</t>
  </si>
  <si>
    <t>ACU-hour (Standard)</t>
  </si>
  <si>
    <t>Aurora:ServerlessV2Usage SKU, Aurora PostgreSQL, us-east-1. I/O-Optimized Serverless v2 ACU-hour is $0.16.</t>
  </si>
  <si>
    <t>Database storage (Standard)</t>
  </si>
  <si>
    <t>Aurora:StorageUsage SKU. I/O-Optimized storage is billed higher at $0.225/GB-month (Aurora:IO-OptimizedStorageUsage) because I/O is free under that tier.</t>
  </si>
  <si>
    <t>I/O requests (Standard)</t>
  </si>
  <si>
    <t>USD per 1 million I/O requests</t>
  </si>
  <si>
    <t>Aurora:StorageIOUsage SKU. Only applies to Standard configuration — I/O-Optimized configuration has $0 per-I/O charge (cost shifted into higher instance/storage rates above). Choose Standard for I/O-light, low/predictable workloads; I/O-Optimized for I/O-heavy workloads (&gt;~25% of instance cost in I/O).</t>
  </si>
  <si>
    <t>AMAZON OPENSEARCH SERVICE (MANAGED DOMAIN)</t>
  </si>
  <si>
    <t>r7g.large.search</t>
  </si>
  <si>
    <t>AWS Price List API bulk offer file for AmazonES, us-east-1, publicationDate 2026-07-09. ESInstance:r7g.large SKU.</t>
  </si>
  <si>
    <t>m7g.large.search</t>
  </si>
  <si>
    <t>ESInstance:m7g.large SKU, same source as above. General-purpose alternate to r7g (memory-optimized).</t>
  </si>
  <si>
    <t>t3.small.search (dev/test)</t>
  </si>
  <si>
    <t>ESInstance:t3.small SKU, same source as above. Burstable-credit instance intended for dev/test, not production.</t>
  </si>
  <si>
    <t>EBS gp3 storage</t>
  </si>
  <si>
    <t>ES:GP3-Storage SKU. Baseline 3,000 IOPS / 125 MiB/s included; additional provisioned IOPS billed at $0.008/IOPS-month (ES:GP3-PIOPS) and additional throughput at $0.064/MiBps-month (ES:GP3-Provisioned-ThroughPut) if you exceed baseline.</t>
  </si>
  <si>
    <t>OCU-hour (Indexing/Search/Semantic/Vector-index-acceleration, all uniform)</t>
  </si>
  <si>
    <t>USE1-IndexingOCU / USE1-SearchOCU / USE1-SemanticSearchOCU / USE1-VectorIndexAccelerationOCU SKUs, all $0.24/OCU-hr. Minimum OCUs: production (time-series or search/vector collections) bills a minimum of 4 OCUs total (2 indexing incl. primary+replica, 2 search incl. one replica for HA) for the first collection in an account, i.e. 2 OCUs per role x2 for HA; the brief's 'dev/2-OCU' option refers to disabling the standby/HA replica (0.5 OCU indexing + 0.5 OCU search = 1 OCU total per role-pair, described by AWS as halving cost vs the 2-OCU-per-role production minimum) — confirm exact current minimum in AWS OpenSearch Serverless pricing docs before quoting to client, as replica/HA toggle rules have changed across regions/time. Storage is separate: $0.30/GB-month hot (USE1-StorageUsedInHotByteHour), $0.024/GB-month S3-tier (USE1-StorageUsedInS3ByteHour).</t>
  </si>
  <si>
    <t>AMAZON DYNAMODB (ON-DEMAND MODE)</t>
  </si>
  <si>
    <t>WriteRequestUnits</t>
  </si>
  <si>
    <t>USD per million write request units</t>
  </si>
  <si>
    <t>AWS Price List API bulk offer file for AmazonDynamoDB, us-east-1, publicationDate 2026-07-22. Standard table class; Standard-IA class is $0.78/million writes.</t>
  </si>
  <si>
    <t>ReadRequestUnits</t>
  </si>
  <si>
    <t>USD per million read request units</t>
  </si>
  <si>
    <t>Same source/date as above. Standard table class; Standard-IA class is $0.155/million reads.</t>
  </si>
  <si>
    <t>Table storage (Standard)</t>
  </si>
  <si>
    <t>TimedStorage-ByteHrs SKU, beyond the first 25 GB-months which are free tier ($0/GB-month). Standard-IA table class storage is $0.10/GB-month.</t>
  </si>
  <si>
    <t>db.r6g.large (Multi-AZ, Standard)</t>
  </si>
  <si>
    <t>AWS Price List API bulk offer file for AmazonNeptune, us-east-1, publicationDate 2026-03-13 (oldest of the five files fetched — re-verify against live AWS Neptune pricing page before final client quote, as this snapshot is ~4 months old vs the others). Neptune instance pricing is published only as Multi-AZ deployment option in this file (no separate Single-AZ SKU found for db.r6g.large); IO-Optimized variant is $0.443/hr.</t>
  </si>
  <si>
    <t>Storage</t>
  </si>
  <si>
    <t>StorageUsage SKU, same source as above (2026-03-13 snapshot). I/O-Optimized storage tier is $0.225/GB-month (zero per-I/O charge).</t>
  </si>
  <si>
    <t>StorageIOUsage SKU, same source as above. Repo context: PoC currently runs FalkorDB on ECS instead of Neptune — Neptune db.r6g.large ($0.3287/hr Multi-AZ + storage + I/O) vs. FalkorDB-on-Fargate (see ECS Fargate rows: e.g. 1 vCPU/2GB Fargate task ≈ $36.04/month = ~$0.049/hr all-in, far below Neptune's managed-DB rate) — Neptune carries a large premium for managed multi-AZ graph-DB semantics that FalkorDB-on-ECS does not provide out of the box.</t>
  </si>
  <si>
    <t>AMAZON ECS ON FARGATE</t>
  </si>
  <si>
    <t>vCPU-hour (Linux/x86)</t>
  </si>
  <si>
    <t>AWS Price List API bulk offer file for AmazonECS, us-east-1, publicationDate 2026-07-07. USE1-Fargate-vCPU-Hours SKU. ARM/Graviton is cheaper at $0.03238/vCPU-hr (USE1-Fargate-ARM-vCPU-Hours).</t>
  </si>
  <si>
    <t>GB-hour memory (Linux/x86)</t>
  </si>
  <si>
    <t>USE1-Fargate-GB-Hours SKU, same source as above. ARM/Graviton is $0.00356/GB-hr.</t>
  </si>
  <si>
    <t>Monthly example: 0.25 vCPU / 0.5 GB always-on task</t>
  </si>
  <si>
    <t>USD per month (730 hrs)</t>
  </si>
  <si>
    <t>Derived calculation, Linux/x86: 0.25 vCPU x $0.04048/hr x 730 hrs = $7.39, plus 0.5 GB x $0.004445/hr x 730 hrs = $1.62; total $9.01/month. No ephemeral-storage or data-transfer charges included (first 20GB ephemeral storage/task is free).</t>
  </si>
  <si>
    <t>Monthly example: 1 vCPU / 2 GB always-on task</t>
  </si>
  <si>
    <t>Derived calculation, Linux/x86: 1 vCPU x $0.04048/hr x 730 hrs = $29.55, plus 2 GB x $0.004445/hr x 730 hrs = $6.49; total $36.04/month. Same caveats as above row.</t>
  </si>
  <si>
    <t>vCPU-hour (for Aurora PostgreSQL instances)</t>
  </si>
  <si>
    <t>USE1-RDS:ProxyUsage SKU, databaseEngine=Aurora PostgreSQL, same offer file as the Aurora rows above (publicationDate 2026-07-21). Priced per vCPU of the underlying Aurora PostgreSQL instance(s) associated with the proxy, uniform across engines (MySQL/PostgreSQL/MariaDB/Aurora all $0.015/vCPU-hr); when fronting Aurora Serverless v2 the equivalent meter is $0.015/ACU-hour (USE1-RDS:Proxy-ASv2-Usage).</t>
  </si>
  <si>
    <t>AMAZON API GATEWAY</t>
  </si>
  <si>
    <t>ApiGatewayRequest (REST API request charge, first 333M/month tier)</t>
  </si>
  <si>
    <t>USD per million requests</t>
  </si>
  <si>
    <t>https://pricing.us-east-1.amazonaws.com/offers/v1.0/aws/AmazonApiGateway/current/us-east-1/index.json</t>
  </si>
  <si>
    <t>As of AWS Price List Bulk API version 20251120010652 (publicationDate 2025-11-20; confirmed still current on 2026-07-22 via the 'current' alias). REST API pricing tiers: $3.50/M (first 333M/mo), $2.80/M (next 667M), $2.38/M (next 19B), $1.51/M (over 20B/mo). Alternate: HTTP API (usagetype ApiGatewayHttpRequest) is $1.00/M requests for the first 300M/mo, $0.90/M thereafter. No perpetual free tier priced gross (the 12-month new-account free tier of 1M REST API calls/month is excluded per brief).</t>
  </si>
  <si>
    <t>AWS LAMBDA</t>
  </si>
  <si>
    <t>Lambda-GB-Second (x86, Total Compute, Tier-1)</t>
  </si>
  <si>
    <t>USD per GB-second</t>
  </si>
  <si>
    <t>https://pricing.us-east-1.amazonaws.com/offers/v1.0/aws/AWSLambda/current/us-east-1/index.json</t>
  </si>
  <si>
    <t>As of AWS Price List Bulk API version 20260717075216 (publicationDate 2026-07-17). x86 duration Tier-1 (up to 6B GB-s/month): $0.0000166667/GB-s; Tier-2: $0.0000150000; Tier-3: $0.0000133334. Priced gross; excludes the perpetual monthly free tier (400,000 GB-s + 1M requests).</t>
  </si>
  <si>
    <t>Request (x86, Total Requests)</t>
  </si>
  <si>
    <t>USD per 1M requests</t>
  </si>
  <si>
    <t>As of AWS Price List Bulk API version 20260717075216 (publicationDate 2026-07-17). Unit price is $0.0000002/request = $0.20 per 1M requests. Priced gross; excludes the perpetual monthly free tier (1M requests).</t>
  </si>
  <si>
    <t>AMAZON S3 STANDARD</t>
  </si>
  <si>
    <t>TimedStorage-ByteHrs (General Purpose, first 50 TB/month)</t>
  </si>
  <si>
    <t>https://pricing.us-east-1.amazonaws.com/offers/v1.0/aws/AmazonS3/current/us-east-1/index.json</t>
  </si>
  <si>
    <t>As of AWS Price List Bulk API version 20260720184843 (publicationDate 2026-07-20). First 50TB/mo tier $0.023/GB-mo; next 450TB $0.022; over 500TB $0.021. No free tier for storage beyond the 12-month 5GB new-account allotment; priced gross.</t>
  </si>
  <si>
    <t>Requests-Tier1 (PUT, COPY, POST, or LIST requests)</t>
  </si>
  <si>
    <t>USD per 1,000 requests</t>
  </si>
  <si>
    <t>As of AWS Price List Bulk API version 20260720184843 (publicationDate 2026-07-20). $0.005 per 1,000 PUT/COPY/POST/LIST requests (i.e. $0.005/1000 PUT as requested).</t>
  </si>
  <si>
    <t>Requests-Tier2 (GET and all other requests)</t>
  </si>
  <si>
    <t>As of AWS Price List Bulk API version 20260720184843 (publicationDate 2026-07-20). Bulk file lists it as $0.004/10,000 GET requests = $0.0004 per 1,000 GET requests.</t>
  </si>
  <si>
    <t>AMAZON SQS</t>
  </si>
  <si>
    <t>Requests-RBP (standard queue, Tier1, first 1B requests/month equivalent)</t>
  </si>
  <si>
    <t>https://pricing.us-east-1.amazonaws.com/offers/v1.0/aws/AWSQueueService/current/us-east-1/index.json</t>
  </si>
  <si>
    <t>As of AWS Price List Bulk API version 20250828200713 (publicationDate 2025-08-28; re-checked against the 'current' alias on 2026-07-22 and confirmed unchanged/still current). Standard queue request-based pricing: Tier1 $0.40/M, Tier2 $0.30/M, Tier3 $0.24/M requests. Priced gross; excludes the perpetual monthly free tier (1M requests).</t>
  </si>
  <si>
    <t>AMAZON EVENTBRIDGE</t>
  </si>
  <si>
    <t>USE1-Event-64K-Chunks (custom events received)</t>
  </si>
  <si>
    <t>USD per million events</t>
  </si>
  <si>
    <t>https://pricing.us-east-1.amazonaws.com/offers/v1.0/aws/AWSEvents/current/us-east-1/index.json</t>
  </si>
  <si>
    <t>As of AWS Price List Bulk API version 20260529205301 (publicationDate 2026-05-29). $1.00 per million custom events received (each 64KB chunk billed as one event-equivalent).</t>
  </si>
  <si>
    <t>AMAZON EVENTBRIDGE SCHEDULER</t>
  </si>
  <si>
    <t>USE1-ScheduledInvocation</t>
  </si>
  <si>
    <t>USD per million invocations</t>
  </si>
  <si>
    <t>As of AWS Price List Bulk API version 20260529205301 (publicationDate 2026-05-29). $1.00 per million scheduled invocations; priced gross (the first 14M scheduled invocations/month are free-tier priced at $0 in the same file).</t>
  </si>
  <si>
    <t>AMAZON CLOUDWATCH</t>
  </si>
  <si>
    <t>USE1-DataProcessing-Bytes (Ingested Logs, Standard log class)</t>
  </si>
  <si>
    <t>USD per GB</t>
  </si>
  <si>
    <t>https://pricing.us-east-1.amazonaws.com/offers/v1.0/aws/AmazonCloudWatch/current/us-east-1/index.json</t>
  </si>
  <si>
    <t>As of AWS Price List Bulk API version 20260716124606 (publicationDate 2026-07-16). $0.50/GB for custom log data ingested (Standard log class).</t>
  </si>
  <si>
    <t>USE1-TimedStorage-ByteHrs (log storage, current pricing)</t>
  </si>
  <si>
    <t>As of AWS Price List Bulk API version 20260716124606 (publicationDate 2026-07-16). $0.03/GB-month of log storage.</t>
  </si>
  <si>
    <t>CW:MetricMonitorUsage (custom metrics, first 10,000 metrics)</t>
  </si>
  <si>
    <t>USD per metric-month</t>
  </si>
  <si>
    <t>As of AWS Price List Bulk API version 20260716124606 (publicationDate 2026-07-16). $0.30/metric-month for the first 10,000 metrics; $0.10 for the next 240,000; $0.05 for the next 750,000; $0.02 over 1,000,000. Excludes free-tier first 10 metrics.</t>
  </si>
  <si>
    <t>Dashboard (Basic Dashboard)</t>
  </si>
  <si>
    <t>USD per dashboard per month</t>
  </si>
  <si>
    <t>https://calculator.aws/pricing/2.0/meteredUnitMaps/cloudwatch/USD/current/cloudwatch.json</t>
  </si>
  <si>
    <t>Dashboards are absent from the standard Price List Bulk API JSON for AmazonCloudWatch (confirmed by exhaustive text search of that file); sourced instead from AWS's Pricing Calculator metered-unit-map for CloudWatch, esIndex/publicationDate 20260716124606 -- matching the same version/date as the bulk file above, confirming currency. $3.00 per dashboard per month (first 3 dashboards/month free tier excluded, priced gross).</t>
  </si>
  <si>
    <t>USE1-Fargate-vCPU-Hours:perCPU (Linux/x86)</t>
  </si>
  <si>
    <t>As of AWS Price List Bulk API version 20260707160651 (publicationDate 2026-07-07). Fargate has no dedicated top-level offer code; billed/listed under AmazonECS. Linux/x86 vCPU rate is $0.040480/vCPU-hour (ARM variant is $0.03238/vCPU-hour, listed separately, not used here).</t>
  </si>
  <si>
    <t>USE1-Fargate-GB-Hours (Linux/x86 Memory)</t>
  </si>
  <si>
    <t>As of AWS Price List Bulk API version 20260707160651 (publicationDate 2026-07-07). Linux/x86 memory rate is $0.004445/GB-hour (ARM variant $0.00356/GB-hour, not used here).</t>
  </si>
  <si>
    <t>APPLICATION LOAD BALANCER</t>
  </si>
  <si>
    <t>LoadBalancerUsage (Application LoadBalancer-hour)</t>
  </si>
  <si>
    <t>USD per ALB-hour</t>
  </si>
  <si>
    <t>https://pricing.us-east-1.amazonaws.com/offers/v1.0/aws/AWSELB/current/us-east-1/index.json</t>
  </si>
  <si>
    <t>As of AWS Price List Bulk API version 20260720184950 (publicationDate 2026-07-20). $0.0225 per Application LoadBalancer-hour (or partial hour).</t>
  </si>
  <si>
    <t>LCUUsage (Application load balancer capacity unit-hour)</t>
  </si>
  <si>
    <t>USD per LCU-hour</t>
  </si>
  <si>
    <t>As of AWS Price List Bulk API version 20260720184950 (publicationDate 2026-07-20). $0.008 per used Application load balancer capacity unit-hour (or partial hour).</t>
  </si>
  <si>
    <t>NAT GATEWAY</t>
  </si>
  <si>
    <t>Hourly charge for NAT Gateways</t>
  </si>
  <si>
    <t>https://calculator.aws/pricing/2.0/meteredUnitMaps/ec2/USD/current/natgateway.json</t>
  </si>
  <si>
    <t>NAT Gateway is billed under the EC2 service code, not AmazonVPC (confirmed absent from AmazonVPC bulk file by exhaustive usagetype search); the AmazonEC2 bulk price-list file itself is ~480MB and impractical to fetch directly, so this was sourced from AWS's Pricing Calculator metered-unit-map for EC2 (natgateway.json), esIndex plc-ec2-usd-20260722075327 -- dated 2026-07-22 (today), the freshest data point of this research. $0.045 per NAT Gateway-hour for US East (N. Virginia).</t>
  </si>
  <si>
    <t>Charge for per GB data processed by NatGateways</t>
  </si>
  <si>
    <t>Same source as NAT Gateway hourly rate above (esIndex plc-ec2-usd-20260722075327, dated 2026-07-22). $0.045 per GB of data processed by NAT Gateways for US East (N. Virginia).</t>
  </si>
  <si>
    <t>AWS SECRETS MANAGER</t>
  </si>
  <si>
    <t>USE1-AWSSecretsManager-Secrets</t>
  </si>
  <si>
    <t>USD per secret per month</t>
  </si>
  <si>
    <t>https://pricing.us-east-1.amazonaws.com/offers/v1.0/aws/AWSSecretsManager/current/us-east-1/index.json</t>
  </si>
  <si>
    <t>As of AWS Price List Bulk API version 20250828153804 (publicationDate 2025-08-28; re-checked against the 'current' alias on 2026-07-22, confirmed unchanged). $0.40 per secret per month.</t>
  </si>
  <si>
    <t>USE1-AWSSecretsManagerAPIRequest</t>
  </si>
  <si>
    <t>USD per 10,000 API requests</t>
  </si>
  <si>
    <t>As of AWS Price List Bulk API version 20250828153804 (publicationDate 2025-08-28). $0.05 per 10,000 API requests.</t>
  </si>
  <si>
    <t>VPC INTERFACE ENDPOINT (PRIVATELINK)</t>
  </si>
  <si>
    <t>USE1-VpcEndpoint-Hours (endpointType: PrivateLink)</t>
  </si>
  <si>
    <t>USD per endpoint-hour</t>
  </si>
  <si>
    <t>https://pricing.us-east-1.amazonaws.com/offers/v1.0/aws/AmazonVPC/current/us-east-1/index.json</t>
  </si>
  <si>
    <t>As of AWS Price List Bulk API version 20260713171339 (publicationDate 2026-07-13). SKU attributes explicitly tag endpointType='PrivateLink' (distinct from the Gateway Load Balancer Endpoint SKU, also $0.01/hr but endpointType='Gateway Load Balancer Endpoint', and the Resource-endpoint SKU at $0.02/hr, endpointType='Resource'). $0.01 per VPC (Interface) Endpoint Hour.</t>
  </si>
  <si>
    <t>USE1-VpcEndpoint-Bytes (endpointType: PrivateLink, up to 1PB/month)</t>
  </si>
  <si>
    <t>As of AWS Price List Bulk API version 20260713171339 (publicationDate 2026-07-13). Same SKU family as the endpoint-hour rate above (endpointType='PrivateLink'). Tiered: $0.01/GB up to 1PB/month, $0.006/GB 1-5PB/month, $0.004/GB over 5PB/month; first (lowest) tier quoted.</t>
  </si>
  <si>
    <t>AMAZON CLOUDFRONT</t>
  </si>
  <si>
    <t>US-DataTransfer-Out-Bytes (first 10 TB/month tier)</t>
  </si>
  <si>
    <t>https://pricing.us-east-1.amazonaws.com/offers/v1.0/aws/AmazonCloudFront/current/aws-other/index.json</t>
  </si>
  <si>
    <t>CloudFront is a global service; the actual US-tier data-transfer/HTTPS-request consumer pricing is filed under the region_index location key 'aws-other', NOT 'us-east-1' (which only contains Lambda@Edge/Origin Shield SKUs). As of AWS Price List Bulk API version 20250701211647 (publicationDate 2025-07-01). $0.085/GB for the first 10TB/month of data transfer out (US); subsequent tiers step down to $0.020/GB over 5PB/month.</t>
  </si>
  <si>
    <t>US-Requests-Tier2-HTTPS</t>
  </si>
  <si>
    <t>USD per 10,000 HTTPS requests</t>
  </si>
  <si>
    <t>Same source/version as the CloudFront data-transfer rate above (version 20250701211647, publicationDate 2025-07-01). $0.01 per 10,000 HTTPS requests (US).</t>
  </si>
  <si>
    <t>AWS APPSYNC</t>
  </si>
  <si>
    <t>USE1-GraphQLInvocation</t>
  </si>
  <si>
    <t>USD per million operations</t>
  </si>
  <si>
    <t>https://pricing.us-east-1.amazonaws.com/offers/v1.0/aws/AWSAppSync/current/us-east-1/index.json</t>
  </si>
  <si>
    <t>As of AWS Price List Bulk API version 20250623155322 (publicationDate 2025-06-23; re-checked against 'current' alias on 2026-07-22, confirmed unchanged). $4 per million query and data-modification (mutation) operations.</t>
  </si>
  <si>
    <t>USE1-GraphQLNotification</t>
  </si>
  <si>
    <t>USD per million real-time updates</t>
  </si>
  <si>
    <t>Same source/version as the AppSync operations rate above (version 20250623155322, publicationDate 2025-06-23). $2 per million real-time (subscription) updates.</t>
  </si>
  <si>
    <t>USE1-ConnectionDuration</t>
  </si>
  <si>
    <t>USD per million connection-minutes</t>
  </si>
  <si>
    <t>Same source/version as above (version 20250623155322, publicationDate 2025-06-23). $0.08 per million minutes of connection.</t>
  </si>
  <si>
    <t>BEDROCK - ANTHROPIC CLAUDE OPUS 4.8</t>
  </si>
  <si>
    <t>Input tokens (cross-region Global inference profile)</t>
  </si>
  <si>
    <t>USD per 1M input tokens</t>
  </si>
  <si>
    <t>https://aws.amazon.com/bedrock/pricing/</t>
  </si>
  <si>
    <t>Matches first-party $5/MTok exactly. Verified via raw AWS Price List API (AmazonBedrockFoundationModels offer, us-east-1, publicationDate 2026-07-03T08:58:57Z, SKU usagetype USE1-MP:USE1_input_tokens_global_standard-Units) and the live aws.amazon.com/bedrock/pricing table. Direct single-region ('Standard', non-cross-region) invocation is 10% higher at $5.50/MTok input in us-east-1 — flag this nuance for TCO modeling. GovCloud (US-East/US-West) pricing is different ($6.00/MTok) and not applicable to commercial us-east-1.</t>
  </si>
  <si>
    <t>Output tokens (cross-region Global inference profile)</t>
  </si>
  <si>
    <t>USD per 1M output tokens</t>
  </si>
  <si>
    <t>Matches first-party $25/MTok exactly. Same source as input row. Regional/direct 'Standard' variant is $27.50/MTok (10% premium over Global/cross-region).</t>
  </si>
  <si>
    <t>Prompt cache write, 5-minute TTL</t>
  </si>
  <si>
    <t>Global/cross-region rate (1.25x base input, matching Anthropic's standard cache multiplier). Regional 'Standard' variant is $6.875/MTok.</t>
  </si>
  <si>
    <t>Prompt cache write, 1-hour TTL</t>
  </si>
  <si>
    <t>Global/cross-region rate (2x base input). Regional 'Standard' variant is $11.00/MTok. Matches GovCloud table's own $12/$7.50 pattern proportionally scaled to the lower commercial base price.</t>
  </si>
  <si>
    <t>Prompt cache read</t>
  </si>
  <si>
    <t>Global/cross-region rate (0.1x base input, i.e. 90% discount). Regional 'Standard' variant is $0.55/MTok. Claude Opus 4.5 carries the identical price schedule to 4.8 in this price list.</t>
  </si>
  <si>
    <t>BEDROCK - ANTHROPIC CLAUDE SONNET 5</t>
  </si>
  <si>
    <t>Confirms Bedrock IS currently running the promotional launch price ($2/$10), matching first-party. Page text: 'Claude Sonnet 5 promotional launch pricing of $2/$10 per million input/output tokens is in effect through August 31, 2026, after which the standard pricing of $3/$15 per million input/output tokens will take effect.' Verified against raw AmazonBedrockFoundationModels price-list JSON (SKU usagetype USE1-MP:USE1_input_tokens_global_standard-Units = 2.00). Direct-region 'Standard' variant is $2.20/MTok. Re-check after 2026-08-31 for the $3/$15 step-up — unclear if it applies to only first-party or also to the Bedrock Global rate.</t>
  </si>
  <si>
    <t>Promotional rate, in effect through 2026-08-31; becomes $15.00/MTok after per AWS's own footnote. Direct-region 'Standard' variant is $11.00/MTok now.</t>
  </si>
  <si>
    <t>Global rate (1.25x current promo input price). Regional 'Standard' variant $2.75/MTok.</t>
  </si>
  <si>
    <t>Global rate (2x current promo input price). Regional 'Standard' variant $4.40/MTok.</t>
  </si>
  <si>
    <t>Global rate (0.1x current promo input price). Regional 'Standard' variant $0.22/MTok. No Sonnet-5 batch SKU found yet in the us-east-1 price list as of 2026-07-03 — batch inference for this model may not be GA.</t>
  </si>
  <si>
    <t>BEDROCK - ANTHROPIC CLAUDE HAIKU 4.5</t>
  </si>
  <si>
    <t>Matches first-party $1/MTok exactly. Verified via raw price-list JSON. Direct-region 'Standard' variant is $1.10/MTok.</t>
  </si>
  <si>
    <t>Matches first-party $5/MTok exactly. Direct-region 'Standard' variant is $5.50/MTok.</t>
  </si>
  <si>
    <t>Global rate. Regional 'Standard' variant $1.375/MTok.</t>
  </si>
  <si>
    <t>Global rate. Regional 'Standard' variant $2.20/MTok.</t>
  </si>
  <si>
    <t>Global rate. Regional 'Standard' variant $0.11/MTok.</t>
  </si>
  <si>
    <t>BEDROCK - AMAZON TITAN TEXT EMBEDDINGS V2</t>
  </si>
  <si>
    <t>Input tokens, on-demand</t>
  </si>
  <si>
    <t>$0.00002/1K tokens on the page; confirmed against raw AmazonBedrock price-list JSON (usagetype USE1-TitanEmbeddingV2-Text-input-tokens, publicationDate 2026-07-20T21:52:47Z). No separate output-token charge — embeddings models are billed on input tokens only.</t>
  </si>
  <si>
    <t>Input tokens, batch mode</t>
  </si>
  <si>
    <t>$0.00001/1K tokens (usagetype USE1-TitanEmbeddingV2-Text-input-tokens-batch) — 50% discount vs on-demand, consistent with Bedrock's general batch-inference discount policy.</t>
  </si>
  <si>
    <t>BEDROCK AGENTCORE RUNTIME</t>
  </si>
  <si>
    <t>vCPU consumption</t>
  </si>
  <si>
    <t>https://aws.amazon.com/bedrock/agentcore/pricing/</t>
  </si>
  <si>
    <t>Verified against raw AmazonBedrockAgentCore price-list JSON (usagetype USE1-Runtime:Consumption-based:vCPU, publicationDate 2026-07-20T18:00:57Z). Identical rate also applies to AgentCore Browser Tool and Code Interpreter vCPU consumption (same SKUs pattern).</t>
  </si>
  <si>
    <t>Memory consumption</t>
  </si>
  <si>
    <t>Verified against raw price-list JSON (usagetype USE1-Runtime:Consumption-based:Memory). Identical rate applies to Browser Tool and Code Interpreter memory consumption.</t>
  </si>
  <si>
    <t>BEDROCK AGENTCORE MEMORY</t>
  </si>
  <si>
    <t>Short-term memory events</t>
  </si>
  <si>
    <t>USD per 1,000 new events</t>
  </si>
  <si>
    <t>Raw meter is $0.00025 per event (usagetype USE1-Memory:Consumption-based:Short-Term-Memory). This is the client's requested 'AgentCore Memory' line — short-term event ingestion.</t>
  </si>
  <si>
    <t>Long-term storage, built-in strategies</t>
  </si>
  <si>
    <t>USD per 1,000 memory records stored per month</t>
  </si>
  <si>
    <t>Raw meter $0.00075/MemoryStored-Month (usagetype USE1-Memory:Consumption-based:Long-Term-Memory-Storage:Built-in-memory). Applies when using AgentCore's built-in extraction/summarization strategies.</t>
  </si>
  <si>
    <t>Long-term storage, custom/self-managed strategies</t>
  </si>
  <si>
    <t>Raw meter $0.00025/MemoryStored-Month (usagetype USE1-Memory:Consumption-based:Long-Term-Memory-Storage:Custom-memory) — 3x cheaper than built-in strategies since you supply your own extraction logic.</t>
  </si>
  <si>
    <t>Long-term memory retrieval</t>
  </si>
  <si>
    <t>USD per 1,000 memory record retrievals</t>
  </si>
  <si>
    <t>Raw meter $0.0005/Memory-Retrieved (usagetype USE1-Memory:Consumption-based:Long-Term-Memory-Retrieval).</t>
  </si>
  <si>
    <t>BEDROCK AGENTCORE GATEWAY</t>
  </si>
  <si>
    <t>API invocations</t>
  </si>
  <si>
    <t>USD per 1,000 invocations</t>
  </si>
  <si>
    <t>Raw meter $0.000005/invocation (usagetype USE1-Gateway:Consumption-based:API-Invocations) — this is the standard tool-call meter the client asked for ('per 1k tool invocations').</t>
  </si>
  <si>
    <t>Search API invocations</t>
  </si>
  <si>
    <t>Raw meter $0.000025/invocation (usagetype USE1-Gateway:Consumption-based:Search-API) — 5x the plain API-invocation rate; applies to semantic tool-search calls.</t>
  </si>
  <si>
    <t>Tool indexing</t>
  </si>
  <si>
    <t>USD per 100 tools indexed per month</t>
  </si>
  <si>
    <t>Raw meter $0.0002/ToolIndex-Month (usagetype USE1-Gateway:Consumption-based:Tool-Indexing).</t>
  </si>
  <si>
    <t>Data egress (VPC target)</t>
  </si>
  <si>
    <t>Raw meter (usagetype USE1-Gateway:Consumption-based:TargetVpc-DataProcessing-Bytes) for commercial AWS regions.</t>
  </si>
  <si>
    <t>BEDROCK AGENTCORE IDENTITY</t>
  </si>
  <si>
    <t>OAuth token / API key requests</t>
  </si>
  <si>
    <t>Page text verbatim: '$0.010 per 1,000 token or API keys requested by the agent.' IMPORTANT: free of charge when Identity is invoked through AgentCore Runtime or AgentCore Gateway — this meter only bills for standalone/direct Identity calls outside those two paths. No SKU for this exists in the raw AmazonBedrockAgentCore price-list JSON snapshot pulled (25 SKUs, Identity absent) — price is sourced from the live pricing page text/worked example ('150K requests × $0.010/1,000 = $1.50') only, so treat the JSON-vs-page gap as a minor corroboration gap, not a contradiction of the $0.010 figure.</t>
  </si>
  <si>
    <t>BEDROCK EVALUATIONS (MODEL EVALUATION)</t>
  </si>
  <si>
    <t>LLM-as-a-judge token usage</t>
  </si>
  <si>
    <t>no separate meter — billed as judge model's standard on-demand tokens</t>
  </si>
  <si>
    <t>Page text verbatim (Model Evaluation section): 'If you use RAG evaluation or LLM-as-a-judge in Model Evaluation, the tokens that the judge model uses are charged based on the on-demand standard tier prices. The judge prompts are charged as part of your token usage.' usd=0 is correct here — there is genuinely no incremental per-evaluation fee; cost = (judge model's own input+output token rate from this same rate list) x tokens consumed by judge prompts/responses. RAG evaluation on a Knowledge Base additionally incurs standard KB usage charges.</t>
  </si>
  <si>
    <t>Human-based evaluation task</t>
  </si>
  <si>
    <t>USD per completed human task</t>
  </si>
  <si>
    <t>Page text verbatim: 'For human-based evaluation where you bring your own workstream, you are charged for the model inference in the evaluation, and a charge of $0.21 per completed human task.' Automatically-generated algorithmic scores are provided at no extra charge (separate from this line).</t>
  </si>
  <si>
    <t>BEDROCK GUARDRAILS</t>
  </si>
  <si>
    <t>Content filters (text)</t>
  </si>
  <si>
    <t>USD per 1,000 text units</t>
  </si>
  <si>
    <t>Verified against raw AmazonBedrock price-list JSON (usagetype USE1-Guardrail-ContentPolicyUnitsConsumed = $0.00015/TextUnit = $0.15/1,000, publicationDate 2026-07-20T21:52:47Z). Same $0.15/1,000-unit rate also applies to Denied-Topics policy. Other Guardrails meters found in the same feed for reference: image content filter $0.75/1,000 images, sensitive-info filter (paid path) $0.10/1,000, contextual grounding $0.10/1,000, Automated Reasoning checks $0.17/1,000 per policy; regex and word-list filters are free ($0).</t>
  </si>
  <si>
    <t>Content filters (image)</t>
  </si>
  <si>
    <t>USD per 1,000 images processed</t>
  </si>
  <si>
    <t>Raw meter $0.00075/image (usagetype USE1-Guardrail-ContentPolicyImageUnitsConsumed) — bonus line beyond the brief's core ask, included since it was directly verified alongside the text-unit price in the same feed.</t>
  </si>
  <si>
    <t>Pod Build -- client table shape + repo-real extras</t>
  </si>
  <si>
    <t>Pod</t>
  </si>
  <si>
    <t>Short Title</t>
  </si>
  <si>
    <t>AWS Components</t>
  </si>
  <si>
    <t>Points</t>
  </si>
  <si>
    <t>Run freq per mo</t>
  </si>
  <si>
    <t>Est data vol GB</t>
  </si>
  <si>
    <t>Input tokens K</t>
  </si>
  <si>
    <t>Output tokens K</t>
  </si>
  <si>
    <t>Cost estimate $ monthly</t>
  </si>
  <si>
    <t>Build cost (Points x PointRate)</t>
  </si>
  <si>
    <t>Basis / source</t>
  </si>
  <si>
    <t>Dense-arm mult. (0=off)</t>
  </si>
  <si>
    <t>A</t>
  </si>
  <si>
    <t>API GW entry + routing</t>
  </si>
  <si>
    <t>API Gateway (HttpApi)</t>
  </si>
  <si>
    <t>-</t>
  </si>
  <si>
    <t>Points: relative sizing, no client estimate supplied. Cost: ItemsPerMonth requests through the /run route, ApiGatewayRequest rate. template.yaml:589-599.</t>
  </si>
  <si>
    <t>Lambda authorizer</t>
  </si>
  <si>
    <t>Lambda (auth check)</t>
  </si>
  <si>
    <t>No JWT Lambda authorizer exists in the repo today (auth is an API-key header) -- arch_infra_persistence.md D.1. RATE_MISSING: $0, un-costed, not free, until this component is actually built.</t>
  </si>
  <si>
    <t>Ingestion Coordinator (ETL worker)</t>
  </si>
  <si>
    <t>Lambda EtlFn, 3008MB, SQS-triggered</t>
  </si>
  <si>
    <t>template.yaml:16-25 EtlFn 3008MB default memory, SQS BatchSize 5. Duration ASSUMPTION (~2s/product, no repo timing evidence); GB-second + per-request Lambda rates.</t>
  </si>
  <si>
    <t>Sanity Check (validate/quarantine)</t>
  </si>
  <si>
    <t>In-process in EtlFn -- no separate Lambda</t>
  </si>
  <si>
    <t>etl_handler.py _process_object/_quarantine run inside EtlFn -- no incremental compute cost beyond the Ingestion Coordinator line above.</t>
  </si>
  <si>
    <t>CloudWatch (logs + metrics)</t>
  </si>
  <si>
    <t>CloudWatch log groups, EMF metrics, dashboard</t>
  </si>
  <si>
    <t>~2KB structured log per product ASSUMPTION; 15 custom EMF metrics per MEMORY note; 1 dashboard. arch_infra_persistence.md A.8.</t>
  </si>
  <si>
    <t>S3 raw landing</t>
  </si>
  <si>
    <t>S3 RawFeedBucket</t>
  </si>
  <si>
    <t>template.yaml:176-198 RawFeedBucket, EventBridge-notification-enabled. 1 PUT/vendor object at ingest, storage sized via StoragePerItemKB.</t>
  </si>
  <si>
    <t>EventBridge Scheduler (poller)</t>
  </si>
  <si>
    <t>EventBridge Scheduler, cron twice-monthly</t>
  </si>
  <si>
    <t>2</t>
  </si>
  <si>
    <t>PollerFn cron(0 6 1,15 * ? *) -- twice-monthly, not per-product. arch_infra_persistence.md A.1/A.3.</t>
  </si>
  <si>
    <t>EventBridge ObjectCreated rule</t>
  </si>
  <si>
    <t>EventBridge rule, S3-&gt;SQS</t>
  </si>
  <si>
    <t>RawFeedIngressRule on default bus, S3 Object Created -&gt; EtlQueue. arch_infra_persistence.md A.3.</t>
  </si>
  <si>
    <t>SQS (EtlQueue + DLQ)</t>
  </si>
  <si>
    <t>SQS standard queue + DLQ</t>
  </si>
  <si>
    <t>EtlQueue BatchSize 5, DLQ after 3 receives. template.yaml A.2.</t>
  </si>
  <si>
    <t>ETL worker VPC egress (NAT)</t>
  </si>
  <si>
    <t>NAT Gateway (no-VPC EtlFn needs internet egress)</t>
  </si>
  <si>
    <t>EtlFn explicitly has NO VPC (template.yaml:488-491); NAT cost is carried once as a shared always-on line under Pod E Platform, not duplicated here -- see Pod E.</t>
  </si>
  <si>
    <t>S3 canonical sink</t>
  </si>
  <si>
    <t>S3 CleanCanonicalBucket</t>
  </si>
  <si>
    <t>CleanCanonicalBucket, written by etl_handler.py pass path. 1 PUT/product.</t>
  </si>
  <si>
    <t>S3 quarantine</t>
  </si>
  <si>
    <t>S3 QuarantineBucket</t>
  </si>
  <si>
    <t>QuarantineBucket, mutually exclusive with canonical PUT (bad-file path only) -- modelled at $0 incremental (rare-path, no repo-measured quarantine rate).</t>
  </si>
  <si>
    <t>B</t>
  </si>
  <si>
    <t>AIA Matching Engine gate A (scope)</t>
  </si>
  <si>
    <t>In-process, matching.py</t>
  </si>
  <si>
    <t>Deterministic Python gate, no separate compute -- folded into the matching Lambda compute already priced on the Strands Orchestrator line (Pod C). ZONES.md Zone 3.</t>
  </si>
  <si>
    <t>AIA Matching Engine gate B (precedent)</t>
  </si>
  <si>
    <t>In-process, aurora_memory.py CONSULT</t>
  </si>
  <si>
    <t>RATE_MISSING</t>
  </si>
  <si>
    <t>1 Aurora RDS Data API ExecuteStatement per item for precedent lookup (arch_infra_persistence.md C.4 roll-up), but rates.json has no per-request RDS Data API meter -- the underlying Aurora instance-hour cost is already priced on the Aurora 2xlarge line below; this row's incremental per-call charge is $0, un-costed not free, until a Data API request rate is sourced.</t>
  </si>
  <si>
    <t>AIA Matching Engine gate C (hybrid retrieval)</t>
  </si>
  <si>
    <t>FalkorDB on ECS (retrieval store)</t>
  </si>
  <si>
    <t>Always-on (shared, see Pod E)</t>
  </si>
  <si>
    <t>FalkorDB on Fargate is the live retrieval store (both deploy paths) -- always-on ECS task cost carried once under Pod E Platform, not duplicated per-pod. arch_infra_persistence.md A.8.</t>
  </si>
  <si>
    <t>Titan Embeddings (indexing/write path)</t>
  </si>
  <si>
    <t>Bedrock Titan Text Embeddings V2</t>
  </si>
  <si>
    <t>0.5</t>
  </si>
  <si>
    <t>0</t>
  </si>
  <si>
    <t>Titan IS called from projection_handler.py:483 on the write/index path only (not retrieval, which is parked). ~0.5K tokens/item ASSUMPTION for a short product description embed.</t>
  </si>
  <si>
    <t>OpenSearch fuzzy+kNN</t>
  </si>
  <si>
    <t>OpenSearch Service r7g.large.search + gp3 storage</t>
  </si>
  <si>
    <t>Always-on</t>
  </si>
  <si>
    <t>Template-real domain; write path real (_index_opensearch), matching read path today is a Jaro-Winkler/FalkorDB seam not OpenSearch kNN. Priced at the always-on domain cost the client's list implies. arch_infra_persistence.md A.7/A.8.</t>
  </si>
  <si>
    <t>Aurora 2xlarge (system of record)</t>
  </si>
  <si>
    <t>Aurora PostgreSQL, AuroraSize selector</t>
  </si>
  <si>
    <t>Client sketch says 'Aurora db 2xLarge'; repo-real deployed shape is Aurora Serverless v2 (db.serverless) -- material divergence, see Assumptions. This line prices the client's fixed-instance-class ask via the AuroraSize selector.</t>
  </si>
  <si>
    <t>C</t>
  </si>
  <si>
    <t>Strands Orchestrator Opus 4.8</t>
  </si>
  <si>
    <t>Lambda ScudoFn (3008MB) + Bedrock routing</t>
  </si>
  <si>
    <t>ScudoFn 3008MB default, no LLM call in Orchestrator.route() itself (deterministic Python). orchestrator.py:102-110; llm_call_model.md SS1.</t>
  </si>
  <si>
    <t>AgentCore Memory (short-term events)</t>
  </si>
  <si>
    <t>Bedrock AgentCore Memory meter (bespoke store)</t>
  </si>
  <si>
    <t>Client wants this priced; repo-real substrate is aurora_memory.py (bespoke), not the managed AgentCore Memory service (arch_infra_persistence.md D.1). Rate from Bedrock AgentCore Memory short-term-events meter, applied notionally as the client-facing unit-cost analog.</t>
  </si>
  <si>
    <t>AgentCore Memory (long-term records)</t>
  </si>
  <si>
    <t>Bedrock AgentCore Memory, built-in strategies</t>
  </si>
  <si>
    <t>1 long-term record/item ASSUMPTION (no repo-measured record count); rate VERIFIED from rates.json.</t>
  </si>
  <si>
    <t>AgentCore Memory (long-term retrieval)</t>
  </si>
  <si>
    <t>Bedrock AgentCore Memory retrieval meter</t>
  </si>
  <si>
    <t>1 retrieval/item ASSUMPTION; rate VERIFIED from rates.json.</t>
  </si>
  <si>
    <t>Specialist agent (mapping)</t>
  </si>
  <si>
    <t>Bedrock InvokeModel, ModelSKU-gated</t>
  </si>
  <si>
    <t>1 InvokeModel call/product via _call_mapping (orchestrator.py:191-203). SKU-gated token cost -- see Monthly TCO for the full CODE-VERIFIED LIKELY / CLIENT-SKETCH HIGH scenario rows.</t>
  </si>
  <si>
    <t>Verifier agent 10-dim</t>
  </si>
  <si>
    <t>1 InvokeModel call/product via _call_verifier (orchestrator.py:237-261), 10-dim rubric, VerifierReport min_length=10/max_length=10. schemas.py:219-247.</t>
  </si>
  <si>
    <t>Dense-arm optional (opus_dense per node)</t>
  </si>
  <si>
    <t>Bedrock InvokeModel, opt-in, default OFF</t>
  </si>
  <si>
    <t>0.08</t>
  </si>
  <si>
    <t>Only fires if SCUDO_DENSE_BACKEND=opus (default jaro_winkler, infra/scudo-poc-app.yaml:76-79) -- OFF by default, amber multiplier default 0. When on: N calls/product, N=taxonomy nodes scored (14 in the demo fixture). llm_call_model.md SS1/SS3.</t>
  </si>
  <si>
    <t>Bedrock Evaluations (judge)</t>
  </si>
  <si>
    <t>LLM-as-judge, billed as judge model's own tokens</t>
  </si>
  <si>
    <t>No separate meter for LLM-as-judge (rates.json: billed as judge model's standard tokens). Repo has no real Bedrock Evaluations API call anywhere -- bespoke offline harness instead (arch_infra_persistence.md D.1). $0 incremental line, human-eval meter available in Rates if wired later.</t>
  </si>
  <si>
    <t>D</t>
  </si>
  <si>
    <t>JAPI Persist outbox writer</t>
  </si>
  <si>
    <t>Aurora ExecuteStatement (RDS Data API)</t>
  </si>
  <si>
    <t>~10 ExecuteStatement calls/fully-published product (outbox insert + projection rows) -- VERIFIED call count, arch_infra_persistence.md SSC, persistence-ops-per-product roll-up. No per-request RDS Data API rate in rates.json, so the incremental per-call charge is $0 (un-costed not free) until sourced; the Aurora instance-hour cost itself is priced separately on the Aurora 2xlarge line.</t>
  </si>
  <si>
    <t>Outbox sweep (EventBridge Schedule)</t>
  </si>
  <si>
    <t>rate(5 min) Scheduler -&gt; Lambda sweep</t>
  </si>
  <si>
    <t>8928</t>
  </si>
  <si>
    <t>rate(5 min) = 12/hr * 24 * mean(30.4 days) ~= 8928 invokes/mo, flat regardless of volume. projection_handler.py sweep_outbox; infra/HANDOVER_5zone_alignment.md.</t>
  </si>
  <si>
    <t>HITL AppSync API</t>
  </si>
  <si>
    <t>AppSync GraphQL ops + notifications</t>
  </si>
  <si>
    <t>6 GraphQL ops/HITL item (list+get+mutate+subscribe-notify) is an ASSUMPTION -- no repo-measured op count; HitlPct selector gates volume. rate VERIFIED from rates.json.</t>
  </si>
  <si>
    <t>HITL review ECS task (reviewer console)</t>
  </si>
  <si>
    <t>Fargate, always-on shared task</t>
  </si>
  <si>
    <t>Shared with Pod E platform ECS allocation -- this row shows the HITL-attributable slice only, full task priced once under Pod E to avoid double count.</t>
  </si>
  <si>
    <t>S3 projection sink + CloudFront invalidation</t>
  </si>
  <si>
    <t>S3 PUT/GET + CloudFront requests</t>
  </si>
  <si>
    <t>1 PUT (projection write) + 2 GET (dashboard reads)/item ASSUMPTION.</t>
  </si>
  <si>
    <t>E</t>
  </si>
  <si>
    <t>Fargate task, always-on, shared</t>
  </si>
  <si>
    <t>Actual live hybrid-retrieval substrate (Neptune/OpenSearch-kNN are dormant seams). 1 vCPU / 2GB always-on Fargate task. ZONES.md Zone3; ua-dogfood-scudo memory.</t>
  </si>
  <si>
    <t>CloudFront distribution</t>
  </si>
  <si>
    <t>Requests + data transfer out, PoC demo</t>
  </si>
  <si>
    <t>50000</t>
  </si>
  <si>
    <t>10</t>
  </si>
  <si>
    <t>50k requests / 10GB out per month is an ASSUMPTION sized for a PoC-scale demo, not production traffic -- see Assumptions sheet.</t>
  </si>
  <si>
    <t>ALB (console + API ingress)</t>
  </si>
  <si>
    <t>Hourly + LCU-hours, always-on</t>
  </si>
  <si>
    <t>1 ALB, always-on hourly charge + nominal LCU-hours. infra/scudo-poc-*.yaml.</t>
  </si>
  <si>
    <t>NAT Gateway (VPC egress)</t>
  </si>
  <si>
    <t>Hourly + per-GB processed, always-on</t>
  </si>
  <si>
    <t>20</t>
  </si>
  <si>
    <t>20GB/mo egress ASSUMPTION (ETL worker + Lambda-in-VPC egress); this is the priced line that Pod A's nat_share and Pod B's aurora_ops VPC path reference.</t>
  </si>
  <si>
    <t>Secrets Manager (DB + API creds)</t>
  </si>
  <si>
    <t>Per-secret + API-call meter</t>
  </si>
  <si>
    <t>4 secrets (CONSOLE_DB_PASSWORD, Bedrock/API keys, MFT gateway cred, JWT signing key).</t>
  </si>
  <si>
    <t>VPC Interface Endpoints</t>
  </si>
  <si>
    <t>Per-endpoint-hour + per-GB, always-on</t>
  </si>
  <si>
    <t>3 endpoints ASSUMPTION (Secrets Manager, Bedrock, S3-gateway-equivalent) -- no repo-measured endpoint count.</t>
  </si>
  <si>
    <t>CodeBuild (console/dashboard build)</t>
  </si>
  <si>
    <t>Build-minute meter, deploy-time only</t>
  </si>
  <si>
    <t>No CodeBuild meter in Rates -- research/rates.json has zero CodeBuild entries. $0 visible, un-costed not free, until a real build-minute rate is sourced. scudo-poc-console-build CodeBuild project exists in-repo (deploy-time only, not steady-state run cost).</t>
  </si>
  <si>
    <t>TOTALS</t>
  </si>
  <si>
    <t>Total points / monthly cost / build cost</t>
  </si>
  <si>
    <t>Monthly TCO -- grouped by zone, formula-linked to Pod Build</t>
  </si>
  <si>
    <t>Zone</t>
  </si>
  <si>
    <t>Component</t>
  </si>
  <si>
    <t>Monthly cost formula</t>
  </si>
  <si>
    <t>ZONE 1 -- INGESTION</t>
  </si>
  <si>
    <t>Zone1</t>
  </si>
  <si>
    <t>API GW + Lambda ETL + S3 + SQS + EventBridge (Pod A total)</t>
  </si>
  <si>
    <t>Cross-links to Pod Build Pod A rows (4-15); avoids re-deriving the same formulas twice.</t>
  </si>
  <si>
    <t>ZONE 2 -- ETL / VALIDATION</t>
  </si>
  <si>
    <t>Zone2</t>
  </si>
  <si>
    <t>Sanity check + quarantine (folded into Pod A compute)</t>
  </si>
  <si>
    <t>No incremental Zone2 compute beyond Zone1's Ingestion Coordinator Lambda -- etl_handler.py validate/quarantine run in-process.</t>
  </si>
  <si>
    <t>ZONE 3 -- MATCHING</t>
  </si>
  <si>
    <t>Zone3</t>
  </si>
  <si>
    <t>Matching Engine + Titan + OpenSearch + Aurora (Pod B total)</t>
  </si>
  <si>
    <t>Cross-links to Pod Build Pod B rows (16-21).</t>
  </si>
  <si>
    <t>ZONE 4 -- AGENTIC</t>
  </si>
  <si>
    <t>Zone4</t>
  </si>
  <si>
    <t>Strands Orchestrator + AgentCore Memory (Pod C infra rows)</t>
  </si>
  <si>
    <t>Cross-links to Pod Build Pod C rows 22-25 (orchestrator Lambda + AgentCore Memory short-term/long-term/retrieval).</t>
  </si>
  <si>
    <t>LLM tokens -- CODE-VERIFIED LIKELY (default, feeds total)</t>
  </si>
  <si>
    <t>Sum of Specialist + Verifier lines (Pod Build rows 26-27) at the Control Panel's CODE-VERIFIED defaults (0.8K in / 0.25K out / 2 calls-item). llm_call_model.md SS3: ~$203/mo at Opus 4.8, 9,890 items/mo.</t>
  </si>
  <si>
    <t>LLM tokens -- CLIENT-SKETCH HIGH (scenario only, NOT in total)</t>
  </si>
  <si>
    <t>Client's original sketch: 4 calls/item, 50K in / 1K out per call. Shown as a labelled scenario for comparison -- excluded from MonthlyTCO total. llm_call_model.md SS3 narrative.</t>
  </si>
  <si>
    <t>LLM tokens -- DENSE-ARM OPTIONAL (default OFF, scenario only)</t>
  </si>
  <si>
    <t>Cross-links to Pod Build row 28 (opus_dense per taxonomy node); amber multiplier defaults 0 (off), matching deployed SCUDO_DENSE_BACKEND=jaro_winkler. llm_call_model.md SS1/SS3 (14-node demo fixture if enabled).</t>
  </si>
  <si>
    <t>Bedrock Evaluations (judge -- folded into Specialist/Verifier tokens)</t>
  </si>
  <si>
    <t>No separate meter; $0 incremental (Pod Build row 29).</t>
  </si>
  <si>
    <t>ZONE 5 -- PERSISTENCE / HITL</t>
  </si>
  <si>
    <t>Zone5</t>
  </si>
  <si>
    <t>Outbox + AppSync + ECS + projection sink (Pod D total)</t>
  </si>
  <si>
    <t>Cross-links to Pod Build Pod D rows 30-34.</t>
  </si>
  <si>
    <t>PLATFORM -- ALWAYS-ON (POD E)</t>
  </si>
  <si>
    <t>Platform</t>
  </si>
  <si>
    <t>FalkorDB + CloudFront + ALB + NAT + Secrets + VPC endpoints + CodeBuild</t>
  </si>
  <si>
    <t>Cross-links to Pod Build Pod E rows 35-41.</t>
  </si>
  <si>
    <t>Subtotal (excludes HIGH scenario row)</t>
  </si>
  <si>
    <t>Contingency uplift</t>
  </si>
  <si>
    <t>MONTHLY TCO (at Control Panel defaults)</t>
  </si>
  <si>
    <t>12-mo Run Cost -- ramp profile, Nov 2026 go-live</t>
  </si>
  <si>
    <t>Ramp class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</si>
  <si>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</si>
  <si>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</si>
  <si>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</si>
  <si>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</si>
  <si>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</si>
  <si>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</si>
  <si>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</si>
  <si>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</si>
  <si>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Jul 2027</t>
  </si>
  <si>
    <t>Aug 2027</t>
  </si>
  <si>
    <t>Sep 2027</t>
  </si>
  <si>
    <t>Oct 2027</t>
  </si>
  <si>
    <t>12-mo Total</t>
  </si>
  <si>
    <t>Ramp % (of steady-state) -- editable</t>
  </si>
  <si>
    <t>Pod A: API GW entry + routing</t>
  </si>
  <si>
    <t>Ramps</t>
  </si>
  <si>
    <t>Pod A: Lambda authorizer</t>
  </si>
  <si>
    <t>Pod A: Ingestion Coordinator (ETL worker)</t>
  </si>
  <si>
    <t>Pod A: Sanity Check (validate/quarantine)</t>
  </si>
  <si>
    <t>Pod A: CloudWatch (logs + metrics)</t>
  </si>
  <si>
    <t>Pod A: S3 raw landing</t>
  </si>
  <si>
    <t>Pod A: EventBridge Scheduler (poller)</t>
  </si>
  <si>
    <t>Pod A: EventBridge ObjectCreated rule</t>
  </si>
  <si>
    <t>Pod A: SQS (EtlQueue + DLQ)</t>
  </si>
  <si>
    <t>Pod A: ETL worker VPC egress (NAT)</t>
  </si>
  <si>
    <t>Pod A: S3 canonical sink</t>
  </si>
  <si>
    <t>Pod A: S3 quarantine</t>
  </si>
  <si>
    <t>Pod B: AIA Matching Engine gate A (scope)</t>
  </si>
  <si>
    <t>Pod B: AIA Matching Engine gate B (precedent)</t>
  </si>
  <si>
    <t>Pod B: AIA Matching Engine gate C (hybrid retrieval)</t>
  </si>
  <si>
    <t>Pod B: Titan Embeddings (indexing/write path)</t>
  </si>
  <si>
    <t>Pod B: OpenSearch fuzzy+kNN</t>
  </si>
  <si>
    <t>Pod B: Aurora 2xlarge (system of record)</t>
  </si>
  <si>
    <t>Pod C: Strands Orchestrator Opus 4.8</t>
  </si>
  <si>
    <t>Pod C: AgentCore Memory (short-term events)</t>
  </si>
  <si>
    <t>Pod C: AgentCore Memory (long-term records)</t>
  </si>
  <si>
    <t>Pod C: AgentCore Memory (long-term retrieval)</t>
  </si>
  <si>
    <t>Pod C: Specialist agent (mapping)</t>
  </si>
  <si>
    <t>Pod C: Verifier agent 10-dim</t>
  </si>
  <si>
    <t>Pod C: Dense-arm optional (opus_dense per node)</t>
  </si>
  <si>
    <t>Pod C: Bedrock Evaluations (judge)</t>
  </si>
  <si>
    <t>Pod D: JAPI Persist outbox writer</t>
  </si>
  <si>
    <t>Pod D: Outbox sweep (EventBridge Schedule)</t>
  </si>
  <si>
    <t>Pod D: HITL AppSync API</t>
  </si>
  <si>
    <t>Pod D: HITL review ECS task (reviewer console)</t>
  </si>
  <si>
    <t>Pod D: S3 projection sink + CloudFront invalidation</t>
  </si>
  <si>
    <t>Pod E: FalkorDB on ECS (retrieval store)</t>
  </si>
  <si>
    <t>Pod E: CloudFront distribution</t>
  </si>
  <si>
    <t>Pod E: ALB (console + API ingress)</t>
  </si>
  <si>
    <t>Pod E: NAT Gateway (VPC egress)</t>
  </si>
  <si>
    <t>Pod E: Secrets Manager (DB + API creds)</t>
  </si>
  <si>
    <t>Pod E: VPC Interface Endpoints</t>
  </si>
  <si>
    <t>Pod E: CodeBuild (console/dashboard build)</t>
  </si>
  <si>
    <t>Monthly total (all Pod Build lines)</t>
  </si>
  <si>
    <t>Gantt -- 14-week core (Pod lanes, parallel after 2-week foundation)</t>
  </si>
  <si>
    <t>Task</t>
  </si>
  <si>
    <t>Jul 26</t>
  </si>
  <si>
    <t>Aug 26</t>
  </si>
  <si>
    <t>Sep 26</t>
  </si>
  <si>
    <t>Oct 26</t>
  </si>
  <si>
    <t>Nov 26</t>
  </si>
  <si>
    <t>Week #</t>
  </si>
  <si>
    <t>Go-live range</t>
  </si>
  <si>
    <t>Id</t>
  </si>
  <si>
    <t>Start wk</t>
  </si>
  <si>
    <t>Wks</t>
  </si>
  <si>
    <t>Live start</t>
  </si>
  <si>
    <t>Live end</t>
  </si>
  <si>
    <t>G-A-1</t>
  </si>
  <si>
    <t>Pod A -- Ingestion foundation</t>
  </si>
  <si>
    <t>API GW, S3 buckets, EventBridge rule/scheduler, SQS provisioned first (shared foundation).</t>
  </si>
  <si>
    <t>G-A-1a</t>
  </si>
  <si>
    <t xml:space="preserve">    - IaC: template.yaml Pod A resources</t>
  </si>
  <si>
    <t>SAM stack apply.</t>
  </si>
  <si>
    <t>G-A-1b</t>
  </si>
  <si>
    <t xml:space="preserve">    - Smoke test: upload -&gt; canonical S3</t>
  </si>
  <si>
    <t>End-to-end ingest smoke.</t>
  </si>
  <si>
    <t>G-A-2</t>
  </si>
  <si>
    <t>Pod A -- ETL worker + validation live</t>
  </si>
  <si>
    <t>Ingestion Coordinator Lambda + sanity-check/quarantine path hardened.</t>
  </si>
  <si>
    <t>G-A-2a</t>
  </si>
  <si>
    <t xml:space="preserve">    - Build EtlFn + DLQ wiring</t>
  </si>
  <si>
    <t>template.yaml EtlFn.</t>
  </si>
  <si>
    <t>G-A-2b</t>
  </si>
  <si>
    <t xml:space="preserve">    - Quarantine + CloudWatch dashboards</t>
  </si>
  <si>
    <t>arch_infra_persistence.md A.8.</t>
  </si>
  <si>
    <t>G-B-1</t>
  </si>
  <si>
    <t>Pod B -- Matching engine + Titan + OpenSearch</t>
  </si>
  <si>
    <t>AIA Matching Engine gates A/B/C, Titan embeddings write path, OpenSearch index.</t>
  </si>
  <si>
    <t>G-B-1a</t>
  </si>
  <si>
    <t xml:space="preserve">    - Aurora 2xlarge provisioned</t>
  </si>
  <si>
    <t>System-of-record instance.</t>
  </si>
  <si>
    <t>G-B-1b</t>
  </si>
  <si>
    <t xml:space="preserve">    - OpenSearch fuzzy+kNN index build</t>
  </si>
  <si>
    <t>Dense + sparse arms.</t>
  </si>
  <si>
    <t>G-B-1c</t>
  </si>
  <si>
    <t xml:space="preserve">    - Matching gate A/B/C integration test</t>
  </si>
  <si>
    <t>Confidence-band gate.</t>
  </si>
  <si>
    <t>G-C-1</t>
  </si>
  <si>
    <t>Pod C -- Strands orchestrator + agents</t>
  </si>
  <si>
    <t>Orchestrator, AgentCore Memory, specialist + verifier agents wired to Bedrock.</t>
  </si>
  <si>
    <t>G-C-1a</t>
  </si>
  <si>
    <t xml:space="preserve">    - Strands Orchestrator Opus 4.8 wiring</t>
  </si>
  <si>
    <t>orchestrator.py.</t>
  </si>
  <si>
    <t>G-C-1b</t>
  </si>
  <si>
    <t xml:space="preserve">    - AgentCore Memory short/long-term</t>
  </si>
  <si>
    <t>Events + records + retrieval.</t>
  </si>
  <si>
    <t>G-C-1c</t>
  </si>
  <si>
    <t xml:space="preserve">    - Specialist + Verifier + Evaluations</t>
  </si>
  <si>
    <t>10-dim verifier gate.</t>
  </si>
  <si>
    <t>G-D-1</t>
  </si>
  <si>
    <t>Pod D -- Persistence + HITL</t>
  </si>
  <si>
    <t>Outbox writer, sweep schedule, AppSync HITL API, ECS reviewer console.</t>
  </si>
  <si>
    <t>G-D-1a</t>
  </si>
  <si>
    <t xml:space="preserve">    - JAPI Persist outbox + sweep</t>
  </si>
  <si>
    <t>Transactional outbox pattern.</t>
  </si>
  <si>
    <t>G-D-1b</t>
  </si>
  <si>
    <t xml:space="preserve">    - HITL AppSync + ECS console</t>
  </si>
  <si>
    <t>Reviewer UI live.</t>
  </si>
  <si>
    <t>G-D-1c</t>
  </si>
  <si>
    <t xml:space="preserve">    - Projection sink + CloudFront invalidation</t>
  </si>
  <si>
    <t>S3 projection publish.</t>
  </si>
  <si>
    <t>G-E-1</t>
  </si>
  <si>
    <t>Pod E -- Platform (VPC, security, CI/CD)</t>
  </si>
  <si>
    <t>FalkorDB, CloudFront, ALB, NAT, Secrets Manager, VPC endpoints, CodeBuild.</t>
  </si>
  <si>
    <t>G-E-1a</t>
  </si>
  <si>
    <t xml:space="preserve">    - VPC endpoints + NAT + Secrets Manager</t>
  </si>
  <si>
    <t>Network foundation.</t>
  </si>
  <si>
    <t>G-E-1b</t>
  </si>
  <si>
    <t xml:space="preserve">    - CodeBuild pipeline + FalkorDB ECS</t>
  </si>
  <si>
    <t>CI/CD + retrieval store.</t>
  </si>
  <si>
    <t>G-X-1</t>
  </si>
  <si>
    <t>Integration -- first delivery E2E</t>
  </si>
  <si>
    <t>ALL</t>
  </si>
  <si>
    <t>First vendor delivery run end-to-end through all 5 zones.</t>
  </si>
  <si>
    <t>G-X-1a</t>
  </si>
  <si>
    <t xml:space="preserve">    - E2E dry run against fixture delivery</t>
  </si>
  <si>
    <t>Smoke run.</t>
  </si>
  <si>
    <t>G-X-1b</t>
  </si>
  <si>
    <t xml:space="preserve">    - Fix findings from dry run</t>
  </si>
  <si>
    <t>Bug-fix buffer.</t>
  </si>
  <si>
    <t>G-X-2</t>
  </si>
  <si>
    <t>Go-live readiness -- HITL live + cutover</t>
  </si>
  <si>
    <t>HITL review live for reviewers, production cutover rehearsal, go-live.</t>
  </si>
  <si>
    <t>G-X-2a</t>
  </si>
  <si>
    <t xml:space="preserve">    - HITL reviewer UAT</t>
  </si>
  <si>
    <t>Reviewer sign-off.</t>
  </si>
  <si>
    <t>G-X-2b</t>
  </si>
  <si>
    <t xml:space="preserve">    - Production cutover rehearsal</t>
  </si>
  <si>
    <t>Dry-run cutover.</t>
  </si>
  <si>
    <t>G-X-2c</t>
  </si>
  <si>
    <t xml:space="preserve">    - Go-live 2026-11-01</t>
  </si>
  <si>
    <t>Live.</t>
  </si>
  <si>
    <t>Assumptions -- every ASSUMPTION / RATE_MISSING line, restated</t>
  </si>
  <si>
    <t>Location</t>
  </si>
  <si>
    <t>Item</t>
  </si>
  <si>
    <t>What was assumed</t>
  </si>
  <si>
    <t>Basis / how to correct</t>
  </si>
  <si>
    <t>Pod Build row 4</t>
  </si>
  <si>
    <t>Pod Build row 5</t>
  </si>
  <si>
    <t>Pod Build row 8</t>
  </si>
  <si>
    <t>Pod Build row 15</t>
  </si>
  <si>
    <t>Pod Build row 17</t>
  </si>
  <si>
    <t>Pod Build row 24</t>
  </si>
  <si>
    <t>Pod Build row 25</t>
  </si>
  <si>
    <t>Pod Build row 29</t>
  </si>
  <si>
    <t>Pod Build row 30</t>
  </si>
  <si>
    <t>Pod Build row 32</t>
  </si>
  <si>
    <t>Pod Build row 34</t>
  </si>
  <si>
    <t>Pod Build row 36</t>
  </si>
  <si>
    <t>Pod Build row 38</t>
  </si>
  <si>
    <t>Pod Build row 40</t>
  </si>
  <si>
    <t>Pod Build row 41</t>
  </si>
  <si>
    <t>OTHER NOTES (cross-cutting, not tied to a single Pod Build row)</t>
  </si>
  <si>
    <t>Control Panel</t>
  </si>
  <si>
    <t>AuroraSize=2xlarge vs Serverless v2</t>
  </si>
  <si>
    <t>Client sketch specifies a fixed db.r6g.2xlarge Single-AZ instance; the deployed repo stack (infra/scudo-poc-app.yaml) actually provisions Aurora Serverless v2 with an ACU range, not a fixed instance class. The workbook models the client's stated instance class (fixed-price, easier to reason about); to correct, re-price against the Serverless v2 ACU-hour meters in Rates and swap the AuroraSize IF-gate in Pod Build row 21 for an ACU-hour formula.</t>
  </si>
  <si>
    <t>StoragePerItemKB=50 (canonical JSON-LD per product)</t>
  </si>
  <si>
    <t>No repo-measured average canonical-JSON-LD payload size was found; 50KB/item is a round-number placeholder. To correct: sample real canonical objects from the CleanCanonicalBucket and replace the Control Panel default with a measured median.</t>
  </si>
  <si>
    <t>No JWT/Lambda authorizer exists in the deployed stack</t>
  </si>
  <si>
    <t>Auth today is an API-key header (arch_infra_persistence.md D.1), not a Lambda authorizer. Carried at $0 (un-costed, not free) until this component is actually built; if built, price it as a per-request Lambda invocation on the api_gw route.</t>
  </si>
  <si>
    <t>No RDS Data API / ExecuteStatement per-request meter in Rates</t>
  </si>
  <si>
    <t>research/rates.json has zero RDS Data API entries -- only Aurora instance-hour and storage/IO meters exist. The underlying Aurora instance cost IS priced (Pod Build row 21); only the per-call Data API charge itself is un-costed. To correct: source an official RDS Data API ExecuteStatement rate and add it to Rates.</t>
  </si>
  <si>
    <t>Same RDS Data API rate gap as row 17</t>
  </si>
  <si>
    <t>~10 ExecuteStatement calls/product is VERIFIED (arch_infra_persistence.md), but the per-call rate itself is RATE_MISSING for the same reason as row 17 above.</t>
  </si>
  <si>
    <t>No CodeBuild meter in Rates</t>
  </si>
  <si>
    <t>research/rates.json has zero CodeBuild entries (no build-minute meter sourced). Carried at $0 (un-costed, not free) until a CodeBuild compute-type rate is added to Rates.</t>
  </si>
  <si>
    <t>Pod Build row 28 / Monthly TCO Zone4</t>
  </si>
  <si>
    <t>Dense-arm optional (opus_dense per taxonomy node)</t>
  </si>
  <si>
    <t>Off by default, matches deployed config</t>
  </si>
  <si>
    <t>Deployed SCUDO_DENSE_BACKEND=jaro_winkler (infra/scudo-poc-app.yaml:76-79), not opus -- the dense-arm LLM-scoring path is currently disabled in production. The amber multiplier on Pod Build row 28 defaults to 0 for this reason; set &gt;0 only to model a future opus_dense_score rollout.</t>
  </si>
  <si>
    <t>Monthly TCO Zone4</t>
  </si>
  <si>
    <t>LLM tokens -- three scenario framings</t>
  </si>
  <si>
    <t>LIKELY (feeds total) vs HIGH (scenario only) vs DENSE (off)</t>
  </si>
  <si>
    <t>VERIFIED / ASSUMPTION</t>
  </si>
  <si>
    <t>LIKELY is CODE-VERIFIED against llm_call_model.md (~19.8K calls/mo, ~15.8M in + 4.9M out tokens, ~$203/mo at Opus 4.8 defaults). HIGH replays the client's original sketch numbers (4 calls/item, 50K in / 1K out) as a labelled comparison row, NOT fed into the total -- do not confuse the two when quoting a headline figure.</t>
  </si>
  <si>
    <t>Pod Build (Points column)</t>
  </si>
  <si>
    <t>Story points -- ASSUMPTION rows</t>
  </si>
  <si>
    <t>Client-supplied points kept where given; ASSUMPTION points elsewhere</t>
  </si>
  <si>
    <t>Rows without an explicit client point estimate use relative-sizing placeholders (blue font, hardcoded). PointRate defaults to 0 by design (RATE_MISSING convention) so the Build cost column shows visible zeros, not silent omission, until JPMC supplies a $/point 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</si>
</sst>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;&quot;($&quot;#,##0\);\-"/>
    <numFmt numFmtId="165" formatCode="#,##0;\(#,##0\);\-"/>
    <numFmt numFmtId="166" formatCode="\$#,##0.00;&quot;($&quot;#,##0.00\);\-"/>
    <numFmt numFmtId="167" formatCode="0.0%"/>
    <numFmt numFmtId="168" formatCode="0.000"/>
    <numFmt numFmtId="169" formatCode="\$#,##0.0000;&quot;($&quot;#,##0.0000\);\-"/>
    <numFmt numFmtId="170" formatCode="\$#,##0.00000000;&quot;($&quot;#,##0.00000000\);\-"/>
    <numFmt numFmtId="171" formatCode=";;;"/>
  </numFmts>
  <fonts count="13" x14ac:knownFonts="1">
    <font>
      <sz val="11"/>
      <color theme="1"/>
      <name val="Calibri"/>
      <family val="2"/>
      <charset val="1"/>
    </font>
    <font>
      <sz val="11"/>
      <color rgb="FF808080"/>
      <name val="Cambria"/>
      <family val="1"/>
    </font>
    <font>
      <b/>
      <sz val="14"/>
      <color rgb="FFFFFFFF"/>
      <name val="Arial"/>
      <family val="2"/>
    </font>
    <font>
      <sz val="11"/>
      <color theme="1"/>
      <name val="Arial"/>
      <family val="2"/>
    </font>
    <font>
      <i/>
      <sz val="11"/>
      <color rgb="FF808080"/>
      <name val="Arial"/>
      <family val="2"/>
    </font>
    <font>
      <b/>
      <sz val="11"/>
      <color rgb="FFFFFFFF"/>
      <name val="Arial"/>
      <family val="2"/>
    </font>
    <font>
      <sz val="11"/>
      <color rgb="FF008000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b/>
      <sz val="11"/>
      <color rgb="FFCC171E"/>
      <name val="Arial"/>
      <family val="2"/>
    </font>
    <font>
      <sz val="11"/>
      <color rgb="FF80808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  <fill>
      <patternFill patternType="solid">
        <fgColor rgb="FF595959"/>
        <bgColor rgb="FF2E7D32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7" fillId="4" borderId="1" xfId="0" applyFont="1" applyFill="1" applyBorder="1" applyAlignment="1">
      <alignment vertical="center"/>
    </xf>
    <xf numFmtId="0" fontId="5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166" fontId="6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166" fontId="8" fillId="0" borderId="0" xfId="0" applyNumberFormat="1" applyFont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71" fontId="3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/>
    </xf>
    <xf numFmtId="165" fontId="6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165" fontId="9" fillId="5" borderId="0" xfId="0" applyNumberFormat="1" applyFont="1" applyFill="1" applyAlignment="1">
      <alignment vertical="center"/>
    </xf>
    <xf numFmtId="167" fontId="9" fillId="5" borderId="0" xfId="0" applyNumberFormat="1" applyFont="1" applyFill="1" applyAlignment="1">
      <alignment vertical="center"/>
    </xf>
    <xf numFmtId="0" fontId="9" fillId="5" borderId="0" xfId="0" applyFont="1" applyFill="1" applyAlignment="1">
      <alignment vertical="center"/>
    </xf>
    <xf numFmtId="168" fontId="9" fillId="5" borderId="0" xfId="0" applyNumberFormat="1" applyFont="1" applyFill="1" applyAlignment="1">
      <alignment vertical="center"/>
    </xf>
    <xf numFmtId="166" fontId="9" fillId="5" borderId="0" xfId="0" applyNumberFormat="1" applyFont="1" applyFill="1" applyAlignment="1">
      <alignment vertical="center"/>
    </xf>
    <xf numFmtId="165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 wrapText="1"/>
    </xf>
    <xf numFmtId="166" fontId="9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69" fontId="9" fillId="0" borderId="0" xfId="0" applyNumberFormat="1" applyFont="1" applyAlignment="1">
      <alignment vertical="center"/>
    </xf>
    <xf numFmtId="164" fontId="9" fillId="0" borderId="0" xfId="0" applyNumberFormat="1" applyFont="1" applyAlignment="1">
      <alignment vertical="center"/>
    </xf>
    <xf numFmtId="170" fontId="9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168" fontId="3" fillId="0" borderId="0" xfId="0" applyNumberFormat="1" applyFont="1" applyAlignment="1">
      <alignment vertical="center"/>
    </xf>
    <xf numFmtId="165" fontId="8" fillId="6" borderId="0" xfId="0" applyNumberFormat="1" applyFont="1" applyFill="1" applyAlignment="1">
      <alignment vertical="center"/>
    </xf>
    <xf numFmtId="164" fontId="8" fillId="6" borderId="0" xfId="0" applyNumberFormat="1" applyFont="1" applyFill="1" applyAlignment="1">
      <alignment vertical="center"/>
    </xf>
    <xf numFmtId="0" fontId="0" fillId="0" borderId="0" xfId="0" applyAlignment="1">
      <alignment vertical="center" wrapText="1"/>
    </xf>
    <xf numFmtId="0" fontId="3" fillId="6" borderId="0" xfId="0" applyFont="1" applyFill="1" applyAlignment="1">
      <alignment vertical="center"/>
    </xf>
    <xf numFmtId="166" fontId="8" fillId="6" borderId="0" xfId="0" applyNumberFormat="1" applyFont="1" applyFill="1" applyAlignment="1">
      <alignment vertical="center"/>
    </xf>
    <xf numFmtId="164" fontId="7" fillId="6" borderId="0" xfId="0" applyNumberFormat="1" applyFont="1" applyFill="1" applyAlignment="1">
      <alignment vertical="center"/>
    </xf>
    <xf numFmtId="167" fontId="8" fillId="0" borderId="0" xfId="0" applyNumberFormat="1" applyFont="1" applyAlignment="1">
      <alignment vertical="center"/>
    </xf>
  </cellXfs>
  <cellStyles count="1">
    <cellStyle name="Normal" xfId="0" builtinId="0"/>
  </cellStyles>
  <dxfs count="16">
    <dxf>
      <fill>
        <patternFill>
          <bgColor rgb="FFA1C5A3"/>
        </patternFill>
      </fill>
    </dxf>
    <dxf>
      <fill>
        <patternFill>
          <bgColor rgb="FF2E7D32"/>
        </patternFill>
      </fill>
    </dxf>
    <dxf>
      <fill>
        <patternFill>
          <bgColor rgb="FFA1C5A3"/>
        </patternFill>
      </fill>
    </dxf>
    <dxf>
      <fill>
        <patternFill>
          <bgColor rgb="FF2E7D32"/>
        </patternFill>
      </fill>
    </dxf>
    <dxf>
      <fill>
        <patternFill>
          <bgColor rgb="FFA1C5A3"/>
        </patternFill>
      </fill>
    </dxf>
    <dxf>
      <fill>
        <patternFill>
          <bgColor rgb="FF2E7D32"/>
        </patternFill>
      </fill>
    </dxf>
    <dxf>
      <fill>
        <patternFill>
          <bgColor rgb="FFA1C5A3"/>
        </patternFill>
      </fill>
    </dxf>
    <dxf>
      <fill>
        <patternFill>
          <bgColor rgb="FF2E7D32"/>
        </patternFill>
      </fill>
    </dxf>
    <dxf>
      <fill>
        <patternFill>
          <bgColor rgb="FFA1C5A3"/>
        </patternFill>
      </fill>
    </dxf>
    <dxf>
      <fill>
        <patternFill>
          <bgColor rgb="FF2E7D32"/>
        </patternFill>
      </fill>
    </dxf>
    <dxf>
      <fill>
        <patternFill>
          <bgColor rgb="FFA1C5A3"/>
        </patternFill>
      </fill>
    </dxf>
    <dxf>
      <fill>
        <patternFill>
          <bgColor rgb="FF2E7D32"/>
        </patternFill>
      </fill>
    </dxf>
    <dxf>
      <fill>
        <patternFill>
          <bgColor rgb="FFA1C5A3"/>
        </patternFill>
      </fill>
    </dxf>
    <dxf>
      <fill>
        <patternFill>
          <bgColor rgb="FF2E7D32"/>
        </patternFill>
      </fill>
    </dxf>
    <dxf>
      <fill>
        <patternFill>
          <bgColor rgb="FFA1C5A3"/>
        </patternFill>
      </fill>
    </dxf>
    <dxf>
      <fill>
        <patternFill>
          <bgColor rgb="FF2E7D3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17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1C5A3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2E7D32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GB" sz="1800" b="1" u="none" strike="noStrike">
                <a:solidFill>
                  <a:srgbClr val="000000"/>
                </a:solidFill>
                <a:uFillTx/>
                <a:latin typeface="Calibri"/>
              </a:rPr>
              <a:t>Monthly TCO waterfall by zone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Overview!$B$10</c:f>
              <c:strCache>
                <c:ptCount val="1"/>
                <c:pt idx="0">
                  <c:v>Base (invisible)</c:v>
                </c:pt>
              </c:strCache>
            </c:strRef>
          </c:tx>
          <c:spPr>
            <a:noFill/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Overview!$A$11:$A$19</c:f>
              <c:strCache>
                <c:ptCount val="9"/>
                <c:pt idx="0">
                  <c:v>Zone1 Ingestion</c:v>
                </c:pt>
                <c:pt idx="1">
                  <c:v>Zone2 ETL/Validation</c:v>
                </c:pt>
                <c:pt idx="2">
                  <c:v>Zone3 Matching</c:v>
                </c:pt>
                <c:pt idx="3">
                  <c:v>Zone4 Orchestrator+Memory</c:v>
                </c:pt>
                <c:pt idx="4">
                  <c:v>Zone4 LLM tokens (LIKELY)</c:v>
                </c:pt>
                <c:pt idx="5">
                  <c:v>Zone4 Dense-arm (opt, 0 default)</c:v>
                </c:pt>
                <c:pt idx="6">
                  <c:v>Zone4 Evaluations</c:v>
                </c:pt>
                <c:pt idx="7">
                  <c:v>Zone5 Persistence/HITL</c:v>
                </c:pt>
                <c:pt idx="8">
                  <c:v>Platform (always-on)</c:v>
                </c:pt>
              </c:strCache>
            </c:strRef>
          </c:cat>
          <c:val>
            <c:numRef>
              <c:f>Overview!$B$11:$B$19</c:f>
              <c:numCache>
                <c:formatCode>\$#,##0.00;"($"#,##0.00\);\-</c:formatCode>
                <c:ptCount val="9"/>
                <c:pt idx="0">
                  <c:v>0</c:v>
                </c:pt>
                <c:pt idx="1">
                  <c:v>8.6509691701250002</c:v>
                </c:pt>
                <c:pt idx="2">
                  <c:v>8.6509691701250002</c:v>
                </c:pt>
                <c:pt idx="3">
                  <c:v>896.46036917012498</c:v>
                </c:pt>
                <c:pt idx="4">
                  <c:v>914.25404605518747</c:v>
                </c:pt>
                <c:pt idx="5">
                  <c:v>1116.9990460551876</c:v>
                </c:pt>
                <c:pt idx="6">
                  <c:v>1116.9990460551876</c:v>
                </c:pt>
                <c:pt idx="7">
                  <c:v>1116.9990460551876</c:v>
                </c:pt>
                <c:pt idx="8">
                  <c:v>1135.1323635551876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0-4849-8E06-8192A7809143}"/>
            </c:ext>
          </c:extLst>
        </c:ser>
        <c:ser>
          <c:idx val="1"/>
          <c:order val="1"/>
          <c:tx>
            <c:strRef>
              <c:f>Overview!$C$10</c:f>
              <c:strCache>
                <c:ptCount val="1"/>
                <c:pt idx="0">
                  <c:v>Block (visible)</c:v>
                </c:pt>
              </c:strCache>
            </c:strRef>
          </c:tx>
          <c:spPr>
            <a:solidFill>
              <a:srgbClr val="2E7D32"/>
            </a:solidFill>
            <a:ln w="1260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Overview!$A$11:$A$19</c:f>
              <c:strCache>
                <c:ptCount val="9"/>
                <c:pt idx="0">
                  <c:v>Zone1 Ingestion</c:v>
                </c:pt>
                <c:pt idx="1">
                  <c:v>Zone2 ETL/Validation</c:v>
                </c:pt>
                <c:pt idx="2">
                  <c:v>Zone3 Matching</c:v>
                </c:pt>
                <c:pt idx="3">
                  <c:v>Zone4 Orchestrator+Memory</c:v>
                </c:pt>
                <c:pt idx="4">
                  <c:v>Zone4 LLM tokens (LIKELY)</c:v>
                </c:pt>
                <c:pt idx="5">
                  <c:v>Zone4 Dense-arm (opt, 0 default)</c:v>
                </c:pt>
                <c:pt idx="6">
                  <c:v>Zone4 Evaluations</c:v>
                </c:pt>
                <c:pt idx="7">
                  <c:v>Zone5 Persistence/HITL</c:v>
                </c:pt>
                <c:pt idx="8">
                  <c:v>Platform (always-on)</c:v>
                </c:pt>
              </c:strCache>
            </c:strRef>
          </c:cat>
          <c:val>
            <c:numRef>
              <c:f>Overview!$C$11:$C$19</c:f>
              <c:numCache>
                <c:formatCode>\$#,##0.00;"($"#,##0.00\);\-</c:formatCode>
                <c:ptCount val="9"/>
                <c:pt idx="0">
                  <c:v>8.6509691701250002</c:v>
                </c:pt>
                <c:pt idx="1">
                  <c:v>0</c:v>
                </c:pt>
                <c:pt idx="2">
                  <c:v>887.80939999999998</c:v>
                </c:pt>
                <c:pt idx="3">
                  <c:v>17.793676885062503</c:v>
                </c:pt>
                <c:pt idx="4">
                  <c:v>202.745</c:v>
                </c:pt>
                <c:pt idx="5">
                  <c:v>0</c:v>
                </c:pt>
                <c:pt idx="6">
                  <c:v>0</c:v>
                </c:pt>
                <c:pt idx="7">
                  <c:v>18.1333175</c:v>
                </c:pt>
                <c:pt idx="8">
                  <c:v>116.4551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70-4849-8E06-8192A7809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628761"/>
        <c:axId val="49856354"/>
      </c:barChart>
      <c:catAx>
        <c:axId val="326287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9856354"/>
        <c:crosses val="autoZero"/>
        <c:auto val="1"/>
        <c:lblAlgn val="ctr"/>
        <c:lblOffset val="100"/>
        <c:noMultiLvlLbl val="0"/>
      </c:catAx>
      <c:valAx>
        <c:axId val="498563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;&quot;($&quot;#,##0.0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26287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0</xdr:rowOff>
    </xdr:from>
    <xdr:to>
      <xdr:col>18</xdr:col>
      <xdr:colOff>472319</xdr:colOff>
      <xdr:row>27</xdr:row>
      <xdr:rowOff>38820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showGridLines="0" tabSelected="1" zoomScale="120" zoomScaleNormal="120" workbookViewId="0">
      <pane ySplit="2" topLeftCell="A3" activePane="bottomLeft" state="frozen"/>
      <selection pane="bottomLeft" activeCell="E34" sqref="E34"/>
    </sheetView>
  </sheetViews>
  <sheetFormatPr baseColWidth="10" defaultColWidth="8.6640625" defaultRowHeight="14" x14ac:dyDescent="0.15"/>
  <cols>
    <col min="1" max="1" width="26" style="4" customWidth="1"/>
    <col min="2" max="2" width="34.6640625" style="4" customWidth="1"/>
    <col min="3" max="3" width="20" style="4" customWidth="1"/>
    <col min="4" max="6" width="16" style="4" customWidth="1"/>
    <col min="7" max="16384" width="8.6640625" style="1"/>
  </cols>
  <sheetData>
    <row r="1" spans="1:6" ht="18" customHeight="1" x14ac:dyDescent="0.15">
      <c r="A1" s="11" t="s">
        <v>0</v>
      </c>
      <c r="B1" s="11"/>
      <c r="C1" s="11"/>
      <c r="D1" s="11"/>
      <c r="E1" s="11"/>
      <c r="F1" s="11"/>
    </row>
    <row r="2" spans="1:6" ht="30" customHeight="1" x14ac:dyDescent="0.15">
      <c r="A2" s="13" t="str">
        <f>"Monthly TCO $"&amp;TEXT(MonthlyTCO,"#,##0.00")&amp;" at Control Panel defaults ("&amp;ModelSKU&amp;", "&amp;TEXT(ItemsPerMonth,"#,##0")&amp;" items/mo). 12-mo run cost $"&amp;TEXT(Run12mo,"#,##0")&amp;". Build: "&amp;TEXT(TotalBuildPoints,"#,##0")&amp;" points x $"&amp;TEXT(PointRate,"#,##0.00")&amp;"/point = $"&amp;TEXT(TotalBuildCost,"#,##0")&amp;"."</f>
        <v>Monthly TCO $1,439.33 at Control Panel defaults (Opus-4.8, 9,890 items/mo). 12-mo run cost $14,846. Build: 95 points x $0.00/point = $0.</v>
      </c>
      <c r="B2" s="13"/>
      <c r="C2" s="13"/>
      <c r="D2" s="13"/>
      <c r="E2" s="13"/>
      <c r="F2" s="13"/>
    </row>
    <row r="3" spans="1:6" x14ac:dyDescent="0.15">
      <c r="A3" s="3" t="s">
        <v>1</v>
      </c>
      <c r="B3" s="3"/>
      <c r="C3" s="3"/>
      <c r="D3" s="3"/>
      <c r="E3" s="3"/>
      <c r="F3" s="3"/>
    </row>
    <row r="4" spans="1:6" x14ac:dyDescent="0.15">
      <c r="B4" s="4" t="s">
        <v>2</v>
      </c>
      <c r="C4" s="22">
        <f>MonthlyTCO</f>
        <v>1439.3255830884655</v>
      </c>
    </row>
    <row r="5" spans="1:6" x14ac:dyDescent="0.15">
      <c r="B5" s="4" t="s">
        <v>3</v>
      </c>
      <c r="C5" s="22">
        <f>Run12mo</f>
        <v>14846.323202495865</v>
      </c>
    </row>
    <row r="6" spans="1:6" x14ac:dyDescent="0.15">
      <c r="B6" s="4" t="s">
        <v>4</v>
      </c>
      <c r="C6" s="23">
        <f>TotalBuildPoints</f>
        <v>95</v>
      </c>
    </row>
    <row r="7" spans="1:6" x14ac:dyDescent="0.15">
      <c r="B7" s="4" t="s">
        <v>5</v>
      </c>
      <c r="C7" s="22">
        <f>TotalBuildCost</f>
        <v>0</v>
      </c>
    </row>
    <row r="9" spans="1:6" x14ac:dyDescent="0.15">
      <c r="A9" s="3" t="s">
        <v>6</v>
      </c>
      <c r="B9" s="3"/>
      <c r="C9" s="3"/>
      <c r="D9" s="3"/>
      <c r="E9" s="3"/>
      <c r="F9" s="3"/>
    </row>
    <row r="10" spans="1:6" x14ac:dyDescent="0.15">
      <c r="A10" s="2" t="s">
        <v>7</v>
      </c>
      <c r="B10" s="2" t="s">
        <v>8</v>
      </c>
      <c r="C10" s="2" t="s">
        <v>9</v>
      </c>
      <c r="D10" s="2" t="s">
        <v>10</v>
      </c>
    </row>
    <row r="11" spans="1:6" x14ac:dyDescent="0.15">
      <c r="A11" s="4" t="s">
        <v>11</v>
      </c>
      <c r="B11" s="8">
        <f>0</f>
        <v>0</v>
      </c>
      <c r="C11" s="8">
        <f t="shared" ref="C11:C19" si="0">ABS(D11)</f>
        <v>8.6509691701250002</v>
      </c>
      <c r="D11" s="5">
        <f>'Monthly TCO'!$C$5</f>
        <v>8.6509691701250002</v>
      </c>
      <c r="E11" s="8">
        <f t="shared" ref="E11:E19" si="1">B11+D11</f>
        <v>8.6509691701250002</v>
      </c>
    </row>
    <row r="12" spans="1:6" x14ac:dyDescent="0.15">
      <c r="A12" s="4" t="s">
        <v>12</v>
      </c>
      <c r="B12" s="8">
        <f t="shared" ref="B12:B19" si="2">E11</f>
        <v>8.6509691701250002</v>
      </c>
      <c r="C12" s="8">
        <f t="shared" si="0"/>
        <v>0</v>
      </c>
      <c r="D12" s="5">
        <f>'Monthly TCO'!$C$7</f>
        <v>0</v>
      </c>
      <c r="E12" s="8">
        <f t="shared" si="1"/>
        <v>8.6509691701250002</v>
      </c>
    </row>
    <row r="13" spans="1:6" x14ac:dyDescent="0.15">
      <c r="A13" s="4" t="s">
        <v>13</v>
      </c>
      <c r="B13" s="8">
        <f t="shared" si="2"/>
        <v>8.6509691701250002</v>
      </c>
      <c r="C13" s="8">
        <f t="shared" si="0"/>
        <v>887.80939999999998</v>
      </c>
      <c r="D13" s="5">
        <f>'Monthly TCO'!$C$9</f>
        <v>887.80939999999998</v>
      </c>
      <c r="E13" s="8">
        <f t="shared" si="1"/>
        <v>896.46036917012498</v>
      </c>
    </row>
    <row r="14" spans="1:6" x14ac:dyDescent="0.15">
      <c r="A14" s="4" t="s">
        <v>14</v>
      </c>
      <c r="B14" s="8">
        <f t="shared" si="2"/>
        <v>896.46036917012498</v>
      </c>
      <c r="C14" s="8">
        <f t="shared" si="0"/>
        <v>17.793676885062503</v>
      </c>
      <c r="D14" s="5">
        <f>'Monthly TCO'!$C$11</f>
        <v>17.793676885062503</v>
      </c>
      <c r="E14" s="8">
        <f t="shared" si="1"/>
        <v>914.25404605518747</v>
      </c>
    </row>
    <row r="15" spans="1:6" x14ac:dyDescent="0.15">
      <c r="A15" s="4" t="s">
        <v>15</v>
      </c>
      <c r="B15" s="8">
        <f t="shared" si="2"/>
        <v>914.25404605518747</v>
      </c>
      <c r="C15" s="8">
        <f t="shared" si="0"/>
        <v>202.745</v>
      </c>
      <c r="D15" s="5">
        <f>'Monthly TCO'!$C$12</f>
        <v>202.745</v>
      </c>
      <c r="E15" s="8">
        <f t="shared" si="1"/>
        <v>1116.9990460551876</v>
      </c>
    </row>
    <row r="16" spans="1:6" x14ac:dyDescent="0.15">
      <c r="A16" s="4" t="s">
        <v>16</v>
      </c>
      <c r="B16" s="8">
        <f t="shared" si="2"/>
        <v>1116.9990460551876</v>
      </c>
      <c r="C16" s="8">
        <f t="shared" si="0"/>
        <v>0</v>
      </c>
      <c r="D16" s="5">
        <f>'Monthly TCO'!$C$14</f>
        <v>0</v>
      </c>
      <c r="E16" s="8">
        <f t="shared" si="1"/>
        <v>1116.9990460551876</v>
      </c>
    </row>
    <row r="17" spans="1:6" x14ac:dyDescent="0.15">
      <c r="A17" s="4" t="s">
        <v>17</v>
      </c>
      <c r="B17" s="8">
        <f t="shared" si="2"/>
        <v>1116.9990460551876</v>
      </c>
      <c r="C17" s="8">
        <f t="shared" si="0"/>
        <v>0</v>
      </c>
      <c r="D17" s="5">
        <f>'Monthly TCO'!$C$15</f>
        <v>0</v>
      </c>
      <c r="E17" s="8">
        <f t="shared" si="1"/>
        <v>1116.9990460551876</v>
      </c>
    </row>
    <row r="18" spans="1:6" x14ac:dyDescent="0.15">
      <c r="A18" s="4" t="s">
        <v>18</v>
      </c>
      <c r="B18" s="8">
        <f t="shared" si="2"/>
        <v>1116.9990460551876</v>
      </c>
      <c r="C18" s="8">
        <f t="shared" si="0"/>
        <v>18.1333175</v>
      </c>
      <c r="D18" s="5">
        <f>'Monthly TCO'!$C$17</f>
        <v>18.1333175</v>
      </c>
      <c r="E18" s="8">
        <f t="shared" si="1"/>
        <v>1135.1323635551876</v>
      </c>
    </row>
    <row r="19" spans="1:6" x14ac:dyDescent="0.15">
      <c r="A19" s="4" t="s">
        <v>19</v>
      </c>
      <c r="B19" s="8">
        <f t="shared" si="2"/>
        <v>1135.1323635551876</v>
      </c>
      <c r="C19" s="8">
        <f t="shared" si="0"/>
        <v>116.4551</v>
      </c>
      <c r="D19" s="5">
        <f>'Monthly TCO'!$C$19</f>
        <v>116.4551</v>
      </c>
      <c r="E19" s="8">
        <f t="shared" si="1"/>
        <v>1251.5874635551875</v>
      </c>
    </row>
    <row r="21" spans="1:6" x14ac:dyDescent="0.15">
      <c r="A21" s="4" t="s">
        <v>20</v>
      </c>
      <c r="E21" s="24">
        <f>E19</f>
        <v>1251.5874635551875</v>
      </c>
    </row>
    <row r="23" spans="1:6" x14ac:dyDescent="0.15">
      <c r="A23" s="3" t="s">
        <v>21</v>
      </c>
      <c r="B23" s="3"/>
      <c r="C23" s="3"/>
      <c r="D23" s="3"/>
      <c r="E23" s="3"/>
      <c r="F23" s="3"/>
    </row>
    <row r="24" spans="1:6" x14ac:dyDescent="0.15">
      <c r="A24" s="9" t="s">
        <v>22</v>
      </c>
      <c r="B24" s="2" t="s">
        <v>7</v>
      </c>
      <c r="C24" s="2" t="s">
        <v>23</v>
      </c>
    </row>
    <row r="25" spans="1:6" x14ac:dyDescent="0.15">
      <c r="A25" s="10">
        <v>1</v>
      </c>
      <c r="B25" s="16" t="str">
        <f>INDEX($A$11:$A$19,MATCH(C25,$D$11:$D$19,0))</f>
        <v>Zone3 Matching</v>
      </c>
      <c r="C25" s="8">
        <f>LARGE($D$11:$D$19,1)</f>
        <v>887.80939999999998</v>
      </c>
    </row>
    <row r="26" spans="1:6" x14ac:dyDescent="0.15">
      <c r="A26" s="10">
        <v>2</v>
      </c>
      <c r="B26" s="16" t="str">
        <f>INDEX($A$11:$A$19,MATCH(C26,$D$11:$D$19,0))</f>
        <v>Zone4 LLM tokens (LIKELY)</v>
      </c>
      <c r="C26" s="8">
        <f>LARGE($D$11:$D$19,2)</f>
        <v>202.745</v>
      </c>
    </row>
    <row r="27" spans="1:6" x14ac:dyDescent="0.15">
      <c r="A27" s="10">
        <v>3</v>
      </c>
      <c r="B27" s="16" t="str">
        <f>INDEX($A$11:$A$19,MATCH(C27,$D$11:$D$19,0))</f>
        <v>Platform (always-on)</v>
      </c>
      <c r="C27" s="8">
        <f>LARGE($D$11:$D$19,3)</f>
        <v>116.4551</v>
      </c>
    </row>
  </sheetData>
  <mergeCells count="5">
    <mergeCell ref="A1:F1"/>
    <mergeCell ref="A2:F2"/>
    <mergeCell ref="A3:F3"/>
    <mergeCell ref="A9:F9"/>
    <mergeCell ref="A23:F2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showGridLines="0" zoomScale="110" zoomScaleNormal="110" workbookViewId="0">
      <pane ySplit="2" topLeftCell="A5" activePane="bottomLeft" state="frozen"/>
      <selection pane="bottomLeft" activeCell="D36" sqref="D36"/>
    </sheetView>
  </sheetViews>
  <sheetFormatPr baseColWidth="10" defaultColWidth="8.6640625" defaultRowHeight="14" x14ac:dyDescent="0.15"/>
  <cols>
    <col min="1" max="1" width="46" style="4" customWidth="1"/>
    <col min="2" max="2" width="16" style="4" customWidth="1"/>
    <col min="3" max="3" width="18" style="4" customWidth="1"/>
    <col min="4" max="4" width="84" style="4" customWidth="1"/>
    <col min="5" max="16384" width="8.6640625" style="1"/>
  </cols>
  <sheetData>
    <row r="1" spans="1:4" ht="18" customHeight="1" x14ac:dyDescent="0.15">
      <c r="A1" s="11" t="s">
        <v>24</v>
      </c>
      <c r="B1" s="11"/>
      <c r="C1" s="11"/>
      <c r="D1" s="11"/>
    </row>
    <row r="2" spans="1:4" ht="30" customHeight="1" x14ac:dyDescent="0.15">
      <c r="A2" s="13" t="s">
        <v>25</v>
      </c>
      <c r="B2" s="13"/>
      <c r="C2" s="13"/>
      <c r="D2" s="13"/>
    </row>
    <row r="4" spans="1:4" x14ac:dyDescent="0.15">
      <c r="A4" s="3" t="s">
        <v>26</v>
      </c>
      <c r="B4" s="3"/>
      <c r="C4" s="3"/>
      <c r="D4" s="3"/>
    </row>
    <row r="5" spans="1:4" ht="15" x14ac:dyDescent="0.15">
      <c r="A5" s="4" t="s">
        <v>27</v>
      </c>
      <c r="B5" s="25">
        <v>10</v>
      </c>
      <c r="C5" s="6" t="s">
        <v>28</v>
      </c>
      <c r="D5" s="21" t="s">
        <v>29</v>
      </c>
    </row>
    <row r="6" spans="1:4" ht="15" x14ac:dyDescent="0.15">
      <c r="A6" s="4" t="s">
        <v>30</v>
      </c>
      <c r="B6" s="25">
        <v>989</v>
      </c>
      <c r="C6" s="6" t="s">
        <v>28</v>
      </c>
      <c r="D6" s="21" t="s">
        <v>31</v>
      </c>
    </row>
    <row r="7" spans="1:4" ht="15" x14ac:dyDescent="0.15">
      <c r="A7" s="4" t="s">
        <v>32</v>
      </c>
      <c r="B7" s="25">
        <v>5000</v>
      </c>
      <c r="C7" s="6" t="s">
        <v>28</v>
      </c>
      <c r="D7" s="21" t="s">
        <v>33</v>
      </c>
    </row>
    <row r="8" spans="1:4" ht="45" x14ac:dyDescent="0.15">
      <c r="A8" s="4" t="s">
        <v>34</v>
      </c>
      <c r="B8" s="26">
        <v>1</v>
      </c>
      <c r="C8" s="6" t="s">
        <v>35</v>
      </c>
      <c r="D8" s="21" t="s">
        <v>36</v>
      </c>
    </row>
    <row r="9" spans="1:4" ht="15" x14ac:dyDescent="0.15">
      <c r="A9" s="4" t="s">
        <v>37</v>
      </c>
      <c r="B9" s="27" t="s">
        <v>38</v>
      </c>
      <c r="C9" s="6" t="s">
        <v>28</v>
      </c>
      <c r="D9" s="21" t="s">
        <v>39</v>
      </c>
    </row>
    <row r="10" spans="1:4" ht="30" x14ac:dyDescent="0.15">
      <c r="A10" s="4" t="s">
        <v>40</v>
      </c>
      <c r="B10" s="28">
        <v>0.8</v>
      </c>
      <c r="C10" s="6" t="s">
        <v>28</v>
      </c>
      <c r="D10" s="21" t="s">
        <v>41</v>
      </c>
    </row>
    <row r="11" spans="1:4" ht="15" x14ac:dyDescent="0.15">
      <c r="A11" s="4" t="s">
        <v>42</v>
      </c>
      <c r="B11" s="28">
        <v>0.25</v>
      </c>
      <c r="C11" s="6" t="s">
        <v>28</v>
      </c>
      <c r="D11" s="21" t="s">
        <v>43</v>
      </c>
    </row>
    <row r="12" spans="1:4" ht="45" x14ac:dyDescent="0.15">
      <c r="A12" s="4" t="s">
        <v>44</v>
      </c>
      <c r="B12" s="25">
        <v>2</v>
      </c>
      <c r="C12" s="6" t="s">
        <v>28</v>
      </c>
      <c r="D12" s="21" t="s">
        <v>45</v>
      </c>
    </row>
    <row r="13" spans="1:4" ht="15" x14ac:dyDescent="0.15">
      <c r="A13" s="4" t="s">
        <v>46</v>
      </c>
      <c r="B13" s="29">
        <v>0</v>
      </c>
      <c r="C13" s="6" t="s">
        <v>28</v>
      </c>
      <c r="D13" s="21" t="s">
        <v>47</v>
      </c>
    </row>
    <row r="14" spans="1:4" ht="15" x14ac:dyDescent="0.15">
      <c r="A14" s="4" t="s">
        <v>48</v>
      </c>
      <c r="B14" s="27">
        <v>1</v>
      </c>
      <c r="C14" s="6" t="s">
        <v>28</v>
      </c>
      <c r="D14" s="21" t="s">
        <v>49</v>
      </c>
    </row>
    <row r="15" spans="1:4" ht="30" x14ac:dyDescent="0.15">
      <c r="A15" s="4" t="s">
        <v>50</v>
      </c>
      <c r="B15" s="27" t="s">
        <v>51</v>
      </c>
      <c r="C15" s="6" t="s">
        <v>28</v>
      </c>
      <c r="D15" s="21" t="s">
        <v>52</v>
      </c>
    </row>
    <row r="16" spans="1:4" ht="15" x14ac:dyDescent="0.15">
      <c r="A16" s="4" t="s">
        <v>53</v>
      </c>
      <c r="B16" s="26">
        <v>0.15</v>
      </c>
      <c r="C16" s="6" t="s">
        <v>28</v>
      </c>
      <c r="D16" s="21" t="s">
        <v>54</v>
      </c>
    </row>
    <row r="17" spans="1:4" ht="30" x14ac:dyDescent="0.15">
      <c r="A17" s="4" t="s">
        <v>55</v>
      </c>
      <c r="B17" s="25">
        <v>50</v>
      </c>
      <c r="C17" s="6" t="s">
        <v>28</v>
      </c>
      <c r="D17" s="21" t="s">
        <v>56</v>
      </c>
    </row>
    <row r="18" spans="1:4" ht="15" x14ac:dyDescent="0.15">
      <c r="A18" s="4" t="s">
        <v>57</v>
      </c>
      <c r="B18" s="25">
        <v>0</v>
      </c>
      <c r="C18" s="6" t="s">
        <v>28</v>
      </c>
      <c r="D18" s="21" t="s">
        <v>58</v>
      </c>
    </row>
    <row r="19" spans="1:4" ht="15" x14ac:dyDescent="0.15">
      <c r="A19" s="4" t="s">
        <v>59</v>
      </c>
      <c r="B19" s="26">
        <v>0.15</v>
      </c>
      <c r="C19" s="6" t="s">
        <v>28</v>
      </c>
      <c r="D19" s="21" t="s">
        <v>60</v>
      </c>
    </row>
    <row r="21" spans="1:4" x14ac:dyDescent="0.15">
      <c r="A21" s="3" t="s">
        <v>61</v>
      </c>
      <c r="B21" s="3"/>
      <c r="C21" s="3"/>
      <c r="D21" s="3"/>
    </row>
    <row r="22" spans="1:4" x14ac:dyDescent="0.15">
      <c r="A22" s="4" t="s">
        <v>62</v>
      </c>
      <c r="B22" s="30">
        <f>DeliveriesPerMonth*ProductsPerDelivery</f>
        <v>9890</v>
      </c>
      <c r="C22" s="6" t="s">
        <v>35</v>
      </c>
    </row>
    <row r="23" spans="1:4" x14ac:dyDescent="0.15">
      <c r="A23" s="4" t="s">
        <v>63</v>
      </c>
      <c r="B23" s="30">
        <f>ItemsPerMonth*LlmReachablePct</f>
        <v>9890</v>
      </c>
      <c r="C23" s="6" t="s">
        <v>35</v>
      </c>
    </row>
    <row r="25" spans="1:4" x14ac:dyDescent="0.15">
      <c r="A25" s="3" t="s">
        <v>64</v>
      </c>
      <c r="B25" s="3"/>
      <c r="C25" s="3"/>
      <c r="D25" s="3"/>
    </row>
    <row r="26" spans="1:4" ht="27.75" customHeight="1" x14ac:dyDescent="0.15">
      <c r="A26" s="31" t="s">
        <v>65</v>
      </c>
      <c r="B26" s="31"/>
      <c r="C26" s="31"/>
      <c r="D26" s="31"/>
    </row>
    <row r="27" spans="1:4" ht="27.75" customHeight="1" x14ac:dyDescent="0.15">
      <c r="A27" s="31" t="s">
        <v>66</v>
      </c>
      <c r="B27" s="31"/>
      <c r="C27" s="31"/>
      <c r="D27" s="31"/>
    </row>
    <row r="28" spans="1:4" ht="27.75" customHeight="1" x14ac:dyDescent="0.15">
      <c r="A28" s="31" t="s">
        <v>67</v>
      </c>
      <c r="B28" s="31"/>
      <c r="C28" s="31"/>
      <c r="D28" s="31"/>
    </row>
    <row r="29" spans="1:4" ht="27.75" customHeight="1" x14ac:dyDescent="0.15">
      <c r="A29" s="31" t="s">
        <v>68</v>
      </c>
      <c r="B29" s="31"/>
      <c r="C29" s="31"/>
      <c r="D29" s="31"/>
    </row>
    <row r="30" spans="1:4" ht="27.75" customHeight="1" x14ac:dyDescent="0.15">
      <c r="A30" s="31" t="s">
        <v>69</v>
      </c>
      <c r="B30" s="31"/>
      <c r="C30" s="31"/>
      <c r="D30" s="31"/>
    </row>
    <row r="31" spans="1:4" ht="27.75" customHeight="1" x14ac:dyDescent="0.15">
      <c r="A31" s="31" t="s">
        <v>70</v>
      </c>
      <c r="B31" s="31"/>
      <c r="C31" s="31"/>
      <c r="D31" s="31"/>
    </row>
  </sheetData>
  <mergeCells count="11">
    <mergeCell ref="A31:D31"/>
    <mergeCell ref="A26:D26"/>
    <mergeCell ref="A27:D27"/>
    <mergeCell ref="A28:D28"/>
    <mergeCell ref="A29:D29"/>
    <mergeCell ref="A30:D30"/>
    <mergeCell ref="A1:D1"/>
    <mergeCell ref="A2:D2"/>
    <mergeCell ref="A4:D4"/>
    <mergeCell ref="A21:D21"/>
    <mergeCell ref="A25:D25"/>
  </mergeCells>
  <dataValidations count="6">
    <dataValidation type="decimal" operator="greaterThanOrEqual" sqref="B5 B17:B19 B10:B13" xr:uid="{00000000-0002-0000-0100-000000000000}">
      <formula1>0</formula1>
      <formula2>0</formula2>
    </dataValidation>
    <dataValidation type="decimal" operator="greaterThanOrEqual" sqref="B6:B7" xr:uid="{00000000-0002-0000-0100-000001000000}">
      <formula1>1</formula1>
      <formula2>0</formula2>
    </dataValidation>
    <dataValidation type="decimal" sqref="B8 B16" xr:uid="{00000000-0002-0000-0100-000003000000}">
      <formula1>0</formula1>
      <formula2>1</formula2>
    </dataValidation>
    <dataValidation type="list" sqref="B9" xr:uid="{00000000-0002-0000-0100-000004000000}">
      <formula1>"Opus-4.8,Sonnet-5,Haiku-4.5"</formula1>
      <formula2>0</formula2>
    </dataValidation>
    <dataValidation type="list" sqref="B14" xr:uid="{00000000-0002-0000-0100-000009000000}">
      <formula1>"1,2,3"</formula1>
      <formula2>0</formula2>
    </dataValidation>
    <dataValidation type="list" sqref="B15" xr:uid="{00000000-0002-0000-0100-00000A000000}">
      <formula1>"large,xlarge,2xlarge"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1"/>
  <sheetViews>
    <sheetView showGridLines="0" zoomScale="110" zoomScaleNormal="110" workbookViewId="0">
      <pane ySplit="4" topLeftCell="A125" activePane="bottomLeft" state="frozen"/>
      <selection pane="bottomLeft" activeCell="F128" sqref="F128"/>
    </sheetView>
  </sheetViews>
  <sheetFormatPr baseColWidth="10" defaultColWidth="8.6640625" defaultRowHeight="14" x14ac:dyDescent="0.15"/>
  <cols>
    <col min="1" max="1" width="62" style="4" customWidth="1"/>
    <col min="2" max="2" width="20" style="4" customWidth="1"/>
    <col min="3" max="3" width="16" style="4" customWidth="1"/>
    <col min="4" max="4" width="14" style="4" customWidth="1"/>
    <col min="5" max="6" width="60" style="4" customWidth="1"/>
    <col min="7" max="16384" width="8.6640625" style="1"/>
  </cols>
  <sheetData>
    <row r="1" spans="1:6" ht="37.5" customHeight="1" x14ac:dyDescent="0.15">
      <c r="A1" s="11" t="s">
        <v>71</v>
      </c>
      <c r="B1" s="11"/>
      <c r="C1" s="11"/>
      <c r="D1" s="11"/>
      <c r="E1" s="11"/>
      <c r="F1" s="11"/>
    </row>
    <row r="2" spans="1:6" ht="30" customHeight="1" x14ac:dyDescent="0.15">
      <c r="A2" s="13" t="s">
        <v>72</v>
      </c>
      <c r="B2" s="13"/>
      <c r="C2" s="13"/>
      <c r="D2" s="13"/>
      <c r="E2" s="13"/>
      <c r="F2" s="13"/>
    </row>
    <row r="4" spans="1:6" x14ac:dyDescent="0.15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78</v>
      </c>
    </row>
    <row r="5" spans="1:6" x14ac:dyDescent="0.15">
      <c r="A5" s="3" t="s">
        <v>79</v>
      </c>
      <c r="B5" s="3"/>
      <c r="C5" s="3"/>
      <c r="D5" s="3"/>
      <c r="E5" s="3"/>
      <c r="F5" s="3"/>
    </row>
    <row r="6" spans="1:6" ht="75" x14ac:dyDescent="0.15">
      <c r="A6" s="4" t="s">
        <v>80</v>
      </c>
      <c r="B6" s="4" t="s">
        <v>81</v>
      </c>
      <c r="C6" s="32">
        <v>1.038</v>
      </c>
      <c r="D6" s="6" t="s">
        <v>82</v>
      </c>
      <c r="E6" s="33" t="s">
        <v>83</v>
      </c>
      <c r="F6" s="7" t="s">
        <v>84</v>
      </c>
    </row>
    <row r="7" spans="1:6" ht="45" x14ac:dyDescent="0.15">
      <c r="A7" s="4" t="s">
        <v>85</v>
      </c>
      <c r="B7" s="4" t="s">
        <v>81</v>
      </c>
      <c r="C7" s="32">
        <v>1.349</v>
      </c>
      <c r="D7" s="6" t="s">
        <v>82</v>
      </c>
      <c r="E7" s="33" t="s">
        <v>83</v>
      </c>
      <c r="F7" s="7" t="s">
        <v>86</v>
      </c>
    </row>
    <row r="8" spans="1:6" ht="15" x14ac:dyDescent="0.15">
      <c r="A8" s="4" t="s">
        <v>87</v>
      </c>
      <c r="B8" s="4" t="s">
        <v>81</v>
      </c>
      <c r="C8" s="34">
        <v>0.51900000000000002</v>
      </c>
      <c r="D8" s="6" t="s">
        <v>82</v>
      </c>
      <c r="E8" s="33" t="s">
        <v>83</v>
      </c>
      <c r="F8" s="7" t="s">
        <v>88</v>
      </c>
    </row>
    <row r="9" spans="1:6" ht="15" x14ac:dyDescent="0.15">
      <c r="A9" s="4" t="s">
        <v>89</v>
      </c>
      <c r="B9" s="4" t="s">
        <v>81</v>
      </c>
      <c r="C9" s="34">
        <v>0.67500000000000004</v>
      </c>
      <c r="D9" s="6" t="s">
        <v>82</v>
      </c>
      <c r="E9" s="33" t="s">
        <v>83</v>
      </c>
      <c r="F9" s="7" t="s">
        <v>90</v>
      </c>
    </row>
    <row r="10" spans="1:6" ht="15" x14ac:dyDescent="0.15">
      <c r="A10" s="4" t="s">
        <v>91</v>
      </c>
      <c r="B10" s="4" t="s">
        <v>81</v>
      </c>
      <c r="C10" s="34">
        <v>0.26</v>
      </c>
      <c r="D10" s="6" t="s">
        <v>82</v>
      </c>
      <c r="E10" s="33" t="s">
        <v>83</v>
      </c>
      <c r="F10" s="7" t="s">
        <v>92</v>
      </c>
    </row>
    <row r="11" spans="1:6" ht="15" x14ac:dyDescent="0.15">
      <c r="A11" s="4" t="s">
        <v>93</v>
      </c>
      <c r="B11" s="4" t="s">
        <v>81</v>
      </c>
      <c r="C11" s="34">
        <v>0.33800000000000002</v>
      </c>
      <c r="D11" s="6" t="s">
        <v>82</v>
      </c>
      <c r="E11" s="33" t="s">
        <v>83</v>
      </c>
      <c r="F11" s="7" t="s">
        <v>94</v>
      </c>
    </row>
    <row r="12" spans="1:6" x14ac:dyDescent="0.15">
      <c r="A12" s="3" t="s">
        <v>95</v>
      </c>
      <c r="B12" s="3"/>
      <c r="C12" s="3"/>
      <c r="D12" s="3"/>
      <c r="E12" s="3"/>
      <c r="F12" s="3"/>
    </row>
    <row r="13" spans="1:6" ht="15" x14ac:dyDescent="0.15">
      <c r="A13" s="4" t="s">
        <v>96</v>
      </c>
      <c r="B13" s="4" t="s">
        <v>97</v>
      </c>
      <c r="C13" s="34">
        <v>0.12</v>
      </c>
      <c r="D13" s="6" t="s">
        <v>82</v>
      </c>
      <c r="E13" s="33" t="s">
        <v>83</v>
      </c>
      <c r="F13" s="7" t="s">
        <v>98</v>
      </c>
    </row>
    <row r="14" spans="1:6" ht="15" x14ac:dyDescent="0.15">
      <c r="A14" s="4" t="s">
        <v>99</v>
      </c>
      <c r="B14" s="4" t="s">
        <v>97</v>
      </c>
      <c r="C14" s="34">
        <v>0.16</v>
      </c>
      <c r="D14" s="6" t="s">
        <v>82</v>
      </c>
      <c r="E14" s="33" t="s">
        <v>83</v>
      </c>
      <c r="F14" s="7" t="s">
        <v>100</v>
      </c>
    </row>
    <row r="15" spans="1:6" x14ac:dyDescent="0.15">
      <c r="A15" s="3" t="s">
        <v>79</v>
      </c>
      <c r="B15" s="3"/>
      <c r="C15" s="3"/>
      <c r="D15" s="3"/>
      <c r="E15" s="3"/>
      <c r="F15" s="3"/>
    </row>
    <row r="16" spans="1:6" ht="45" x14ac:dyDescent="0.15">
      <c r="A16" s="4" t="s">
        <v>101</v>
      </c>
      <c r="B16" s="4" t="s">
        <v>102</v>
      </c>
      <c r="C16" s="34">
        <v>0.1</v>
      </c>
      <c r="D16" s="6" t="s">
        <v>82</v>
      </c>
      <c r="E16" s="33" t="s">
        <v>83</v>
      </c>
      <c r="F16" s="7" t="s">
        <v>103</v>
      </c>
    </row>
    <row r="17" spans="1:6" ht="45" x14ac:dyDescent="0.15">
      <c r="A17" s="4" t="s">
        <v>104</v>
      </c>
      <c r="B17" s="4" t="s">
        <v>102</v>
      </c>
      <c r="C17" s="34">
        <v>0.22500000000000001</v>
      </c>
      <c r="D17" s="6" t="s">
        <v>82</v>
      </c>
      <c r="E17" s="33" t="s">
        <v>83</v>
      </c>
      <c r="F17" s="7" t="s">
        <v>105</v>
      </c>
    </row>
    <row r="18" spans="1:6" ht="45" x14ac:dyDescent="0.15">
      <c r="A18" s="4" t="s">
        <v>106</v>
      </c>
      <c r="B18" s="4" t="s">
        <v>107</v>
      </c>
      <c r="C18" s="34">
        <v>0.2</v>
      </c>
      <c r="D18" s="6" t="s">
        <v>82</v>
      </c>
      <c r="E18" s="33" t="s">
        <v>83</v>
      </c>
      <c r="F18" s="7" t="s">
        <v>108</v>
      </c>
    </row>
    <row r="19" spans="1:6" x14ac:dyDescent="0.15">
      <c r="A19" s="3" t="s">
        <v>109</v>
      </c>
      <c r="B19" s="3"/>
      <c r="C19" s="3"/>
      <c r="D19" s="3"/>
      <c r="E19" s="3"/>
      <c r="F19" s="3"/>
    </row>
    <row r="20" spans="1:6" ht="45" x14ac:dyDescent="0.15">
      <c r="A20" s="4" t="s">
        <v>110</v>
      </c>
      <c r="B20" s="4" t="s">
        <v>81</v>
      </c>
      <c r="C20" s="34">
        <v>0.17799999999999999</v>
      </c>
      <c r="D20" s="6" t="s">
        <v>82</v>
      </c>
      <c r="E20" s="33" t="s">
        <v>111</v>
      </c>
      <c r="F20" s="7" t="s">
        <v>112</v>
      </c>
    </row>
    <row r="21" spans="1:6" ht="15" x14ac:dyDescent="0.15">
      <c r="A21" s="4" t="s">
        <v>113</v>
      </c>
      <c r="B21" s="4" t="s">
        <v>81</v>
      </c>
      <c r="C21" s="34">
        <v>0.13500000000000001</v>
      </c>
      <c r="D21" s="6" t="s">
        <v>82</v>
      </c>
      <c r="E21" s="33" t="s">
        <v>111</v>
      </c>
      <c r="F21" s="7" t="s">
        <v>114</v>
      </c>
    </row>
    <row r="22" spans="1:6" ht="15" x14ac:dyDescent="0.15">
      <c r="A22" s="4" t="s">
        <v>115</v>
      </c>
      <c r="B22" s="4" t="s">
        <v>81</v>
      </c>
      <c r="C22" s="34">
        <v>3.5999999999999997E-2</v>
      </c>
      <c r="D22" s="6" t="s">
        <v>82</v>
      </c>
      <c r="E22" s="33" t="s">
        <v>111</v>
      </c>
      <c r="F22" s="7" t="s">
        <v>116</v>
      </c>
    </row>
    <row r="23" spans="1:6" ht="45" x14ac:dyDescent="0.15">
      <c r="A23" s="4" t="s">
        <v>117</v>
      </c>
      <c r="B23" s="4" t="s">
        <v>102</v>
      </c>
      <c r="C23" s="34">
        <v>0.122</v>
      </c>
      <c r="D23" s="6" t="s">
        <v>82</v>
      </c>
      <c r="E23" s="33" t="s">
        <v>111</v>
      </c>
      <c r="F23" s="7" t="s">
        <v>118</v>
      </c>
    </row>
    <row r="24" spans="1:6" x14ac:dyDescent="0.15">
      <c r="A24" s="3" t="s">
        <v>119</v>
      </c>
      <c r="B24" s="3"/>
      <c r="C24" s="3"/>
      <c r="D24" s="3"/>
      <c r="E24" s="3"/>
      <c r="F24" s="3"/>
    </row>
    <row r="25" spans="1:6" ht="30" x14ac:dyDescent="0.15">
      <c r="A25" s="4" t="s">
        <v>120</v>
      </c>
      <c r="B25" s="4" t="s">
        <v>121</v>
      </c>
      <c r="C25" s="34">
        <v>0.24</v>
      </c>
      <c r="D25" s="6" t="s">
        <v>82</v>
      </c>
      <c r="E25" s="33" t="s">
        <v>111</v>
      </c>
      <c r="F25" s="7" t="s">
        <v>122</v>
      </c>
    </row>
    <row r="26" spans="1:6" ht="135" x14ac:dyDescent="0.15">
      <c r="A26" s="4" t="s">
        <v>123</v>
      </c>
      <c r="B26" s="4" t="s">
        <v>124</v>
      </c>
      <c r="C26" s="35">
        <v>0</v>
      </c>
      <c r="D26" s="6" t="s">
        <v>82</v>
      </c>
      <c r="E26" s="33" t="s">
        <v>125</v>
      </c>
      <c r="F26" s="7" t="s">
        <v>126</v>
      </c>
    </row>
    <row r="27" spans="1:6" x14ac:dyDescent="0.15">
      <c r="A27" s="3" t="s">
        <v>127</v>
      </c>
      <c r="B27" s="3"/>
      <c r="C27" s="3"/>
      <c r="D27" s="3"/>
      <c r="E27" s="3"/>
      <c r="F27" s="3"/>
    </row>
    <row r="28" spans="1:6" ht="45" x14ac:dyDescent="0.15">
      <c r="A28" s="4" t="s">
        <v>128</v>
      </c>
      <c r="B28" s="4" t="s">
        <v>129</v>
      </c>
      <c r="C28" s="34">
        <v>0.625</v>
      </c>
      <c r="D28" s="6" t="s">
        <v>82</v>
      </c>
      <c r="E28" s="33" t="s">
        <v>130</v>
      </c>
      <c r="F28" s="7" t="s">
        <v>131</v>
      </c>
    </row>
    <row r="29" spans="1:6" ht="45" x14ac:dyDescent="0.15">
      <c r="A29" s="4" t="s">
        <v>132</v>
      </c>
      <c r="B29" s="4" t="s">
        <v>133</v>
      </c>
      <c r="C29" s="34">
        <v>0.125</v>
      </c>
      <c r="D29" s="6" t="s">
        <v>82</v>
      </c>
      <c r="E29" s="33" t="s">
        <v>130</v>
      </c>
      <c r="F29" s="7" t="s">
        <v>134</v>
      </c>
    </row>
    <row r="30" spans="1:6" x14ac:dyDescent="0.15">
      <c r="A30" s="3" t="s">
        <v>135</v>
      </c>
      <c r="B30" s="3"/>
      <c r="C30" s="3"/>
      <c r="D30" s="3"/>
      <c r="E30" s="3"/>
      <c r="F30" s="3"/>
    </row>
    <row r="31" spans="1:6" ht="45" x14ac:dyDescent="0.15">
      <c r="A31" s="4" t="s">
        <v>136</v>
      </c>
      <c r="B31" s="4" t="s">
        <v>102</v>
      </c>
      <c r="C31" s="34">
        <v>0.25</v>
      </c>
      <c r="D31" s="6" t="s">
        <v>82</v>
      </c>
      <c r="E31" s="33" t="s">
        <v>130</v>
      </c>
      <c r="F31" s="7" t="s">
        <v>137</v>
      </c>
    </row>
    <row r="32" spans="1:6" x14ac:dyDescent="0.15">
      <c r="A32" s="3" t="s">
        <v>138</v>
      </c>
      <c r="B32" s="3"/>
      <c r="C32" s="3"/>
      <c r="D32" s="3"/>
      <c r="E32" s="3"/>
      <c r="F32" s="3"/>
    </row>
    <row r="33" spans="1:6" ht="75" x14ac:dyDescent="0.15">
      <c r="A33" s="4" t="s">
        <v>139</v>
      </c>
      <c r="B33" s="4" t="s">
        <v>81</v>
      </c>
      <c r="C33" s="34">
        <v>0.32869999999999999</v>
      </c>
      <c r="D33" s="6" t="s">
        <v>82</v>
      </c>
      <c r="E33" s="33" t="s">
        <v>140</v>
      </c>
      <c r="F33" s="7" t="s">
        <v>141</v>
      </c>
    </row>
    <row r="34" spans="1:6" ht="30" x14ac:dyDescent="0.15">
      <c r="A34" s="4" t="s">
        <v>142</v>
      </c>
      <c r="B34" s="4" t="s">
        <v>81</v>
      </c>
      <c r="C34" s="34">
        <v>0.443</v>
      </c>
      <c r="D34" s="6" t="s">
        <v>82</v>
      </c>
      <c r="E34" s="33" t="s">
        <v>140</v>
      </c>
      <c r="F34" s="7" t="s">
        <v>143</v>
      </c>
    </row>
    <row r="35" spans="1:6" ht="30" x14ac:dyDescent="0.15">
      <c r="A35" s="4" t="s">
        <v>144</v>
      </c>
      <c r="B35" s="4" t="s">
        <v>102</v>
      </c>
      <c r="C35" s="34">
        <v>0.1</v>
      </c>
      <c r="D35" s="6" t="s">
        <v>82</v>
      </c>
      <c r="E35" s="33" t="s">
        <v>140</v>
      </c>
      <c r="F35" s="7" t="s">
        <v>145</v>
      </c>
    </row>
    <row r="36" spans="1:6" ht="45" x14ac:dyDescent="0.15">
      <c r="A36" s="4" t="s">
        <v>106</v>
      </c>
      <c r="B36" s="4" t="s">
        <v>107</v>
      </c>
      <c r="C36" s="34">
        <v>0.2</v>
      </c>
      <c r="D36" s="6" t="s">
        <v>82</v>
      </c>
      <c r="E36" s="33" t="s">
        <v>140</v>
      </c>
      <c r="F36" s="7" t="s">
        <v>146</v>
      </c>
    </row>
    <row r="37" spans="1:6" x14ac:dyDescent="0.15">
      <c r="A37" s="3" t="s">
        <v>147</v>
      </c>
      <c r="B37" s="3"/>
      <c r="C37" s="3"/>
      <c r="D37" s="3"/>
      <c r="E37" s="3"/>
      <c r="F37" s="3"/>
    </row>
    <row r="38" spans="1:6" ht="60" x14ac:dyDescent="0.15">
      <c r="A38" s="4" t="s">
        <v>148</v>
      </c>
      <c r="B38" s="4" t="s">
        <v>149</v>
      </c>
      <c r="C38" s="34">
        <v>4.0480000000000002E-2</v>
      </c>
      <c r="D38" s="6" t="s">
        <v>82</v>
      </c>
      <c r="E38" s="33" t="s">
        <v>150</v>
      </c>
      <c r="F38" s="7" t="s">
        <v>151</v>
      </c>
    </row>
    <row r="39" spans="1:6" ht="30" x14ac:dyDescent="0.15">
      <c r="A39" s="4" t="s">
        <v>152</v>
      </c>
      <c r="B39" s="4" t="s">
        <v>153</v>
      </c>
      <c r="C39" s="34">
        <v>4.4450000000000002E-3</v>
      </c>
      <c r="D39" s="6" t="s">
        <v>82</v>
      </c>
      <c r="E39" s="33" t="s">
        <v>150</v>
      </c>
      <c r="F39" s="7" t="s">
        <v>154</v>
      </c>
    </row>
    <row r="40" spans="1:6" x14ac:dyDescent="0.15">
      <c r="A40" s="3" t="s">
        <v>155</v>
      </c>
      <c r="B40" s="3"/>
      <c r="C40" s="3"/>
      <c r="D40" s="3"/>
      <c r="E40" s="3"/>
      <c r="F40" s="3"/>
    </row>
    <row r="41" spans="1:6" ht="45" x14ac:dyDescent="0.15">
      <c r="A41" s="4" t="s">
        <v>156</v>
      </c>
      <c r="B41" s="4" t="s">
        <v>157</v>
      </c>
      <c r="C41" s="32">
        <v>9.01</v>
      </c>
      <c r="D41" s="6" t="s">
        <v>82</v>
      </c>
      <c r="E41" s="33" t="s">
        <v>150</v>
      </c>
      <c r="F41" s="7" t="s">
        <v>158</v>
      </c>
    </row>
    <row r="42" spans="1:6" ht="45" x14ac:dyDescent="0.15">
      <c r="A42" s="4" t="s">
        <v>159</v>
      </c>
      <c r="B42" s="4" t="s">
        <v>157</v>
      </c>
      <c r="C42" s="32">
        <v>36.04</v>
      </c>
      <c r="D42" s="6" t="s">
        <v>82</v>
      </c>
      <c r="E42" s="33" t="s">
        <v>150</v>
      </c>
      <c r="F42" s="7" t="s">
        <v>160</v>
      </c>
    </row>
    <row r="43" spans="1:6" x14ac:dyDescent="0.15">
      <c r="A43" s="3" t="s">
        <v>161</v>
      </c>
      <c r="B43" s="3"/>
      <c r="C43" s="3"/>
      <c r="D43" s="3"/>
      <c r="E43" s="3"/>
      <c r="F43" s="3"/>
    </row>
    <row r="44" spans="1:6" ht="75" x14ac:dyDescent="0.15">
      <c r="A44" s="4" t="s">
        <v>162</v>
      </c>
      <c r="B44" s="4" t="s">
        <v>149</v>
      </c>
      <c r="C44" s="34">
        <v>1.4999999999999999E-2</v>
      </c>
      <c r="D44" s="6" t="s">
        <v>82</v>
      </c>
      <c r="E44" s="33" t="s">
        <v>83</v>
      </c>
      <c r="F44" s="7" t="s">
        <v>163</v>
      </c>
    </row>
    <row r="45" spans="1:6" x14ac:dyDescent="0.15">
      <c r="A45" s="3" t="s">
        <v>79</v>
      </c>
      <c r="B45" s="3"/>
      <c r="C45" s="3"/>
      <c r="D45" s="3"/>
      <c r="E45" s="3"/>
      <c r="F45" s="3"/>
    </row>
    <row r="46" spans="1:6" ht="75" x14ac:dyDescent="0.15">
      <c r="A46" s="4" t="s">
        <v>164</v>
      </c>
      <c r="B46" s="4" t="s">
        <v>165</v>
      </c>
      <c r="C46" s="32">
        <v>1.038</v>
      </c>
      <c r="D46" s="6" t="s">
        <v>82</v>
      </c>
      <c r="E46" s="33" t="s">
        <v>83</v>
      </c>
      <c r="F46" s="7" t="s">
        <v>166</v>
      </c>
    </row>
    <row r="47" spans="1:6" ht="45" x14ac:dyDescent="0.15">
      <c r="A47" s="4" t="s">
        <v>167</v>
      </c>
      <c r="B47" s="4" t="s">
        <v>165</v>
      </c>
      <c r="C47" s="32">
        <v>1.349</v>
      </c>
      <c r="D47" s="6" t="s">
        <v>82</v>
      </c>
      <c r="E47" s="33" t="s">
        <v>83</v>
      </c>
      <c r="F47" s="7" t="s">
        <v>168</v>
      </c>
    </row>
    <row r="48" spans="1:6" ht="30" x14ac:dyDescent="0.15">
      <c r="A48" s="4" t="s">
        <v>169</v>
      </c>
      <c r="B48" s="4" t="s">
        <v>165</v>
      </c>
      <c r="C48" s="34">
        <v>0.51900000000000002</v>
      </c>
      <c r="D48" s="6" t="s">
        <v>82</v>
      </c>
      <c r="E48" s="33" t="s">
        <v>83</v>
      </c>
      <c r="F48" s="7" t="s">
        <v>170</v>
      </c>
    </row>
    <row r="49" spans="1:6" ht="15" x14ac:dyDescent="0.15">
      <c r="A49" s="4" t="s">
        <v>171</v>
      </c>
      <c r="B49" s="4" t="s">
        <v>165</v>
      </c>
      <c r="C49" s="34">
        <v>0.26</v>
      </c>
      <c r="D49" s="6" t="s">
        <v>82</v>
      </c>
      <c r="E49" s="33" t="s">
        <v>83</v>
      </c>
      <c r="F49" s="7" t="s">
        <v>172</v>
      </c>
    </row>
    <row r="50" spans="1:6" x14ac:dyDescent="0.15">
      <c r="A50" s="3" t="s">
        <v>173</v>
      </c>
      <c r="B50" s="3"/>
      <c r="C50" s="3"/>
      <c r="D50" s="3"/>
      <c r="E50" s="3"/>
      <c r="F50" s="3"/>
    </row>
    <row r="51" spans="1:6" ht="30" x14ac:dyDescent="0.15">
      <c r="A51" s="4" t="s">
        <v>174</v>
      </c>
      <c r="B51" s="4" t="s">
        <v>97</v>
      </c>
      <c r="C51" s="34">
        <v>0.12</v>
      </c>
      <c r="D51" s="6" t="s">
        <v>82</v>
      </c>
      <c r="E51" s="33" t="s">
        <v>83</v>
      </c>
      <c r="F51" s="7" t="s">
        <v>175</v>
      </c>
    </row>
    <row r="52" spans="1:6" x14ac:dyDescent="0.15">
      <c r="A52" s="3" t="s">
        <v>79</v>
      </c>
      <c r="B52" s="3"/>
      <c r="C52" s="3"/>
      <c r="D52" s="3"/>
      <c r="E52" s="3"/>
      <c r="F52" s="3"/>
    </row>
    <row r="53" spans="1:6" ht="45" x14ac:dyDescent="0.15">
      <c r="A53" s="4" t="s">
        <v>176</v>
      </c>
      <c r="B53" s="4" t="s">
        <v>102</v>
      </c>
      <c r="C53" s="34">
        <v>0.1</v>
      </c>
      <c r="D53" s="6" t="s">
        <v>82</v>
      </c>
      <c r="E53" s="33" t="s">
        <v>83</v>
      </c>
      <c r="F53" s="7" t="s">
        <v>177</v>
      </c>
    </row>
    <row r="54" spans="1:6" ht="75" x14ac:dyDescent="0.15">
      <c r="A54" s="4" t="s">
        <v>178</v>
      </c>
      <c r="B54" s="4" t="s">
        <v>179</v>
      </c>
      <c r="C54" s="34">
        <v>0.2</v>
      </c>
      <c r="D54" s="6" t="s">
        <v>82</v>
      </c>
      <c r="E54" s="33" t="s">
        <v>83</v>
      </c>
      <c r="F54" s="7" t="s">
        <v>180</v>
      </c>
    </row>
    <row r="55" spans="1:6" x14ac:dyDescent="0.15">
      <c r="A55" s="3" t="s">
        <v>181</v>
      </c>
      <c r="B55" s="3"/>
      <c r="C55" s="3"/>
      <c r="D55" s="3"/>
      <c r="E55" s="3"/>
      <c r="F55" s="3"/>
    </row>
    <row r="56" spans="1:6" ht="30" x14ac:dyDescent="0.15">
      <c r="A56" s="4" t="s">
        <v>182</v>
      </c>
      <c r="B56" s="4" t="s">
        <v>165</v>
      </c>
      <c r="C56" s="34">
        <v>0.17799999999999999</v>
      </c>
      <c r="D56" s="6" t="s">
        <v>82</v>
      </c>
      <c r="E56" s="33" t="s">
        <v>111</v>
      </c>
      <c r="F56" s="7" t="s">
        <v>183</v>
      </c>
    </row>
    <row r="57" spans="1:6" ht="30" x14ac:dyDescent="0.15">
      <c r="A57" s="4" t="s">
        <v>184</v>
      </c>
      <c r="B57" s="4" t="s">
        <v>165</v>
      </c>
      <c r="C57" s="34">
        <v>0.13500000000000001</v>
      </c>
      <c r="D57" s="6" t="s">
        <v>82</v>
      </c>
      <c r="E57" s="33" t="s">
        <v>111</v>
      </c>
      <c r="F57" s="7" t="s">
        <v>185</v>
      </c>
    </row>
    <row r="58" spans="1:6" ht="30" x14ac:dyDescent="0.15">
      <c r="A58" s="4" t="s">
        <v>186</v>
      </c>
      <c r="B58" s="4" t="s">
        <v>165</v>
      </c>
      <c r="C58" s="34">
        <v>3.5999999999999997E-2</v>
      </c>
      <c r="D58" s="6" t="s">
        <v>82</v>
      </c>
      <c r="E58" s="33" t="s">
        <v>111</v>
      </c>
      <c r="F58" s="7" t="s">
        <v>187</v>
      </c>
    </row>
    <row r="59" spans="1:6" ht="60" x14ac:dyDescent="0.15">
      <c r="A59" s="4" t="s">
        <v>188</v>
      </c>
      <c r="B59" s="4" t="s">
        <v>102</v>
      </c>
      <c r="C59" s="34">
        <v>0.122</v>
      </c>
      <c r="D59" s="6" t="s">
        <v>82</v>
      </c>
      <c r="E59" s="33" t="s">
        <v>111</v>
      </c>
      <c r="F59" s="7" t="s">
        <v>189</v>
      </c>
    </row>
    <row r="60" spans="1:6" x14ac:dyDescent="0.15">
      <c r="A60" s="3" t="s">
        <v>119</v>
      </c>
      <c r="B60" s="3"/>
      <c r="C60" s="3"/>
      <c r="D60" s="3"/>
      <c r="E60" s="3"/>
      <c r="F60" s="3"/>
    </row>
    <row r="61" spans="1:6" ht="210" x14ac:dyDescent="0.15">
      <c r="A61" s="4" t="s">
        <v>190</v>
      </c>
      <c r="B61" s="4" t="s">
        <v>121</v>
      </c>
      <c r="C61" s="34">
        <v>0.24</v>
      </c>
      <c r="D61" s="6" t="s">
        <v>82</v>
      </c>
      <c r="E61" s="33" t="s">
        <v>111</v>
      </c>
      <c r="F61" s="7" t="s">
        <v>191</v>
      </c>
    </row>
    <row r="62" spans="1:6" x14ac:dyDescent="0.15">
      <c r="A62" s="3" t="s">
        <v>192</v>
      </c>
      <c r="B62" s="3"/>
      <c r="C62" s="3"/>
      <c r="D62" s="3"/>
      <c r="E62" s="3"/>
      <c r="F62" s="3"/>
    </row>
    <row r="63" spans="1:6" ht="45" x14ac:dyDescent="0.15">
      <c r="A63" s="4" t="s">
        <v>193</v>
      </c>
      <c r="B63" s="4" t="s">
        <v>194</v>
      </c>
      <c r="C63" s="34">
        <v>0.625</v>
      </c>
      <c r="D63" s="6" t="s">
        <v>82</v>
      </c>
      <c r="E63" s="33" t="s">
        <v>130</v>
      </c>
      <c r="F63" s="7" t="s">
        <v>195</v>
      </c>
    </row>
    <row r="64" spans="1:6" ht="30" x14ac:dyDescent="0.15">
      <c r="A64" s="4" t="s">
        <v>196</v>
      </c>
      <c r="B64" s="4" t="s">
        <v>197</v>
      </c>
      <c r="C64" s="34">
        <v>0.125</v>
      </c>
      <c r="D64" s="6" t="s">
        <v>82</v>
      </c>
      <c r="E64" s="33" t="s">
        <v>130</v>
      </c>
      <c r="F64" s="7" t="s">
        <v>198</v>
      </c>
    </row>
    <row r="65" spans="1:6" x14ac:dyDescent="0.15">
      <c r="A65" s="3" t="s">
        <v>135</v>
      </c>
      <c r="B65" s="3"/>
      <c r="C65" s="3"/>
      <c r="D65" s="3"/>
      <c r="E65" s="3"/>
      <c r="F65" s="3"/>
    </row>
    <row r="66" spans="1:6" ht="45" x14ac:dyDescent="0.15">
      <c r="A66" s="4" t="s">
        <v>199</v>
      </c>
      <c r="B66" s="4" t="s">
        <v>102</v>
      </c>
      <c r="C66" s="34">
        <v>0.25</v>
      </c>
      <c r="D66" s="6" t="s">
        <v>82</v>
      </c>
      <c r="E66" s="33" t="s">
        <v>130</v>
      </c>
      <c r="F66" s="7" t="s">
        <v>200</v>
      </c>
    </row>
    <row r="67" spans="1:6" x14ac:dyDescent="0.15">
      <c r="A67" s="3" t="s">
        <v>138</v>
      </c>
      <c r="B67" s="3"/>
      <c r="C67" s="3"/>
      <c r="D67" s="3"/>
      <c r="E67" s="3"/>
      <c r="F67" s="3"/>
    </row>
    <row r="68" spans="1:6" ht="105" x14ac:dyDescent="0.15">
      <c r="A68" s="4" t="s">
        <v>201</v>
      </c>
      <c r="B68" s="4" t="s">
        <v>165</v>
      </c>
      <c r="C68" s="34">
        <v>0.32869999999999999</v>
      </c>
      <c r="D68" s="6" t="s">
        <v>82</v>
      </c>
      <c r="E68" s="33" t="s">
        <v>140</v>
      </c>
      <c r="F68" s="7" t="s">
        <v>202</v>
      </c>
    </row>
    <row r="69" spans="1:6" ht="30" x14ac:dyDescent="0.15">
      <c r="A69" s="4" t="s">
        <v>203</v>
      </c>
      <c r="B69" s="4" t="s">
        <v>102</v>
      </c>
      <c r="C69" s="34">
        <v>0.1</v>
      </c>
      <c r="D69" s="6" t="s">
        <v>82</v>
      </c>
      <c r="E69" s="33" t="s">
        <v>140</v>
      </c>
      <c r="F69" s="7" t="s">
        <v>204</v>
      </c>
    </row>
    <row r="70" spans="1:6" ht="105" x14ac:dyDescent="0.15">
      <c r="A70" s="4" t="s">
        <v>178</v>
      </c>
      <c r="B70" s="4" t="s">
        <v>179</v>
      </c>
      <c r="C70" s="34">
        <v>0.2</v>
      </c>
      <c r="D70" s="6" t="s">
        <v>82</v>
      </c>
      <c r="E70" s="33" t="s">
        <v>140</v>
      </c>
      <c r="F70" s="7" t="s">
        <v>205</v>
      </c>
    </row>
    <row r="71" spans="1:6" x14ac:dyDescent="0.15">
      <c r="A71" s="3" t="s">
        <v>206</v>
      </c>
      <c r="B71" s="3"/>
      <c r="C71" s="3"/>
      <c r="D71" s="3"/>
      <c r="E71" s="3"/>
      <c r="F71" s="3"/>
    </row>
    <row r="72" spans="1:6" ht="60" x14ac:dyDescent="0.15">
      <c r="A72" s="4" t="s">
        <v>207</v>
      </c>
      <c r="B72" s="4" t="s">
        <v>149</v>
      </c>
      <c r="C72" s="34">
        <v>4.0480000000000002E-2</v>
      </c>
      <c r="D72" s="6" t="s">
        <v>82</v>
      </c>
      <c r="E72" s="33" t="s">
        <v>150</v>
      </c>
      <c r="F72" s="7" t="s">
        <v>208</v>
      </c>
    </row>
    <row r="73" spans="1:6" ht="30" x14ac:dyDescent="0.15">
      <c r="A73" s="4" t="s">
        <v>209</v>
      </c>
      <c r="B73" s="4" t="s">
        <v>153</v>
      </c>
      <c r="C73" s="34">
        <v>4.4450000000000002E-3</v>
      </c>
      <c r="D73" s="6" t="s">
        <v>82</v>
      </c>
      <c r="E73" s="33" t="s">
        <v>150</v>
      </c>
      <c r="F73" s="7" t="s">
        <v>210</v>
      </c>
    </row>
    <row r="74" spans="1:6" ht="60" x14ac:dyDescent="0.15">
      <c r="A74" s="4" t="s">
        <v>211</v>
      </c>
      <c r="B74" s="4" t="s">
        <v>212</v>
      </c>
      <c r="C74" s="32">
        <v>9.01</v>
      </c>
      <c r="D74" s="6" t="s">
        <v>82</v>
      </c>
      <c r="E74" s="33" t="s">
        <v>150</v>
      </c>
      <c r="F74" s="7" t="s">
        <v>213</v>
      </c>
    </row>
    <row r="75" spans="1:6" ht="45" x14ac:dyDescent="0.15">
      <c r="A75" s="4" t="s">
        <v>214</v>
      </c>
      <c r="B75" s="4" t="s">
        <v>212</v>
      </c>
      <c r="C75" s="32">
        <v>36.04</v>
      </c>
      <c r="D75" s="6" t="s">
        <v>82</v>
      </c>
      <c r="E75" s="33" t="s">
        <v>150</v>
      </c>
      <c r="F75" s="7" t="s">
        <v>215</v>
      </c>
    </row>
    <row r="76" spans="1:6" x14ac:dyDescent="0.15">
      <c r="A76" s="3" t="s">
        <v>161</v>
      </c>
      <c r="B76" s="3"/>
      <c r="C76" s="3"/>
      <c r="D76" s="3"/>
      <c r="E76" s="3"/>
      <c r="F76" s="3"/>
    </row>
    <row r="77" spans="1:6" ht="105" x14ac:dyDescent="0.15">
      <c r="A77" s="4" t="s">
        <v>216</v>
      </c>
      <c r="B77" s="4" t="s">
        <v>149</v>
      </c>
      <c r="C77" s="34">
        <v>1.4999999999999999E-2</v>
      </c>
      <c r="D77" s="6" t="s">
        <v>82</v>
      </c>
      <c r="E77" s="33" t="s">
        <v>83</v>
      </c>
      <c r="F77" s="7" t="s">
        <v>217</v>
      </c>
    </row>
    <row r="78" spans="1:6" x14ac:dyDescent="0.15">
      <c r="A78" s="3" t="s">
        <v>218</v>
      </c>
      <c r="B78" s="3"/>
      <c r="C78" s="3"/>
      <c r="D78" s="3"/>
      <c r="E78" s="3"/>
      <c r="F78" s="3"/>
    </row>
    <row r="79" spans="1:6" ht="120" x14ac:dyDescent="0.15">
      <c r="A79" s="4" t="s">
        <v>219</v>
      </c>
      <c r="B79" s="4" t="s">
        <v>220</v>
      </c>
      <c r="C79" s="32">
        <v>3.5</v>
      </c>
      <c r="D79" s="6" t="s">
        <v>82</v>
      </c>
      <c r="E79" s="33" t="s">
        <v>221</v>
      </c>
      <c r="F79" s="7" t="s">
        <v>222</v>
      </c>
    </row>
    <row r="80" spans="1:6" x14ac:dyDescent="0.15">
      <c r="A80" s="3" t="s">
        <v>223</v>
      </c>
      <c r="B80" s="3"/>
      <c r="C80" s="3"/>
      <c r="D80" s="3"/>
      <c r="E80" s="3"/>
      <c r="F80" s="3"/>
    </row>
    <row r="81" spans="1:6" ht="75" x14ac:dyDescent="0.15">
      <c r="A81" s="4" t="s">
        <v>224</v>
      </c>
      <c r="B81" s="4" t="s">
        <v>225</v>
      </c>
      <c r="C81" s="36">
        <v>1.6666700000000001E-5</v>
      </c>
      <c r="D81" s="6" t="s">
        <v>82</v>
      </c>
      <c r="E81" s="33" t="s">
        <v>226</v>
      </c>
      <c r="F81" s="7" t="s">
        <v>227</v>
      </c>
    </row>
    <row r="82" spans="1:6" ht="60" x14ac:dyDescent="0.15">
      <c r="A82" s="4" t="s">
        <v>228</v>
      </c>
      <c r="B82" s="4" t="s">
        <v>229</v>
      </c>
      <c r="C82" s="34">
        <v>0.2</v>
      </c>
      <c r="D82" s="6" t="s">
        <v>82</v>
      </c>
      <c r="E82" s="33" t="s">
        <v>226</v>
      </c>
      <c r="F82" s="7" t="s">
        <v>230</v>
      </c>
    </row>
    <row r="83" spans="1:6" x14ac:dyDescent="0.15">
      <c r="A83" s="3" t="s">
        <v>231</v>
      </c>
      <c r="B83" s="3"/>
      <c r="C83" s="3"/>
      <c r="D83" s="3"/>
      <c r="E83" s="3"/>
      <c r="F83" s="3"/>
    </row>
    <row r="84" spans="1:6" ht="60" x14ac:dyDescent="0.15">
      <c r="A84" s="4" t="s">
        <v>232</v>
      </c>
      <c r="B84" s="4" t="s">
        <v>102</v>
      </c>
      <c r="C84" s="34">
        <v>2.3E-2</v>
      </c>
      <c r="D84" s="6" t="s">
        <v>82</v>
      </c>
      <c r="E84" s="33" t="s">
        <v>233</v>
      </c>
      <c r="F84" s="7" t="s">
        <v>234</v>
      </c>
    </row>
    <row r="85" spans="1:6" ht="45" x14ac:dyDescent="0.15">
      <c r="A85" s="4" t="s">
        <v>235</v>
      </c>
      <c r="B85" s="4" t="s">
        <v>236</v>
      </c>
      <c r="C85" s="34">
        <v>5.0000000000000001E-3</v>
      </c>
      <c r="D85" s="6" t="s">
        <v>82</v>
      </c>
      <c r="E85" s="33" t="s">
        <v>233</v>
      </c>
      <c r="F85" s="7" t="s">
        <v>237</v>
      </c>
    </row>
    <row r="86" spans="1:6" ht="45" x14ac:dyDescent="0.15">
      <c r="A86" s="4" t="s">
        <v>238</v>
      </c>
      <c r="B86" s="4" t="s">
        <v>236</v>
      </c>
      <c r="C86" s="36">
        <v>4.0000000000000002E-4</v>
      </c>
      <c r="D86" s="6" t="s">
        <v>82</v>
      </c>
      <c r="E86" s="33" t="s">
        <v>233</v>
      </c>
      <c r="F86" s="7" t="s">
        <v>239</v>
      </c>
    </row>
    <row r="87" spans="1:6" x14ac:dyDescent="0.15">
      <c r="A87" s="3" t="s">
        <v>240</v>
      </c>
      <c r="B87" s="3"/>
      <c r="C87" s="3"/>
      <c r="D87" s="3"/>
      <c r="E87" s="3"/>
      <c r="F87" s="3"/>
    </row>
    <row r="88" spans="1:6" ht="90" x14ac:dyDescent="0.15">
      <c r="A88" s="4" t="s">
        <v>241</v>
      </c>
      <c r="B88" s="4" t="s">
        <v>220</v>
      </c>
      <c r="C88" s="34">
        <v>0.4</v>
      </c>
      <c r="D88" s="6" t="s">
        <v>82</v>
      </c>
      <c r="E88" s="33" t="s">
        <v>242</v>
      </c>
      <c r="F88" s="7" t="s">
        <v>243</v>
      </c>
    </row>
    <row r="89" spans="1:6" x14ac:dyDescent="0.15">
      <c r="A89" s="3" t="s">
        <v>244</v>
      </c>
      <c r="B89" s="3"/>
      <c r="C89" s="3"/>
      <c r="D89" s="3"/>
      <c r="E89" s="3"/>
      <c r="F89" s="3"/>
    </row>
    <row r="90" spans="1:6" ht="45" x14ac:dyDescent="0.15">
      <c r="A90" s="4" t="s">
        <v>245</v>
      </c>
      <c r="B90" s="4" t="s">
        <v>246</v>
      </c>
      <c r="C90" s="32">
        <v>1</v>
      </c>
      <c r="D90" s="6" t="s">
        <v>82</v>
      </c>
      <c r="E90" s="33" t="s">
        <v>247</v>
      </c>
      <c r="F90" s="7" t="s">
        <v>248</v>
      </c>
    </row>
    <row r="91" spans="1:6" x14ac:dyDescent="0.15">
      <c r="A91" s="3" t="s">
        <v>249</v>
      </c>
      <c r="B91" s="3"/>
      <c r="C91" s="3"/>
      <c r="D91" s="3"/>
      <c r="E91" s="3"/>
      <c r="F91" s="3"/>
    </row>
    <row r="92" spans="1:6" ht="60" x14ac:dyDescent="0.15">
      <c r="A92" s="4" t="s">
        <v>250</v>
      </c>
      <c r="B92" s="4" t="s">
        <v>251</v>
      </c>
      <c r="C92" s="32">
        <v>1</v>
      </c>
      <c r="D92" s="6" t="s">
        <v>82</v>
      </c>
      <c r="E92" s="33" t="s">
        <v>247</v>
      </c>
      <c r="F92" s="7" t="s">
        <v>252</v>
      </c>
    </row>
    <row r="93" spans="1:6" x14ac:dyDescent="0.15">
      <c r="A93" s="3" t="s">
        <v>253</v>
      </c>
      <c r="B93" s="3"/>
      <c r="C93" s="3"/>
      <c r="D93" s="3"/>
      <c r="E93" s="3"/>
      <c r="F93" s="3"/>
    </row>
    <row r="94" spans="1:6" ht="45" x14ac:dyDescent="0.15">
      <c r="A94" s="4" t="s">
        <v>254</v>
      </c>
      <c r="B94" s="4" t="s">
        <v>255</v>
      </c>
      <c r="C94" s="34">
        <v>0.5</v>
      </c>
      <c r="D94" s="6" t="s">
        <v>82</v>
      </c>
      <c r="E94" s="33" t="s">
        <v>256</v>
      </c>
      <c r="F94" s="7" t="s">
        <v>257</v>
      </c>
    </row>
    <row r="95" spans="1:6" ht="30" x14ac:dyDescent="0.15">
      <c r="A95" s="4" t="s">
        <v>258</v>
      </c>
      <c r="B95" s="4" t="s">
        <v>102</v>
      </c>
      <c r="C95" s="34">
        <v>0.03</v>
      </c>
      <c r="D95" s="6" t="s">
        <v>82</v>
      </c>
      <c r="E95" s="33" t="s">
        <v>256</v>
      </c>
      <c r="F95" s="7" t="s">
        <v>259</v>
      </c>
    </row>
    <row r="96" spans="1:6" ht="60" x14ac:dyDescent="0.15">
      <c r="A96" s="4" t="s">
        <v>260</v>
      </c>
      <c r="B96" s="4" t="s">
        <v>261</v>
      </c>
      <c r="C96" s="34">
        <v>0.3</v>
      </c>
      <c r="D96" s="6" t="s">
        <v>82</v>
      </c>
      <c r="E96" s="33" t="s">
        <v>256</v>
      </c>
      <c r="F96" s="7" t="s">
        <v>262</v>
      </c>
    </row>
    <row r="97" spans="1:6" ht="105" x14ac:dyDescent="0.15">
      <c r="A97" s="4" t="s">
        <v>263</v>
      </c>
      <c r="B97" s="4" t="s">
        <v>264</v>
      </c>
      <c r="C97" s="32">
        <v>3</v>
      </c>
      <c r="D97" s="6" t="s">
        <v>82</v>
      </c>
      <c r="E97" s="33" t="s">
        <v>265</v>
      </c>
      <c r="F97" s="7" t="s">
        <v>266</v>
      </c>
    </row>
    <row r="98" spans="1:6" x14ac:dyDescent="0.15">
      <c r="A98" s="3" t="s">
        <v>155</v>
      </c>
      <c r="B98" s="3"/>
      <c r="C98" s="3"/>
      <c r="D98" s="3"/>
      <c r="E98" s="3"/>
      <c r="F98" s="3"/>
    </row>
    <row r="99" spans="1:6" ht="75" x14ac:dyDescent="0.15">
      <c r="A99" s="4" t="s">
        <v>267</v>
      </c>
      <c r="B99" s="4" t="s">
        <v>149</v>
      </c>
      <c r="C99" s="34">
        <v>4.0480000000000002E-2</v>
      </c>
      <c r="D99" s="6" t="s">
        <v>82</v>
      </c>
      <c r="E99" s="33" t="s">
        <v>150</v>
      </c>
      <c r="F99" s="7" t="s">
        <v>268</v>
      </c>
    </row>
    <row r="100" spans="1:6" ht="45" x14ac:dyDescent="0.15">
      <c r="A100" s="4" t="s">
        <v>269</v>
      </c>
      <c r="B100" s="4" t="s">
        <v>153</v>
      </c>
      <c r="C100" s="34">
        <v>4.4450000000000002E-3</v>
      </c>
      <c r="D100" s="6" t="s">
        <v>82</v>
      </c>
      <c r="E100" s="33" t="s">
        <v>150</v>
      </c>
      <c r="F100" s="7" t="s">
        <v>270</v>
      </c>
    </row>
    <row r="101" spans="1:6" x14ac:dyDescent="0.15">
      <c r="A101" s="3" t="s">
        <v>271</v>
      </c>
      <c r="B101" s="3"/>
      <c r="C101" s="3"/>
      <c r="D101" s="3"/>
      <c r="E101" s="3"/>
      <c r="F101" s="3"/>
    </row>
    <row r="102" spans="1:6" ht="45" x14ac:dyDescent="0.15">
      <c r="A102" s="4" t="s">
        <v>272</v>
      </c>
      <c r="B102" s="4" t="s">
        <v>273</v>
      </c>
      <c r="C102" s="34">
        <v>2.2499999999999999E-2</v>
      </c>
      <c r="D102" s="6" t="s">
        <v>82</v>
      </c>
      <c r="E102" s="33" t="s">
        <v>274</v>
      </c>
      <c r="F102" s="7" t="s">
        <v>275</v>
      </c>
    </row>
    <row r="103" spans="1:6" ht="45" x14ac:dyDescent="0.15">
      <c r="A103" s="4" t="s">
        <v>276</v>
      </c>
      <c r="B103" s="4" t="s">
        <v>277</v>
      </c>
      <c r="C103" s="34">
        <v>8.0000000000000002E-3</v>
      </c>
      <c r="D103" s="6" t="s">
        <v>82</v>
      </c>
      <c r="E103" s="33" t="s">
        <v>274</v>
      </c>
      <c r="F103" s="7" t="s">
        <v>278</v>
      </c>
    </row>
    <row r="104" spans="1:6" x14ac:dyDescent="0.15">
      <c r="A104" s="3" t="s">
        <v>279</v>
      </c>
      <c r="B104" s="3"/>
      <c r="C104" s="3"/>
      <c r="D104" s="3"/>
      <c r="E104" s="3"/>
      <c r="F104" s="3"/>
    </row>
    <row r="105" spans="1:6" ht="120" x14ac:dyDescent="0.15">
      <c r="A105" s="4" t="s">
        <v>280</v>
      </c>
      <c r="B105" s="4" t="s">
        <v>81</v>
      </c>
      <c r="C105" s="34">
        <v>4.4999999999999998E-2</v>
      </c>
      <c r="D105" s="6" t="s">
        <v>82</v>
      </c>
      <c r="E105" s="33" t="s">
        <v>281</v>
      </c>
      <c r="F105" s="7" t="s">
        <v>282</v>
      </c>
    </row>
    <row r="106" spans="1:6" ht="45" x14ac:dyDescent="0.15">
      <c r="A106" s="4" t="s">
        <v>283</v>
      </c>
      <c r="B106" s="4" t="s">
        <v>255</v>
      </c>
      <c r="C106" s="34">
        <v>4.4999999999999998E-2</v>
      </c>
      <c r="D106" s="6" t="s">
        <v>82</v>
      </c>
      <c r="E106" s="33" t="s">
        <v>281</v>
      </c>
      <c r="F106" s="7" t="s">
        <v>284</v>
      </c>
    </row>
    <row r="107" spans="1:6" x14ac:dyDescent="0.15">
      <c r="A107" s="3" t="s">
        <v>285</v>
      </c>
      <c r="B107" s="3"/>
      <c r="C107" s="3"/>
      <c r="D107" s="3"/>
      <c r="E107" s="3"/>
      <c r="F107" s="3"/>
    </row>
    <row r="108" spans="1:6" ht="45" x14ac:dyDescent="0.15">
      <c r="A108" s="4" t="s">
        <v>286</v>
      </c>
      <c r="B108" s="4" t="s">
        <v>287</v>
      </c>
      <c r="C108" s="34">
        <v>0.4</v>
      </c>
      <c r="D108" s="6" t="s">
        <v>82</v>
      </c>
      <c r="E108" s="33" t="s">
        <v>288</v>
      </c>
      <c r="F108" s="7" t="s">
        <v>289</v>
      </c>
    </row>
    <row r="109" spans="1:6" ht="30" x14ac:dyDescent="0.15">
      <c r="A109" s="4" t="s">
        <v>290</v>
      </c>
      <c r="B109" s="4" t="s">
        <v>291</v>
      </c>
      <c r="C109" s="34">
        <v>0.05</v>
      </c>
      <c r="D109" s="6" t="s">
        <v>82</v>
      </c>
      <c r="E109" s="33" t="s">
        <v>288</v>
      </c>
      <c r="F109" s="7" t="s">
        <v>292</v>
      </c>
    </row>
    <row r="110" spans="1:6" x14ac:dyDescent="0.15">
      <c r="A110" s="3" t="s">
        <v>293</v>
      </c>
      <c r="B110" s="3"/>
      <c r="C110" s="3"/>
      <c r="D110" s="3"/>
      <c r="E110" s="3"/>
      <c r="F110" s="3"/>
    </row>
    <row r="111" spans="1:6" ht="90" x14ac:dyDescent="0.15">
      <c r="A111" s="4" t="s">
        <v>294</v>
      </c>
      <c r="B111" s="4" t="s">
        <v>295</v>
      </c>
      <c r="C111" s="34">
        <v>0.01</v>
      </c>
      <c r="D111" s="6" t="s">
        <v>82</v>
      </c>
      <c r="E111" s="33" t="s">
        <v>296</v>
      </c>
      <c r="F111" s="7" t="s">
        <v>297</v>
      </c>
    </row>
    <row r="112" spans="1:6" ht="75" x14ac:dyDescent="0.15">
      <c r="A112" s="4" t="s">
        <v>298</v>
      </c>
      <c r="B112" s="4" t="s">
        <v>255</v>
      </c>
      <c r="C112" s="34">
        <v>0.01</v>
      </c>
      <c r="D112" s="6" t="s">
        <v>82</v>
      </c>
      <c r="E112" s="33" t="s">
        <v>296</v>
      </c>
      <c r="F112" s="7" t="s">
        <v>299</v>
      </c>
    </row>
    <row r="113" spans="1:6" x14ac:dyDescent="0.15">
      <c r="A113" s="3" t="s">
        <v>300</v>
      </c>
      <c r="B113" s="3"/>
      <c r="C113" s="3"/>
      <c r="D113" s="3"/>
      <c r="E113" s="3"/>
      <c r="F113" s="3"/>
    </row>
    <row r="114" spans="1:6" ht="105" x14ac:dyDescent="0.15">
      <c r="A114" s="4" t="s">
        <v>301</v>
      </c>
      <c r="B114" s="4" t="s">
        <v>255</v>
      </c>
      <c r="C114" s="34">
        <v>8.5000000000000006E-2</v>
      </c>
      <c r="D114" s="6" t="s">
        <v>82</v>
      </c>
      <c r="E114" s="33" t="s">
        <v>302</v>
      </c>
      <c r="F114" s="7" t="s">
        <v>303</v>
      </c>
    </row>
    <row r="115" spans="1:6" ht="45" x14ac:dyDescent="0.15">
      <c r="A115" s="4" t="s">
        <v>304</v>
      </c>
      <c r="B115" s="4" t="s">
        <v>305</v>
      </c>
      <c r="C115" s="34">
        <v>0.01</v>
      </c>
      <c r="D115" s="6" t="s">
        <v>82</v>
      </c>
      <c r="E115" s="33" t="s">
        <v>302</v>
      </c>
      <c r="F115" s="7" t="s">
        <v>306</v>
      </c>
    </row>
    <row r="116" spans="1:6" x14ac:dyDescent="0.15">
      <c r="A116" s="3" t="s">
        <v>307</v>
      </c>
      <c r="B116" s="3"/>
      <c r="C116" s="3"/>
      <c r="D116" s="3"/>
      <c r="E116" s="3"/>
      <c r="F116" s="3"/>
    </row>
    <row r="117" spans="1:6" ht="60" x14ac:dyDescent="0.15">
      <c r="A117" s="4" t="s">
        <v>308</v>
      </c>
      <c r="B117" s="4" t="s">
        <v>309</v>
      </c>
      <c r="C117" s="32">
        <v>4</v>
      </c>
      <c r="D117" s="6" t="s">
        <v>82</v>
      </c>
      <c r="E117" s="33" t="s">
        <v>310</v>
      </c>
      <c r="F117" s="7" t="s">
        <v>311</v>
      </c>
    </row>
    <row r="118" spans="1:6" ht="45" x14ac:dyDescent="0.15">
      <c r="A118" s="4" t="s">
        <v>312</v>
      </c>
      <c r="B118" s="4" t="s">
        <v>313</v>
      </c>
      <c r="C118" s="32">
        <v>2</v>
      </c>
      <c r="D118" s="6" t="s">
        <v>82</v>
      </c>
      <c r="E118" s="33" t="s">
        <v>310</v>
      </c>
      <c r="F118" s="7" t="s">
        <v>314</v>
      </c>
    </row>
    <row r="119" spans="1:6" ht="30" x14ac:dyDescent="0.15">
      <c r="A119" s="4" t="s">
        <v>315</v>
      </c>
      <c r="B119" s="4" t="s">
        <v>316</v>
      </c>
      <c r="C119" s="34">
        <v>0.08</v>
      </c>
      <c r="D119" s="6" t="s">
        <v>82</v>
      </c>
      <c r="E119" s="33" t="s">
        <v>310</v>
      </c>
      <c r="F119" s="7" t="s">
        <v>317</v>
      </c>
    </row>
    <row r="120" spans="1:6" x14ac:dyDescent="0.15">
      <c r="A120" s="3" t="s">
        <v>318</v>
      </c>
      <c r="B120" s="3"/>
      <c r="C120" s="3"/>
      <c r="D120" s="3"/>
      <c r="E120" s="3"/>
      <c r="F120" s="3"/>
    </row>
    <row r="121" spans="1:6" ht="135" x14ac:dyDescent="0.15">
      <c r="A121" s="4" t="s">
        <v>319</v>
      </c>
      <c r="B121" s="4" t="s">
        <v>320</v>
      </c>
      <c r="C121" s="32">
        <v>5</v>
      </c>
      <c r="D121" s="6" t="s">
        <v>82</v>
      </c>
      <c r="E121" s="33" t="s">
        <v>321</v>
      </c>
      <c r="F121" s="7" t="s">
        <v>322</v>
      </c>
    </row>
    <row r="122" spans="1:6" ht="45" x14ac:dyDescent="0.15">
      <c r="A122" s="4" t="s">
        <v>323</v>
      </c>
      <c r="B122" s="4" t="s">
        <v>324</v>
      </c>
      <c r="C122" s="32">
        <v>25</v>
      </c>
      <c r="D122" s="6" t="s">
        <v>82</v>
      </c>
      <c r="E122" s="33" t="s">
        <v>321</v>
      </c>
      <c r="F122" s="7" t="s">
        <v>325</v>
      </c>
    </row>
    <row r="123" spans="1:6" ht="30" x14ac:dyDescent="0.15">
      <c r="A123" s="4" t="s">
        <v>326</v>
      </c>
      <c r="B123" s="4" t="s">
        <v>320</v>
      </c>
      <c r="C123" s="32">
        <v>6.25</v>
      </c>
      <c r="D123" s="6" t="s">
        <v>82</v>
      </c>
      <c r="E123" s="33" t="s">
        <v>321</v>
      </c>
      <c r="F123" s="7" t="s">
        <v>327</v>
      </c>
    </row>
    <row r="124" spans="1:6" ht="45" x14ac:dyDescent="0.15">
      <c r="A124" s="4" t="s">
        <v>328</v>
      </c>
      <c r="B124" s="4" t="s">
        <v>320</v>
      </c>
      <c r="C124" s="32">
        <v>10</v>
      </c>
      <c r="D124" s="6" t="s">
        <v>82</v>
      </c>
      <c r="E124" s="33" t="s">
        <v>321</v>
      </c>
      <c r="F124" s="7" t="s">
        <v>329</v>
      </c>
    </row>
    <row r="125" spans="1:6" ht="45" x14ac:dyDescent="0.15">
      <c r="A125" s="4" t="s">
        <v>330</v>
      </c>
      <c r="B125" s="4" t="s">
        <v>320</v>
      </c>
      <c r="C125" s="34">
        <v>0.5</v>
      </c>
      <c r="D125" s="6" t="s">
        <v>82</v>
      </c>
      <c r="E125" s="33" t="s">
        <v>321</v>
      </c>
      <c r="F125" s="7" t="s">
        <v>331</v>
      </c>
    </row>
    <row r="126" spans="1:6" x14ac:dyDescent="0.15">
      <c r="A126" s="3" t="s">
        <v>332</v>
      </c>
      <c r="B126" s="3"/>
      <c r="C126" s="3"/>
      <c r="D126" s="3"/>
      <c r="E126" s="3"/>
      <c r="F126" s="3"/>
    </row>
    <row r="127" spans="1:6" ht="150" x14ac:dyDescent="0.15">
      <c r="A127" s="4" t="s">
        <v>319</v>
      </c>
      <c r="B127" s="4" t="s">
        <v>320</v>
      </c>
      <c r="C127" s="32">
        <v>2</v>
      </c>
      <c r="D127" s="6" t="s">
        <v>82</v>
      </c>
      <c r="E127" s="33" t="s">
        <v>321</v>
      </c>
      <c r="F127" s="7" t="s">
        <v>333</v>
      </c>
    </row>
    <row r="128" spans="1:6" ht="45" x14ac:dyDescent="0.15">
      <c r="A128" s="4" t="s">
        <v>323</v>
      </c>
      <c r="B128" s="4" t="s">
        <v>324</v>
      </c>
      <c r="C128" s="32">
        <v>10</v>
      </c>
      <c r="D128" s="6" t="s">
        <v>82</v>
      </c>
      <c r="E128" s="33" t="s">
        <v>321</v>
      </c>
      <c r="F128" s="7" t="s">
        <v>334</v>
      </c>
    </row>
    <row r="129" spans="1:6" ht="30" x14ac:dyDescent="0.15">
      <c r="A129" s="4" t="s">
        <v>326</v>
      </c>
      <c r="B129" s="4" t="s">
        <v>320</v>
      </c>
      <c r="C129" s="32">
        <v>2.5</v>
      </c>
      <c r="D129" s="6" t="s">
        <v>82</v>
      </c>
      <c r="E129" s="33" t="s">
        <v>321</v>
      </c>
      <c r="F129" s="7" t="s">
        <v>335</v>
      </c>
    </row>
    <row r="130" spans="1:6" ht="30" x14ac:dyDescent="0.15">
      <c r="A130" s="4" t="s">
        <v>328</v>
      </c>
      <c r="B130" s="4" t="s">
        <v>320</v>
      </c>
      <c r="C130" s="32">
        <v>4</v>
      </c>
      <c r="D130" s="6" t="s">
        <v>82</v>
      </c>
      <c r="E130" s="33" t="s">
        <v>321</v>
      </c>
      <c r="F130" s="7" t="s">
        <v>336</v>
      </c>
    </row>
    <row r="131" spans="1:6" ht="60" x14ac:dyDescent="0.15">
      <c r="A131" s="4" t="s">
        <v>330</v>
      </c>
      <c r="B131" s="4" t="s">
        <v>320</v>
      </c>
      <c r="C131" s="34">
        <v>0.2</v>
      </c>
      <c r="D131" s="6" t="s">
        <v>82</v>
      </c>
      <c r="E131" s="33" t="s">
        <v>321</v>
      </c>
      <c r="F131" s="7" t="s">
        <v>337</v>
      </c>
    </row>
    <row r="132" spans="1:6" x14ac:dyDescent="0.15">
      <c r="A132" s="3" t="s">
        <v>338</v>
      </c>
      <c r="B132" s="3"/>
      <c r="C132" s="3"/>
      <c r="D132" s="3"/>
      <c r="E132" s="3"/>
      <c r="F132" s="3"/>
    </row>
    <row r="133" spans="1:6" ht="30" x14ac:dyDescent="0.15">
      <c r="A133" s="4" t="s">
        <v>319</v>
      </c>
      <c r="B133" s="4" t="s">
        <v>320</v>
      </c>
      <c r="C133" s="32">
        <v>1</v>
      </c>
      <c r="D133" s="6" t="s">
        <v>82</v>
      </c>
      <c r="E133" s="33" t="s">
        <v>321</v>
      </c>
      <c r="F133" s="7" t="s">
        <v>339</v>
      </c>
    </row>
    <row r="134" spans="1:6" ht="30" x14ac:dyDescent="0.15">
      <c r="A134" s="4" t="s">
        <v>323</v>
      </c>
      <c r="B134" s="4" t="s">
        <v>324</v>
      </c>
      <c r="C134" s="32">
        <v>5</v>
      </c>
      <c r="D134" s="6" t="s">
        <v>82</v>
      </c>
      <c r="E134" s="33" t="s">
        <v>321</v>
      </c>
      <c r="F134" s="7" t="s">
        <v>340</v>
      </c>
    </row>
    <row r="135" spans="1:6" ht="15" x14ac:dyDescent="0.15">
      <c r="A135" s="4" t="s">
        <v>326</v>
      </c>
      <c r="B135" s="4" t="s">
        <v>320</v>
      </c>
      <c r="C135" s="32">
        <v>1.25</v>
      </c>
      <c r="D135" s="6" t="s">
        <v>82</v>
      </c>
      <c r="E135" s="33" t="s">
        <v>321</v>
      </c>
      <c r="F135" s="7" t="s">
        <v>341</v>
      </c>
    </row>
    <row r="136" spans="1:6" ht="15" x14ac:dyDescent="0.15">
      <c r="A136" s="4" t="s">
        <v>328</v>
      </c>
      <c r="B136" s="4" t="s">
        <v>320</v>
      </c>
      <c r="C136" s="32">
        <v>2</v>
      </c>
      <c r="D136" s="6" t="s">
        <v>82</v>
      </c>
      <c r="E136" s="33" t="s">
        <v>321</v>
      </c>
      <c r="F136" s="7" t="s">
        <v>342</v>
      </c>
    </row>
    <row r="137" spans="1:6" ht="15" x14ac:dyDescent="0.15">
      <c r="A137" s="4" t="s">
        <v>330</v>
      </c>
      <c r="B137" s="4" t="s">
        <v>320</v>
      </c>
      <c r="C137" s="34">
        <v>0.1</v>
      </c>
      <c r="D137" s="6" t="s">
        <v>82</v>
      </c>
      <c r="E137" s="33" t="s">
        <v>321</v>
      </c>
      <c r="F137" s="7" t="s">
        <v>343</v>
      </c>
    </row>
    <row r="138" spans="1:6" x14ac:dyDescent="0.15">
      <c r="A138" s="3" t="s">
        <v>344</v>
      </c>
      <c r="B138" s="3"/>
      <c r="C138" s="3"/>
      <c r="D138" s="3"/>
      <c r="E138" s="3"/>
      <c r="F138" s="3"/>
    </row>
    <row r="139" spans="1:6" ht="75" x14ac:dyDescent="0.15">
      <c r="A139" s="4" t="s">
        <v>345</v>
      </c>
      <c r="B139" s="4" t="s">
        <v>320</v>
      </c>
      <c r="C139" s="34">
        <v>0.02</v>
      </c>
      <c r="D139" s="6" t="s">
        <v>82</v>
      </c>
      <c r="E139" s="33" t="s">
        <v>321</v>
      </c>
      <c r="F139" s="7" t="s">
        <v>346</v>
      </c>
    </row>
    <row r="140" spans="1:6" ht="45" x14ac:dyDescent="0.15">
      <c r="A140" s="4" t="s">
        <v>347</v>
      </c>
      <c r="B140" s="4" t="s">
        <v>320</v>
      </c>
      <c r="C140" s="34">
        <v>0.01</v>
      </c>
      <c r="D140" s="6" t="s">
        <v>82</v>
      </c>
      <c r="E140" s="33" t="s">
        <v>321</v>
      </c>
      <c r="F140" s="7" t="s">
        <v>348</v>
      </c>
    </row>
    <row r="141" spans="1:6" x14ac:dyDescent="0.15">
      <c r="A141" s="3" t="s">
        <v>349</v>
      </c>
      <c r="B141" s="3"/>
      <c r="C141" s="3"/>
      <c r="D141" s="3"/>
      <c r="E141" s="3"/>
      <c r="F141" s="3"/>
    </row>
    <row r="142" spans="1:6" ht="75" x14ac:dyDescent="0.15">
      <c r="A142" s="4" t="s">
        <v>350</v>
      </c>
      <c r="B142" s="4" t="s">
        <v>149</v>
      </c>
      <c r="C142" s="34">
        <v>8.9499999999999996E-2</v>
      </c>
      <c r="D142" s="6" t="s">
        <v>82</v>
      </c>
      <c r="E142" s="33" t="s">
        <v>351</v>
      </c>
      <c r="F142" s="7" t="s">
        <v>352</v>
      </c>
    </row>
    <row r="143" spans="1:6" ht="45" x14ac:dyDescent="0.15">
      <c r="A143" s="4" t="s">
        <v>353</v>
      </c>
      <c r="B143" s="4" t="s">
        <v>153</v>
      </c>
      <c r="C143" s="34">
        <v>9.4500000000000001E-3</v>
      </c>
      <c r="D143" s="6" t="s">
        <v>82</v>
      </c>
      <c r="E143" s="33" t="s">
        <v>351</v>
      </c>
      <c r="F143" s="7" t="s">
        <v>354</v>
      </c>
    </row>
    <row r="144" spans="1:6" x14ac:dyDescent="0.15">
      <c r="A144" s="3" t="s">
        <v>355</v>
      </c>
      <c r="B144" s="3"/>
      <c r="C144" s="3"/>
      <c r="D144" s="3"/>
      <c r="E144" s="3"/>
      <c r="F144" s="3"/>
    </row>
    <row r="145" spans="1:6" ht="45" x14ac:dyDescent="0.15">
      <c r="A145" s="4" t="s">
        <v>356</v>
      </c>
      <c r="B145" s="4" t="s">
        <v>357</v>
      </c>
      <c r="C145" s="34">
        <v>0.25</v>
      </c>
      <c r="D145" s="6" t="s">
        <v>82</v>
      </c>
      <c r="E145" s="33" t="s">
        <v>351</v>
      </c>
      <c r="F145" s="7" t="s">
        <v>358</v>
      </c>
    </row>
    <row r="146" spans="1:6" ht="60" x14ac:dyDescent="0.15">
      <c r="A146" s="4" t="s">
        <v>359</v>
      </c>
      <c r="B146" s="4" t="s">
        <v>360</v>
      </c>
      <c r="C146" s="34">
        <v>0.75</v>
      </c>
      <c r="D146" s="6" t="s">
        <v>82</v>
      </c>
      <c r="E146" s="33" t="s">
        <v>351</v>
      </c>
      <c r="F146" s="7" t="s">
        <v>361</v>
      </c>
    </row>
    <row r="147" spans="1:6" ht="60" x14ac:dyDescent="0.15">
      <c r="A147" s="4" t="s">
        <v>362</v>
      </c>
      <c r="B147" s="4" t="s">
        <v>360</v>
      </c>
      <c r="C147" s="34">
        <v>0.25</v>
      </c>
      <c r="D147" s="6" t="s">
        <v>82</v>
      </c>
      <c r="E147" s="33" t="s">
        <v>351</v>
      </c>
      <c r="F147" s="7" t="s">
        <v>363</v>
      </c>
    </row>
    <row r="148" spans="1:6" ht="30" x14ac:dyDescent="0.15">
      <c r="A148" s="4" t="s">
        <v>364</v>
      </c>
      <c r="B148" s="4" t="s">
        <v>365</v>
      </c>
      <c r="C148" s="34">
        <v>0.5</v>
      </c>
      <c r="D148" s="6" t="s">
        <v>82</v>
      </c>
      <c r="E148" s="33" t="s">
        <v>351</v>
      </c>
      <c r="F148" s="7" t="s">
        <v>366</v>
      </c>
    </row>
    <row r="149" spans="1:6" x14ac:dyDescent="0.15">
      <c r="A149" s="3" t="s">
        <v>367</v>
      </c>
      <c r="B149" s="3"/>
      <c r="C149" s="3"/>
      <c r="D149" s="3"/>
      <c r="E149" s="3"/>
      <c r="F149" s="3"/>
    </row>
    <row r="150" spans="1:6" ht="45" x14ac:dyDescent="0.15">
      <c r="A150" s="4" t="s">
        <v>368</v>
      </c>
      <c r="B150" s="4" t="s">
        <v>369</v>
      </c>
      <c r="C150" s="34">
        <v>5.0000000000000001E-3</v>
      </c>
      <c r="D150" s="6" t="s">
        <v>82</v>
      </c>
      <c r="E150" s="33" t="s">
        <v>351</v>
      </c>
      <c r="F150" s="7" t="s">
        <v>370</v>
      </c>
    </row>
    <row r="151" spans="1:6" ht="45" x14ac:dyDescent="0.15">
      <c r="A151" s="4" t="s">
        <v>371</v>
      </c>
      <c r="B151" s="4" t="s">
        <v>369</v>
      </c>
      <c r="C151" s="34">
        <v>2.5000000000000001E-2</v>
      </c>
      <c r="D151" s="6" t="s">
        <v>82</v>
      </c>
      <c r="E151" s="33" t="s">
        <v>351</v>
      </c>
      <c r="F151" s="7" t="s">
        <v>372</v>
      </c>
    </row>
    <row r="152" spans="1:6" ht="30" x14ac:dyDescent="0.15">
      <c r="A152" s="4" t="s">
        <v>373</v>
      </c>
      <c r="B152" s="4" t="s">
        <v>374</v>
      </c>
      <c r="C152" s="34">
        <v>0.02</v>
      </c>
      <c r="D152" s="6" t="s">
        <v>82</v>
      </c>
      <c r="E152" s="33" t="s">
        <v>351</v>
      </c>
      <c r="F152" s="7" t="s">
        <v>375</v>
      </c>
    </row>
    <row r="153" spans="1:6" ht="45" x14ac:dyDescent="0.15">
      <c r="A153" s="4" t="s">
        <v>376</v>
      </c>
      <c r="B153" s="4" t="s">
        <v>255</v>
      </c>
      <c r="C153" s="34">
        <v>6.0000000000000001E-3</v>
      </c>
      <c r="D153" s="6" t="s">
        <v>82</v>
      </c>
      <c r="E153" s="33" t="s">
        <v>351</v>
      </c>
      <c r="F153" s="7" t="s">
        <v>377</v>
      </c>
    </row>
    <row r="154" spans="1:6" x14ac:dyDescent="0.15">
      <c r="A154" s="3" t="s">
        <v>378</v>
      </c>
      <c r="B154" s="3"/>
      <c r="C154" s="3"/>
      <c r="D154" s="3"/>
      <c r="E154" s="3"/>
      <c r="F154" s="3"/>
    </row>
    <row r="155" spans="1:6" ht="135" x14ac:dyDescent="0.15">
      <c r="A155" s="4" t="s">
        <v>379</v>
      </c>
      <c r="B155" s="4" t="s">
        <v>236</v>
      </c>
      <c r="C155" s="34">
        <v>0.01</v>
      </c>
      <c r="D155" s="6" t="s">
        <v>82</v>
      </c>
      <c r="E155" s="33" t="s">
        <v>351</v>
      </c>
      <c r="F155" s="7" t="s">
        <v>380</v>
      </c>
    </row>
    <row r="156" spans="1:6" x14ac:dyDescent="0.15">
      <c r="A156" s="3" t="s">
        <v>381</v>
      </c>
      <c r="B156" s="3"/>
      <c r="C156" s="3"/>
      <c r="D156" s="3"/>
      <c r="E156" s="3"/>
      <c r="F156" s="3"/>
    </row>
    <row r="157" spans="1:6" ht="135" x14ac:dyDescent="0.15">
      <c r="A157" s="4" t="s">
        <v>382</v>
      </c>
      <c r="B157" s="4" t="s">
        <v>383</v>
      </c>
      <c r="C157" s="35">
        <v>0</v>
      </c>
      <c r="D157" s="6" t="s">
        <v>82</v>
      </c>
      <c r="E157" s="33" t="s">
        <v>321</v>
      </c>
      <c r="F157" s="7" t="s">
        <v>384</v>
      </c>
    </row>
    <row r="158" spans="1:6" ht="75" x14ac:dyDescent="0.15">
      <c r="A158" s="4" t="s">
        <v>385</v>
      </c>
      <c r="B158" s="4" t="s">
        <v>386</v>
      </c>
      <c r="C158" s="34">
        <v>0.21</v>
      </c>
      <c r="D158" s="6" t="s">
        <v>82</v>
      </c>
      <c r="E158" s="33" t="s">
        <v>321</v>
      </c>
      <c r="F158" s="7" t="s">
        <v>387</v>
      </c>
    </row>
    <row r="159" spans="1:6" x14ac:dyDescent="0.15">
      <c r="A159" s="3" t="s">
        <v>388</v>
      </c>
      <c r="B159" s="3"/>
      <c r="C159" s="3"/>
      <c r="D159" s="3"/>
      <c r="E159" s="3"/>
      <c r="F159" s="3"/>
    </row>
    <row r="160" spans="1:6" ht="120" x14ac:dyDescent="0.15">
      <c r="A160" s="4" t="s">
        <v>389</v>
      </c>
      <c r="B160" s="4" t="s">
        <v>390</v>
      </c>
      <c r="C160" s="34">
        <v>0.15</v>
      </c>
      <c r="D160" s="6" t="s">
        <v>82</v>
      </c>
      <c r="E160" s="33" t="s">
        <v>321</v>
      </c>
      <c r="F160" s="7" t="s">
        <v>391</v>
      </c>
    </row>
    <row r="161" spans="1:6" ht="60" x14ac:dyDescent="0.15">
      <c r="A161" s="4" t="s">
        <v>392</v>
      </c>
      <c r="B161" s="4" t="s">
        <v>393</v>
      </c>
      <c r="C161" s="34">
        <v>0.75</v>
      </c>
      <c r="D161" s="6" t="s">
        <v>82</v>
      </c>
      <c r="E161" s="33" t="s">
        <v>321</v>
      </c>
      <c r="F161" s="7" t="s">
        <v>394</v>
      </c>
    </row>
  </sheetData>
  <mergeCells count="47">
    <mergeCell ref="A156:F156"/>
    <mergeCell ref="A159:F159"/>
    <mergeCell ref="A138:F138"/>
    <mergeCell ref="A141:F141"/>
    <mergeCell ref="A144:F144"/>
    <mergeCell ref="A149:F149"/>
    <mergeCell ref="A154:F154"/>
    <mergeCell ref="A113:F113"/>
    <mergeCell ref="A116:F116"/>
    <mergeCell ref="A120:F120"/>
    <mergeCell ref="A126:F126"/>
    <mergeCell ref="A132:F132"/>
    <mergeCell ref="A98:F98"/>
    <mergeCell ref="A101:F101"/>
    <mergeCell ref="A104:F104"/>
    <mergeCell ref="A107:F107"/>
    <mergeCell ref="A110:F110"/>
    <mergeCell ref="A83:F83"/>
    <mergeCell ref="A87:F87"/>
    <mergeCell ref="A89:F89"/>
    <mergeCell ref="A91:F91"/>
    <mergeCell ref="A93:F93"/>
    <mergeCell ref="A67:F67"/>
    <mergeCell ref="A71:F71"/>
    <mergeCell ref="A76:F76"/>
    <mergeCell ref="A78:F78"/>
    <mergeCell ref="A80:F80"/>
    <mergeCell ref="A52:F52"/>
    <mergeCell ref="A55:F55"/>
    <mergeCell ref="A60:F60"/>
    <mergeCell ref="A62:F62"/>
    <mergeCell ref="A65:F65"/>
    <mergeCell ref="A37:F37"/>
    <mergeCell ref="A40:F40"/>
    <mergeCell ref="A43:F43"/>
    <mergeCell ref="A45:F45"/>
    <mergeCell ref="A50:F50"/>
    <mergeCell ref="A19:F19"/>
    <mergeCell ref="A24:F24"/>
    <mergeCell ref="A27:F27"/>
    <mergeCell ref="A30:F30"/>
    <mergeCell ref="A32:F32"/>
    <mergeCell ref="A1:F1"/>
    <mergeCell ref="A2:F2"/>
    <mergeCell ref="A5:F5"/>
    <mergeCell ref="A12:F12"/>
    <mergeCell ref="A15:F1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3"/>
  <sheetViews>
    <sheetView showGridLines="0" zoomScaleNormal="100" workbookViewId="0">
      <pane ySplit="3" topLeftCell="A4" activePane="bottomLeft" state="frozen"/>
      <selection pane="bottomLeft" activeCell="C21" sqref="C21"/>
    </sheetView>
  </sheetViews>
  <sheetFormatPr baseColWidth="10" defaultColWidth="8.6640625" defaultRowHeight="15" x14ac:dyDescent="0.2"/>
  <cols>
    <col min="1" max="1" width="6" style="12" customWidth="1"/>
    <col min="2" max="2" width="34" style="42" customWidth="1"/>
    <col min="3" max="3" width="40" style="42" customWidth="1"/>
    <col min="4" max="4" width="8" style="12" customWidth="1"/>
    <col min="5" max="5" width="20" style="12" customWidth="1"/>
    <col min="6" max="6" width="16" style="12" customWidth="1"/>
    <col min="7" max="8" width="14" style="12" customWidth="1"/>
    <col min="9" max="9" width="20" style="12" customWidth="1"/>
    <col min="10" max="10" width="22" style="12" customWidth="1"/>
    <col min="11" max="11" width="18" style="12" customWidth="1"/>
    <col min="12" max="12" width="65" style="12" customWidth="1"/>
    <col min="13" max="13" width="16" style="12" customWidth="1"/>
  </cols>
  <sheetData>
    <row r="1" spans="1:13" ht="18" customHeight="1" x14ac:dyDescent="0.2">
      <c r="A1" s="11" t="s">
        <v>395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4"/>
    </row>
    <row r="2" spans="1:13" ht="30" customHeight="1" x14ac:dyDescent="0.2">
      <c r="A2" s="13" t="str">
        <f>"Points x PointRate (currently $"&amp;TEXT(PointRate,"#,##0.00")&amp;"/point) -- PointRate defaults to 0 (RATE_MISSING convention): visible zero, un-costed not free until a real rate is supplied."</f>
        <v>Points x PointRate (currently $0.00/point) -- PointRate defaults to 0 (RATE_MISSING convention): visible zero, un-costed not free until a real rate is supplied.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4"/>
    </row>
    <row r="3" spans="1:13" x14ac:dyDescent="0.2">
      <c r="A3" s="2" t="s">
        <v>396</v>
      </c>
      <c r="B3" s="20" t="s">
        <v>397</v>
      </c>
      <c r="C3" s="20" t="s">
        <v>398</v>
      </c>
      <c r="D3" s="2" t="s">
        <v>399</v>
      </c>
      <c r="E3" s="2" t="s">
        <v>400</v>
      </c>
      <c r="F3" s="2" t="s">
        <v>401</v>
      </c>
      <c r="G3" s="2" t="s">
        <v>402</v>
      </c>
      <c r="H3" s="2" t="s">
        <v>403</v>
      </c>
      <c r="I3" s="2" t="s">
        <v>404</v>
      </c>
      <c r="J3" s="2" t="s">
        <v>405</v>
      </c>
      <c r="K3" s="2" t="s">
        <v>76</v>
      </c>
      <c r="L3" s="2" t="s">
        <v>406</v>
      </c>
      <c r="M3" s="2" t="s">
        <v>407</v>
      </c>
    </row>
    <row r="4" spans="1:13" ht="45" x14ac:dyDescent="0.2">
      <c r="A4" s="4" t="s">
        <v>408</v>
      </c>
      <c r="B4" s="21" t="s">
        <v>409</v>
      </c>
      <c r="C4" s="21" t="s">
        <v>410</v>
      </c>
      <c r="D4" s="37">
        <v>2</v>
      </c>
      <c r="E4" s="30">
        <f>ItemsPerMonth</f>
        <v>9890</v>
      </c>
      <c r="F4" s="4" t="s">
        <v>411</v>
      </c>
      <c r="G4" s="4" t="s">
        <v>411</v>
      </c>
      <c r="H4" s="4" t="s">
        <v>411</v>
      </c>
      <c r="I4" s="8">
        <f>ItemsPerMonth*Rates!$C$79/1000000</f>
        <v>3.4615E-2</v>
      </c>
      <c r="J4" s="38">
        <f t="shared" ref="J4:J41" si="0">D4*PointRate</f>
        <v>0</v>
      </c>
      <c r="K4" s="6" t="s">
        <v>28</v>
      </c>
      <c r="L4" s="7" t="s">
        <v>412</v>
      </c>
      <c r="M4" s="4"/>
    </row>
    <row r="5" spans="1:13" ht="45" x14ac:dyDescent="0.2">
      <c r="A5" s="4" t="s">
        <v>408</v>
      </c>
      <c r="B5" s="21" t="s">
        <v>413</v>
      </c>
      <c r="C5" s="21" t="s">
        <v>414</v>
      </c>
      <c r="D5" s="37">
        <v>1</v>
      </c>
      <c r="E5" s="4" t="s">
        <v>411</v>
      </c>
      <c r="F5" s="4" t="s">
        <v>411</v>
      </c>
      <c r="G5" s="4" t="s">
        <v>411</v>
      </c>
      <c r="H5" s="4" t="s">
        <v>411</v>
      </c>
      <c r="I5" s="8">
        <f>ItemsPerMonth*0</f>
        <v>0</v>
      </c>
      <c r="J5" s="38">
        <f t="shared" si="0"/>
        <v>0</v>
      </c>
      <c r="K5" s="6" t="s">
        <v>28</v>
      </c>
      <c r="L5" s="7" t="s">
        <v>415</v>
      </c>
      <c r="M5" s="4"/>
    </row>
    <row r="6" spans="1:13" ht="45" x14ac:dyDescent="0.2">
      <c r="A6" s="4" t="s">
        <v>408</v>
      </c>
      <c r="B6" s="21" t="s">
        <v>416</v>
      </c>
      <c r="C6" s="21" t="s">
        <v>417</v>
      </c>
      <c r="D6" s="37">
        <v>3</v>
      </c>
      <c r="E6" s="30">
        <f>ItemsPerMonth</f>
        <v>9890</v>
      </c>
      <c r="F6" s="4" t="s">
        <v>411</v>
      </c>
      <c r="G6" s="4" t="s">
        <v>411</v>
      </c>
      <c r="H6" s="4" t="s">
        <v>411</v>
      </c>
      <c r="I6" s="8">
        <f>ItemsPerMonth*2.9375*2*Rates!$C$81+ItemsPerMonth*Rates!$C$82/1000000</f>
        <v>0.97037577012500009</v>
      </c>
      <c r="J6" s="38">
        <f t="shared" si="0"/>
        <v>0</v>
      </c>
      <c r="K6" s="6" t="s">
        <v>35</v>
      </c>
      <c r="L6" s="7" t="s">
        <v>418</v>
      </c>
      <c r="M6" s="4"/>
    </row>
    <row r="7" spans="1:13" ht="30" x14ac:dyDescent="0.2">
      <c r="A7" s="4" t="s">
        <v>408</v>
      </c>
      <c r="B7" s="21" t="s">
        <v>419</v>
      </c>
      <c r="C7" s="21" t="s">
        <v>420</v>
      </c>
      <c r="D7" s="37">
        <v>1</v>
      </c>
      <c r="E7" s="4" t="s">
        <v>411</v>
      </c>
      <c r="F7" s="4" t="s">
        <v>411</v>
      </c>
      <c r="G7" s="4" t="s">
        <v>411</v>
      </c>
      <c r="H7" s="4" t="s">
        <v>411</v>
      </c>
      <c r="I7" s="8">
        <f>ItemsPerMonth*0</f>
        <v>0</v>
      </c>
      <c r="J7" s="38">
        <f t="shared" si="0"/>
        <v>0</v>
      </c>
      <c r="K7" s="6" t="s">
        <v>35</v>
      </c>
      <c r="L7" s="7" t="s">
        <v>421</v>
      </c>
      <c r="M7" s="4"/>
    </row>
    <row r="8" spans="1:13" ht="30" x14ac:dyDescent="0.2">
      <c r="A8" s="4" t="s">
        <v>408</v>
      </c>
      <c r="B8" s="21" t="s">
        <v>422</v>
      </c>
      <c r="C8" s="21" t="s">
        <v>423</v>
      </c>
      <c r="D8" s="37">
        <v>1</v>
      </c>
      <c r="E8" s="30">
        <f>ItemsPerMonth</f>
        <v>9890</v>
      </c>
      <c r="F8" s="4">
        <f>ItemsPerMonth*2/1000000</f>
        <v>1.9779999999999999E-2</v>
      </c>
      <c r="G8" s="4" t="s">
        <v>411</v>
      </c>
      <c r="H8" s="4" t="s">
        <v>411</v>
      </c>
      <c r="I8" s="8">
        <f>(ItemsPerMonth*2/1000000)*(Rates!$C$94+Rates!$C$95)+15*Rates!$C$96+1*Rates!$C$97</f>
        <v>7.5104834</v>
      </c>
      <c r="J8" s="38">
        <f t="shared" si="0"/>
        <v>0</v>
      </c>
      <c r="K8" s="6" t="s">
        <v>28</v>
      </c>
      <c r="L8" s="7" t="s">
        <v>424</v>
      </c>
      <c r="M8" s="4"/>
    </row>
    <row r="9" spans="1:13" ht="30" x14ac:dyDescent="0.2">
      <c r="A9" s="4" t="s">
        <v>408</v>
      </c>
      <c r="B9" s="21" t="s">
        <v>425</v>
      </c>
      <c r="C9" s="21" t="s">
        <v>426</v>
      </c>
      <c r="D9" s="37">
        <v>1</v>
      </c>
      <c r="E9" s="30">
        <f>ItemsPerMonth</f>
        <v>9890</v>
      </c>
      <c r="F9" s="4">
        <f>ItemsPerMonth*StoragePerItemKB/1000000</f>
        <v>0.4945</v>
      </c>
      <c r="G9" s="4" t="s">
        <v>411</v>
      </c>
      <c r="H9" s="4" t="s">
        <v>411</v>
      </c>
      <c r="I9" s="8">
        <f>ItemsPerMonth*1*Rates!$C$85/1000+ItemsPerMonth*0*Rates!$C$86/1000+ItemsPerMonth*StoragePerItemKB/1000000*Rates!$C$84</f>
        <v>6.0823500000000003E-2</v>
      </c>
      <c r="J9" s="38">
        <f t="shared" si="0"/>
        <v>0</v>
      </c>
      <c r="K9" s="6" t="s">
        <v>35</v>
      </c>
      <c r="L9" s="7" t="s">
        <v>427</v>
      </c>
      <c r="M9" s="4"/>
    </row>
    <row r="10" spans="1:13" ht="30" x14ac:dyDescent="0.2">
      <c r="A10" s="4" t="s">
        <v>408</v>
      </c>
      <c r="B10" s="21" t="s">
        <v>428</v>
      </c>
      <c r="C10" s="21" t="s">
        <v>429</v>
      </c>
      <c r="D10" s="37">
        <v>1</v>
      </c>
      <c r="E10" s="4" t="s">
        <v>430</v>
      </c>
      <c r="F10" s="4" t="s">
        <v>411</v>
      </c>
      <c r="G10" s="4" t="s">
        <v>411</v>
      </c>
      <c r="H10" s="4" t="s">
        <v>411</v>
      </c>
      <c r="I10" s="8">
        <f>2*Rates!$C$92/1000000</f>
        <v>1.9999999999999999E-6</v>
      </c>
      <c r="J10" s="38">
        <f t="shared" si="0"/>
        <v>0</v>
      </c>
      <c r="K10" s="6" t="s">
        <v>82</v>
      </c>
      <c r="L10" s="7" t="s">
        <v>431</v>
      </c>
      <c r="M10" s="4"/>
    </row>
    <row r="11" spans="1:13" ht="30" x14ac:dyDescent="0.2">
      <c r="A11" s="4" t="s">
        <v>408</v>
      </c>
      <c r="B11" s="21" t="s">
        <v>432</v>
      </c>
      <c r="C11" s="21" t="s">
        <v>433</v>
      </c>
      <c r="D11" s="37">
        <v>1</v>
      </c>
      <c r="E11" s="30">
        <f>ItemsPerMonth</f>
        <v>9890</v>
      </c>
      <c r="F11" s="4" t="s">
        <v>411</v>
      </c>
      <c r="G11" s="4" t="s">
        <v>411</v>
      </c>
      <c r="H11" s="4" t="s">
        <v>411</v>
      </c>
      <c r="I11" s="8">
        <f>ItemsPerMonth*1*Rates!$C$90/1000000</f>
        <v>9.8899999999999995E-3</v>
      </c>
      <c r="J11" s="38">
        <f t="shared" si="0"/>
        <v>0</v>
      </c>
      <c r="K11" s="6" t="s">
        <v>82</v>
      </c>
      <c r="L11" s="7" t="s">
        <v>434</v>
      </c>
      <c r="M11" s="4"/>
    </row>
    <row r="12" spans="1:13" x14ac:dyDescent="0.2">
      <c r="A12" s="4" t="s">
        <v>408</v>
      </c>
      <c r="B12" s="21" t="s">
        <v>435</v>
      </c>
      <c r="C12" s="21" t="s">
        <v>436</v>
      </c>
      <c r="D12" s="37">
        <v>1</v>
      </c>
      <c r="E12" s="30">
        <f>ItemsPerMonth</f>
        <v>9890</v>
      </c>
      <c r="F12" s="4" t="s">
        <v>411</v>
      </c>
      <c r="G12" s="4" t="s">
        <v>411</v>
      </c>
      <c r="H12" s="4" t="s">
        <v>411</v>
      </c>
      <c r="I12" s="8">
        <f>ItemsPerMonth*1*Rates!$C$88/1000000</f>
        <v>3.9560000000000003E-3</v>
      </c>
      <c r="J12" s="38">
        <f t="shared" si="0"/>
        <v>0</v>
      </c>
      <c r="K12" s="6" t="s">
        <v>82</v>
      </c>
      <c r="L12" s="7" t="s">
        <v>437</v>
      </c>
      <c r="M12" s="4"/>
    </row>
    <row r="13" spans="1:13" ht="45" x14ac:dyDescent="0.2">
      <c r="A13" s="4" t="s">
        <v>408</v>
      </c>
      <c r="B13" s="21" t="s">
        <v>438</v>
      </c>
      <c r="C13" s="21" t="s">
        <v>439</v>
      </c>
      <c r="D13" s="37">
        <v>1</v>
      </c>
      <c r="E13" s="4" t="s">
        <v>411</v>
      </c>
      <c r="F13" s="4" t="s">
        <v>411</v>
      </c>
      <c r="G13" s="4" t="s">
        <v>411</v>
      </c>
      <c r="H13" s="4" t="s">
        <v>411</v>
      </c>
      <c r="I13" s="8">
        <f>ItemsPerMonth*0</f>
        <v>0</v>
      </c>
      <c r="J13" s="38">
        <f t="shared" si="0"/>
        <v>0</v>
      </c>
      <c r="K13" s="6" t="s">
        <v>35</v>
      </c>
      <c r="L13" s="7" t="s">
        <v>440</v>
      </c>
      <c r="M13" s="4"/>
    </row>
    <row r="14" spans="1:13" x14ac:dyDescent="0.2">
      <c r="A14" s="4" t="s">
        <v>408</v>
      </c>
      <c r="B14" s="21" t="s">
        <v>441</v>
      </c>
      <c r="C14" s="21" t="s">
        <v>442</v>
      </c>
      <c r="D14" s="37">
        <v>1</v>
      </c>
      <c r="E14" s="30">
        <f>ItemsPerMonth</f>
        <v>9890</v>
      </c>
      <c r="F14" s="4">
        <f>ItemsPerMonth*StoragePerItemKB/1000000</f>
        <v>0.4945</v>
      </c>
      <c r="G14" s="4" t="s">
        <v>411</v>
      </c>
      <c r="H14" s="4" t="s">
        <v>411</v>
      </c>
      <c r="I14" s="8">
        <f>ItemsPerMonth*1*Rates!$C$85/1000+ItemsPerMonth*0*Rates!$C$86/1000+ItemsPerMonth*StoragePerItemKB/1000000*Rates!$C$84</f>
        <v>6.0823500000000003E-2</v>
      </c>
      <c r="J14" s="38">
        <f t="shared" si="0"/>
        <v>0</v>
      </c>
      <c r="K14" s="6" t="s">
        <v>35</v>
      </c>
      <c r="L14" s="7" t="s">
        <v>443</v>
      </c>
      <c r="M14" s="4"/>
    </row>
    <row r="15" spans="1:13" ht="30" x14ac:dyDescent="0.2">
      <c r="A15" s="4" t="s">
        <v>408</v>
      </c>
      <c r="B15" s="21" t="s">
        <v>444</v>
      </c>
      <c r="C15" s="21" t="s">
        <v>445</v>
      </c>
      <c r="D15" s="37">
        <v>1</v>
      </c>
      <c r="E15" s="30">
        <f>ItemsPerMonth</f>
        <v>9890</v>
      </c>
      <c r="F15" s="4" t="s">
        <v>411</v>
      </c>
      <c r="G15" s="4" t="s">
        <v>411</v>
      </c>
      <c r="H15" s="4" t="s">
        <v>411</v>
      </c>
      <c r="I15" s="8">
        <f>ItemsPerMonth*0*Rates!$C$85/1000+ItemsPerMonth*0*Rates!$C$86/1000</f>
        <v>0</v>
      </c>
      <c r="J15" s="38">
        <f t="shared" si="0"/>
        <v>0</v>
      </c>
      <c r="K15" s="6" t="s">
        <v>28</v>
      </c>
      <c r="L15" s="7" t="s">
        <v>446</v>
      </c>
      <c r="M15" s="4"/>
    </row>
    <row r="16" spans="1:13" ht="45" x14ac:dyDescent="0.2">
      <c r="A16" s="4" t="s">
        <v>447</v>
      </c>
      <c r="B16" s="21" t="s">
        <v>448</v>
      </c>
      <c r="C16" s="21" t="s">
        <v>449</v>
      </c>
      <c r="D16" s="37">
        <v>2</v>
      </c>
      <c r="E16" s="4" t="s">
        <v>411</v>
      </c>
      <c r="F16" s="4" t="s">
        <v>411</v>
      </c>
      <c r="G16" s="4" t="s">
        <v>411</v>
      </c>
      <c r="H16" s="4" t="s">
        <v>411</v>
      </c>
      <c r="I16" s="8">
        <f>ItemsPerMonth*0</f>
        <v>0</v>
      </c>
      <c r="J16" s="38">
        <f t="shared" si="0"/>
        <v>0</v>
      </c>
      <c r="K16" s="6" t="s">
        <v>35</v>
      </c>
      <c r="L16" s="7" t="s">
        <v>450</v>
      </c>
      <c r="M16" s="4"/>
    </row>
    <row r="17" spans="1:13" ht="75" x14ac:dyDescent="0.2">
      <c r="A17" s="4" t="s">
        <v>447</v>
      </c>
      <c r="B17" s="21" t="s">
        <v>451</v>
      </c>
      <c r="C17" s="21" t="s">
        <v>452</v>
      </c>
      <c r="D17" s="37">
        <v>2</v>
      </c>
      <c r="E17" s="4" t="s">
        <v>411</v>
      </c>
      <c r="F17" s="4" t="s">
        <v>411</v>
      </c>
      <c r="G17" s="4" t="s">
        <v>411</v>
      </c>
      <c r="H17" s="4" t="s">
        <v>411</v>
      </c>
      <c r="I17" s="8">
        <f>ItemsPerMonth*0</f>
        <v>0</v>
      </c>
      <c r="J17" s="38">
        <f t="shared" si="0"/>
        <v>0</v>
      </c>
      <c r="K17" s="6" t="s">
        <v>453</v>
      </c>
      <c r="L17" s="7" t="s">
        <v>454</v>
      </c>
      <c r="M17" s="4"/>
    </row>
    <row r="18" spans="1:13" ht="45" x14ac:dyDescent="0.2">
      <c r="A18" s="4" t="s">
        <v>447</v>
      </c>
      <c r="B18" s="21" t="s">
        <v>455</v>
      </c>
      <c r="C18" s="21" t="s">
        <v>456</v>
      </c>
      <c r="D18" s="37">
        <v>3</v>
      </c>
      <c r="E18" s="4" t="s">
        <v>457</v>
      </c>
      <c r="F18" s="4" t="s">
        <v>411</v>
      </c>
      <c r="G18" s="4" t="s">
        <v>411</v>
      </c>
      <c r="H18" s="4" t="s">
        <v>411</v>
      </c>
      <c r="I18" s="8">
        <f>ItemsPerMonth*0</f>
        <v>0</v>
      </c>
      <c r="J18" s="38">
        <f t="shared" si="0"/>
        <v>0</v>
      </c>
      <c r="K18" s="6" t="s">
        <v>35</v>
      </c>
      <c r="L18" s="7" t="s">
        <v>458</v>
      </c>
      <c r="M18" s="4"/>
    </row>
    <row r="19" spans="1:13" ht="45" x14ac:dyDescent="0.2">
      <c r="A19" s="4" t="s">
        <v>447</v>
      </c>
      <c r="B19" s="21" t="s">
        <v>459</v>
      </c>
      <c r="C19" s="21" t="s">
        <v>460</v>
      </c>
      <c r="D19" s="37">
        <v>2</v>
      </c>
      <c r="E19" s="30">
        <f>LlmItems</f>
        <v>9890</v>
      </c>
      <c r="F19" s="4" t="s">
        <v>411</v>
      </c>
      <c r="G19" s="4" t="s">
        <v>461</v>
      </c>
      <c r="H19" s="4" t="s">
        <v>462</v>
      </c>
      <c r="I19" s="8">
        <f>LlmItems*0.5*Rates!$C$139/1000</f>
        <v>9.8900000000000002E-2</v>
      </c>
      <c r="J19" s="38">
        <f t="shared" si="0"/>
        <v>0</v>
      </c>
      <c r="K19" s="6" t="s">
        <v>82</v>
      </c>
      <c r="L19" s="7" t="s">
        <v>463</v>
      </c>
      <c r="M19" s="4"/>
    </row>
    <row r="20" spans="1:13" ht="60" x14ac:dyDescent="0.2">
      <c r="A20" s="4" t="s">
        <v>447</v>
      </c>
      <c r="B20" s="21" t="s">
        <v>464</v>
      </c>
      <c r="C20" s="21" t="s">
        <v>465</v>
      </c>
      <c r="D20" s="37">
        <v>4</v>
      </c>
      <c r="E20" s="4" t="s">
        <v>466</v>
      </c>
      <c r="F20" s="4">
        <f>DatasetCount*StoragePerItemKB/1000000</f>
        <v>0.25</v>
      </c>
      <c r="G20" s="4" t="s">
        <v>411</v>
      </c>
      <c r="H20" s="4" t="s">
        <v>411</v>
      </c>
      <c r="I20" s="8">
        <f>730*EnvMultiplier*Rates!$C$20+DatasetCount*StoragePerItemKB/1000000*Rates!$C$59</f>
        <v>129.97049999999999</v>
      </c>
      <c r="J20" s="38">
        <f t="shared" si="0"/>
        <v>0</v>
      </c>
      <c r="K20" s="6" t="s">
        <v>35</v>
      </c>
      <c r="L20" s="7" t="s">
        <v>467</v>
      </c>
      <c r="M20" s="4"/>
    </row>
    <row r="21" spans="1:13" ht="45" x14ac:dyDescent="0.2">
      <c r="A21" s="4" t="s">
        <v>447</v>
      </c>
      <c r="B21" s="21" t="s">
        <v>468</v>
      </c>
      <c r="C21" s="21" t="s">
        <v>469</v>
      </c>
      <c r="D21" s="37">
        <v>5</v>
      </c>
      <c r="E21" s="4" t="s">
        <v>466</v>
      </c>
      <c r="F21" s="4" t="s">
        <v>411</v>
      </c>
      <c r="G21" s="4" t="s">
        <v>411</v>
      </c>
      <c r="H21" s="4" t="s">
        <v>411</v>
      </c>
      <c r="I21" s="8">
        <f>730*EnvMultiplier*IF(AuroraSize="large",Rates!$C$10,IF(AuroraSize="xlarge",Rates!$C$8,Rates!$C$6))</f>
        <v>757.74</v>
      </c>
      <c r="J21" s="38">
        <f t="shared" si="0"/>
        <v>0</v>
      </c>
      <c r="K21" s="6" t="s">
        <v>35</v>
      </c>
      <c r="L21" s="7" t="s">
        <v>470</v>
      </c>
      <c r="M21" s="4"/>
    </row>
    <row r="22" spans="1:13" ht="30" x14ac:dyDescent="0.2">
      <c r="A22" s="4" t="s">
        <v>471</v>
      </c>
      <c r="B22" s="21" t="s">
        <v>472</v>
      </c>
      <c r="C22" s="21" t="s">
        <v>473</v>
      </c>
      <c r="D22" s="37">
        <v>5</v>
      </c>
      <c r="E22" s="30">
        <f>ItemsPerMonth</f>
        <v>9890</v>
      </c>
      <c r="F22" s="4" t="s">
        <v>411</v>
      </c>
      <c r="G22" s="4" t="s">
        <v>411</v>
      </c>
      <c r="H22" s="4" t="s">
        <v>411</v>
      </c>
      <c r="I22" s="8">
        <f>ItemsPerMonth*2.9375*1*Rates!$C$81+ItemsPerMonth*Rates!$C$82/1000000</f>
        <v>0.48617688506250001</v>
      </c>
      <c r="J22" s="38">
        <f t="shared" si="0"/>
        <v>0</v>
      </c>
      <c r="K22" s="6" t="s">
        <v>82</v>
      </c>
      <c r="L22" s="7" t="s">
        <v>474</v>
      </c>
      <c r="M22" s="4"/>
    </row>
    <row r="23" spans="1:13" ht="75" x14ac:dyDescent="0.2">
      <c r="A23" s="4" t="s">
        <v>471</v>
      </c>
      <c r="B23" s="21" t="s">
        <v>475</v>
      </c>
      <c r="C23" s="21" t="s">
        <v>476</v>
      </c>
      <c r="D23" s="37">
        <v>3</v>
      </c>
      <c r="E23" s="30">
        <f>LlmItems</f>
        <v>9890</v>
      </c>
      <c r="F23" s="4" t="s">
        <v>411</v>
      </c>
      <c r="G23" s="4" t="s">
        <v>411</v>
      </c>
      <c r="H23" s="4" t="s">
        <v>411</v>
      </c>
      <c r="I23" s="8">
        <f>LlmItems*2*Rates!$C$145/1000</f>
        <v>4.9450000000000003</v>
      </c>
      <c r="J23" s="38">
        <f t="shared" si="0"/>
        <v>0</v>
      </c>
      <c r="K23" s="6" t="s">
        <v>82</v>
      </c>
      <c r="L23" s="7" t="s">
        <v>477</v>
      </c>
      <c r="M23" s="4"/>
    </row>
    <row r="24" spans="1:13" ht="30" x14ac:dyDescent="0.2">
      <c r="A24" s="4" t="s">
        <v>471</v>
      </c>
      <c r="B24" s="21" t="s">
        <v>478</v>
      </c>
      <c r="C24" s="21" t="s">
        <v>479</v>
      </c>
      <c r="D24" s="37">
        <v>2</v>
      </c>
      <c r="E24" s="30">
        <f>LlmItems</f>
        <v>9890</v>
      </c>
      <c r="F24" s="4" t="s">
        <v>411</v>
      </c>
      <c r="G24" s="4" t="s">
        <v>411</v>
      </c>
      <c r="H24" s="4" t="s">
        <v>411</v>
      </c>
      <c r="I24" s="8">
        <f>LlmItems*1*Rates!$C$146/1000</f>
        <v>7.4175000000000004</v>
      </c>
      <c r="J24" s="38">
        <f t="shared" si="0"/>
        <v>0</v>
      </c>
      <c r="K24" s="6" t="s">
        <v>28</v>
      </c>
      <c r="L24" s="7" t="s">
        <v>480</v>
      </c>
      <c r="M24" s="4"/>
    </row>
    <row r="25" spans="1:13" ht="30" x14ac:dyDescent="0.2">
      <c r="A25" s="4" t="s">
        <v>471</v>
      </c>
      <c r="B25" s="21" t="s">
        <v>481</v>
      </c>
      <c r="C25" s="21" t="s">
        <v>482</v>
      </c>
      <c r="D25" s="37">
        <v>2</v>
      </c>
      <c r="E25" s="30">
        <f>LlmItems</f>
        <v>9890</v>
      </c>
      <c r="F25" s="4" t="s">
        <v>411</v>
      </c>
      <c r="G25" s="4" t="s">
        <v>411</v>
      </c>
      <c r="H25" s="4" t="s">
        <v>411</v>
      </c>
      <c r="I25" s="8">
        <f>LlmItems*1*Rates!$C$148/1000</f>
        <v>4.9450000000000003</v>
      </c>
      <c r="J25" s="38">
        <f t="shared" si="0"/>
        <v>0</v>
      </c>
      <c r="K25" s="6" t="s">
        <v>28</v>
      </c>
      <c r="L25" s="7" t="s">
        <v>483</v>
      </c>
      <c r="M25" s="4"/>
    </row>
    <row r="26" spans="1:13" ht="45" x14ac:dyDescent="0.2">
      <c r="A26" s="4" t="s">
        <v>471</v>
      </c>
      <c r="B26" s="21" t="s">
        <v>484</v>
      </c>
      <c r="C26" s="21" t="s">
        <v>485</v>
      </c>
      <c r="D26" s="37">
        <v>4</v>
      </c>
      <c r="E26" s="30">
        <f>LlmItems</f>
        <v>9890</v>
      </c>
      <c r="F26" s="4" t="s">
        <v>411</v>
      </c>
      <c r="G26" s="39">
        <f>InputTokensPerCallK</f>
        <v>0.8</v>
      </c>
      <c r="H26" s="39">
        <f>OutputTokensPerCallK</f>
        <v>0.25</v>
      </c>
      <c r="I26" s="8">
        <f>LlmItems*1*(InputTokensPerCallK/1000*IF(ModelSKU="Opus-4.8",Rates!$C$121,IF(ModelSKU="Sonnet-5",Rates!$C$127,Rates!$C$133))+OutputTokensPerCallK/1000*IF(ModelSKU="Opus-4.8",Rates!$C$122,IF(ModelSKU="Sonnet-5",Rates!$C$128,Rates!$C$134)))</f>
        <v>101.3725</v>
      </c>
      <c r="J26" s="38">
        <f t="shared" si="0"/>
        <v>0</v>
      </c>
      <c r="K26" s="6" t="s">
        <v>82</v>
      </c>
      <c r="L26" s="7" t="s">
        <v>486</v>
      </c>
      <c r="M26" s="4"/>
    </row>
    <row r="27" spans="1:13" ht="45" x14ac:dyDescent="0.2">
      <c r="A27" s="4" t="s">
        <v>471</v>
      </c>
      <c r="B27" s="21" t="s">
        <v>487</v>
      </c>
      <c r="C27" s="21" t="s">
        <v>485</v>
      </c>
      <c r="D27" s="37">
        <v>4</v>
      </c>
      <c r="E27" s="30">
        <f>LlmItems</f>
        <v>9890</v>
      </c>
      <c r="F27" s="4" t="s">
        <v>411</v>
      </c>
      <c r="G27" s="39">
        <f>InputTokensPerCallK</f>
        <v>0.8</v>
      </c>
      <c r="H27" s="39">
        <f>OutputTokensPerCallK</f>
        <v>0.25</v>
      </c>
      <c r="I27" s="8">
        <f>LlmItems*1*(InputTokensPerCallK/1000*IF(ModelSKU="Opus-4.8",Rates!$C$121,IF(ModelSKU="Sonnet-5",Rates!$C$127,Rates!$C$133))+OutputTokensPerCallK/1000*IF(ModelSKU="Opus-4.8",Rates!$C$122,IF(ModelSKU="Sonnet-5",Rates!$C$128,Rates!$C$134)))</f>
        <v>101.3725</v>
      </c>
      <c r="J27" s="38">
        <f t="shared" si="0"/>
        <v>0</v>
      </c>
      <c r="K27" s="6" t="s">
        <v>82</v>
      </c>
      <c r="L27" s="7" t="s">
        <v>488</v>
      </c>
      <c r="M27" s="4"/>
    </row>
    <row r="28" spans="1:13" ht="60" x14ac:dyDescent="0.2">
      <c r="A28" s="4" t="s">
        <v>471</v>
      </c>
      <c r="B28" s="21" t="s">
        <v>489</v>
      </c>
      <c r="C28" s="21" t="s">
        <v>490</v>
      </c>
      <c r="D28" s="37">
        <v>3</v>
      </c>
      <c r="E28" s="4">
        <f>ItemsPerMonth*$M$28</f>
        <v>0</v>
      </c>
      <c r="F28" s="4" t="s">
        <v>411</v>
      </c>
      <c r="G28" s="4" t="s">
        <v>461</v>
      </c>
      <c r="H28" s="4" t="s">
        <v>491</v>
      </c>
      <c r="I28" s="8">
        <f>ItemsPerMonth*$M$28*(0.5/1000*IF(ModelSKU="Opus-4.8",Rates!$C$121,IF(ModelSKU="Sonnet-5",Rates!$C$127,Rates!$C$133))+0.08/1000*IF(ModelSKU="Opus-4.8",Rates!$C$122,IF(ModelSKU="Sonnet-5",Rates!$C$128,Rates!$C$134)))</f>
        <v>0</v>
      </c>
      <c r="J28" s="38">
        <f t="shared" si="0"/>
        <v>0</v>
      </c>
      <c r="K28" s="6" t="s">
        <v>35</v>
      </c>
      <c r="L28" s="7" t="s">
        <v>492</v>
      </c>
      <c r="M28" s="25">
        <v>0</v>
      </c>
    </row>
    <row r="29" spans="1:13" ht="60" x14ac:dyDescent="0.2">
      <c r="A29" s="4" t="s">
        <v>471</v>
      </c>
      <c r="B29" s="21" t="s">
        <v>493</v>
      </c>
      <c r="C29" s="21" t="s">
        <v>494</v>
      </c>
      <c r="D29" s="37">
        <v>2</v>
      </c>
      <c r="E29" s="4" t="s">
        <v>411</v>
      </c>
      <c r="F29" s="4" t="s">
        <v>411</v>
      </c>
      <c r="G29" s="4" t="s">
        <v>411</v>
      </c>
      <c r="H29" s="4" t="s">
        <v>411</v>
      </c>
      <c r="I29" s="8">
        <f>ItemsPerMonth*0</f>
        <v>0</v>
      </c>
      <c r="J29" s="38">
        <f t="shared" si="0"/>
        <v>0</v>
      </c>
      <c r="K29" s="6" t="s">
        <v>28</v>
      </c>
      <c r="L29" s="7" t="s">
        <v>495</v>
      </c>
      <c r="M29" s="4"/>
    </row>
    <row r="30" spans="1:13" ht="90" x14ac:dyDescent="0.2">
      <c r="A30" s="4" t="s">
        <v>496</v>
      </c>
      <c r="B30" s="21" t="s">
        <v>497</v>
      </c>
      <c r="C30" s="21" t="s">
        <v>498</v>
      </c>
      <c r="D30" s="37">
        <v>5</v>
      </c>
      <c r="E30" s="4" t="s">
        <v>411</v>
      </c>
      <c r="F30" s="4" t="s">
        <v>411</v>
      </c>
      <c r="G30" s="4" t="s">
        <v>411</v>
      </c>
      <c r="H30" s="4" t="s">
        <v>411</v>
      </c>
      <c r="I30" s="8">
        <f>ItemsPerMonth*0</f>
        <v>0</v>
      </c>
      <c r="J30" s="38">
        <f t="shared" si="0"/>
        <v>0</v>
      </c>
      <c r="K30" s="6" t="s">
        <v>453</v>
      </c>
      <c r="L30" s="7" t="s">
        <v>499</v>
      </c>
      <c r="M30" s="4"/>
    </row>
    <row r="31" spans="1:13" ht="45" x14ac:dyDescent="0.2">
      <c r="A31" s="4" t="s">
        <v>496</v>
      </c>
      <c r="B31" s="21" t="s">
        <v>500</v>
      </c>
      <c r="C31" s="21" t="s">
        <v>501</v>
      </c>
      <c r="D31" s="37">
        <v>3</v>
      </c>
      <c r="E31" s="4" t="s">
        <v>502</v>
      </c>
      <c r="F31" s="4" t="s">
        <v>411</v>
      </c>
      <c r="G31" s="4" t="s">
        <v>411</v>
      </c>
      <c r="H31" s="4" t="s">
        <v>411</v>
      </c>
      <c r="I31" s="8">
        <f>8928*Rates!$C$92/1000000</f>
        <v>8.9280000000000002E-3</v>
      </c>
      <c r="J31" s="38">
        <f t="shared" si="0"/>
        <v>0</v>
      </c>
      <c r="K31" s="6" t="s">
        <v>82</v>
      </c>
      <c r="L31" s="7" t="s">
        <v>503</v>
      </c>
      <c r="M31" s="4"/>
    </row>
    <row r="32" spans="1:13" ht="45" x14ac:dyDescent="0.2">
      <c r="A32" s="4" t="s">
        <v>496</v>
      </c>
      <c r="B32" s="21" t="s">
        <v>504</v>
      </c>
      <c r="C32" s="21" t="s">
        <v>505</v>
      </c>
      <c r="D32" s="37">
        <v>4</v>
      </c>
      <c r="E32" s="4">
        <f>ItemsPerMonth*HitlPct</f>
        <v>1483.5</v>
      </c>
      <c r="F32" s="4" t="s">
        <v>411</v>
      </c>
      <c r="G32" s="4" t="s">
        <v>411</v>
      </c>
      <c r="H32" s="4" t="s">
        <v>411</v>
      </c>
      <c r="I32" s="8">
        <f>ItemsPerMonth*HitlPct*6*Rates!$C$117/1000000</f>
        <v>3.5603999999999997E-2</v>
      </c>
      <c r="J32" s="38">
        <f t="shared" si="0"/>
        <v>0</v>
      </c>
      <c r="K32" s="6" t="s">
        <v>28</v>
      </c>
      <c r="L32" s="7" t="s">
        <v>506</v>
      </c>
      <c r="M32" s="4"/>
    </row>
    <row r="33" spans="1:13" ht="45" x14ac:dyDescent="0.2">
      <c r="A33" s="4" t="s">
        <v>496</v>
      </c>
      <c r="B33" s="21" t="s">
        <v>507</v>
      </c>
      <c r="C33" s="21" t="s">
        <v>508</v>
      </c>
      <c r="D33" s="37">
        <v>4</v>
      </c>
      <c r="E33" s="4" t="s">
        <v>466</v>
      </c>
      <c r="F33" s="4" t="s">
        <v>411</v>
      </c>
      <c r="G33" s="4" t="s">
        <v>411</v>
      </c>
      <c r="H33" s="4" t="s">
        <v>411</v>
      </c>
      <c r="I33" s="8">
        <f>730*EnvMultiplier*(0.5*Rates!$C$38+1*Rates!$C$39)</f>
        <v>18.020050000000001</v>
      </c>
      <c r="J33" s="38">
        <f t="shared" si="0"/>
        <v>0</v>
      </c>
      <c r="K33" s="6" t="s">
        <v>35</v>
      </c>
      <c r="L33" s="7" t="s">
        <v>509</v>
      </c>
      <c r="M33" s="4"/>
    </row>
    <row r="34" spans="1:13" ht="30" x14ac:dyDescent="0.2">
      <c r="A34" s="4" t="s">
        <v>496</v>
      </c>
      <c r="B34" s="21" t="s">
        <v>510</v>
      </c>
      <c r="C34" s="21" t="s">
        <v>511</v>
      </c>
      <c r="D34" s="37">
        <v>2</v>
      </c>
      <c r="E34" s="30">
        <f>ItemsPerMonth</f>
        <v>9890</v>
      </c>
      <c r="F34" s="4">
        <f>ItemsPerMonth*StoragePerItemKB/1000000</f>
        <v>0.4945</v>
      </c>
      <c r="G34" s="4" t="s">
        <v>411</v>
      </c>
      <c r="H34" s="4" t="s">
        <v>411</v>
      </c>
      <c r="I34" s="8">
        <f>ItemsPerMonth*1*Rates!$C$85/1000+ItemsPerMonth*2*Rates!$C$86/1000+ItemsPerMonth*StoragePerItemKB/1000000*Rates!$C$84</f>
        <v>6.8735500000000005E-2</v>
      </c>
      <c r="J34" s="38">
        <f t="shared" si="0"/>
        <v>0</v>
      </c>
      <c r="K34" s="6" t="s">
        <v>28</v>
      </c>
      <c r="L34" s="7" t="s">
        <v>512</v>
      </c>
      <c r="M34" s="4"/>
    </row>
    <row r="35" spans="1:13" ht="45" x14ac:dyDescent="0.2">
      <c r="A35" s="4" t="s">
        <v>513</v>
      </c>
      <c r="B35" s="21" t="s">
        <v>456</v>
      </c>
      <c r="C35" s="21" t="s">
        <v>514</v>
      </c>
      <c r="D35" s="37">
        <v>5</v>
      </c>
      <c r="E35" s="4" t="s">
        <v>466</v>
      </c>
      <c r="F35" s="4" t="s">
        <v>411</v>
      </c>
      <c r="G35" s="4" t="s">
        <v>411</v>
      </c>
      <c r="H35" s="4" t="s">
        <v>411</v>
      </c>
      <c r="I35" s="8">
        <f>730*EnvMultiplier*(1*Rates!$C$38+2*Rates!$C$39)</f>
        <v>36.040100000000002</v>
      </c>
      <c r="J35" s="38">
        <f t="shared" si="0"/>
        <v>0</v>
      </c>
      <c r="K35" s="6" t="s">
        <v>82</v>
      </c>
      <c r="L35" s="7" t="s">
        <v>515</v>
      </c>
      <c r="M35" s="4"/>
    </row>
    <row r="36" spans="1:13" ht="30" x14ac:dyDescent="0.2">
      <c r="A36" s="4" t="s">
        <v>513</v>
      </c>
      <c r="B36" s="21" t="s">
        <v>516</v>
      </c>
      <c r="C36" s="21" t="s">
        <v>517</v>
      </c>
      <c r="D36" s="37">
        <v>4</v>
      </c>
      <c r="E36" s="4" t="s">
        <v>518</v>
      </c>
      <c r="F36" s="4" t="s">
        <v>519</v>
      </c>
      <c r="G36" s="4" t="s">
        <v>411</v>
      </c>
      <c r="H36" s="4" t="s">
        <v>411</v>
      </c>
      <c r="I36" s="8">
        <f>50000*Rates!$C$115/10000+10*Rates!$C$114</f>
        <v>0.90000000000000013</v>
      </c>
      <c r="J36" s="38">
        <f t="shared" si="0"/>
        <v>0</v>
      </c>
      <c r="K36" s="6" t="s">
        <v>28</v>
      </c>
      <c r="L36" s="7" t="s">
        <v>520</v>
      </c>
      <c r="M36" s="4"/>
    </row>
    <row r="37" spans="1:13" ht="30" x14ac:dyDescent="0.2">
      <c r="A37" s="4" t="s">
        <v>513</v>
      </c>
      <c r="B37" s="21" t="s">
        <v>521</v>
      </c>
      <c r="C37" s="21" t="s">
        <v>522</v>
      </c>
      <c r="D37" s="37">
        <v>3</v>
      </c>
      <c r="E37" s="4" t="s">
        <v>466</v>
      </c>
      <c r="F37" s="4" t="s">
        <v>411</v>
      </c>
      <c r="G37" s="4" t="s">
        <v>411</v>
      </c>
      <c r="H37" s="4" t="s">
        <v>411</v>
      </c>
      <c r="I37" s="8">
        <f>730*EnvMultiplier*Rates!$C$102+730*EnvMultiplier*1*Rates!$C$103</f>
        <v>22.265000000000001</v>
      </c>
      <c r="J37" s="38">
        <f t="shared" si="0"/>
        <v>0</v>
      </c>
      <c r="K37" s="6" t="s">
        <v>82</v>
      </c>
      <c r="L37" s="7" t="s">
        <v>523</v>
      </c>
      <c r="M37" s="4"/>
    </row>
    <row r="38" spans="1:13" ht="45" x14ac:dyDescent="0.2">
      <c r="A38" s="4" t="s">
        <v>513</v>
      </c>
      <c r="B38" s="21" t="s">
        <v>524</v>
      </c>
      <c r="C38" s="21" t="s">
        <v>525</v>
      </c>
      <c r="D38" s="37">
        <v>3</v>
      </c>
      <c r="E38" s="4" t="s">
        <v>466</v>
      </c>
      <c r="F38" s="4" t="s">
        <v>526</v>
      </c>
      <c r="G38" s="4" t="s">
        <v>411</v>
      </c>
      <c r="H38" s="4" t="s">
        <v>411</v>
      </c>
      <c r="I38" s="8">
        <f>730*EnvMultiplier*Rates!$C$105+20*Rates!$C$106</f>
        <v>33.75</v>
      </c>
      <c r="J38" s="38">
        <f t="shared" si="0"/>
        <v>0</v>
      </c>
      <c r="K38" s="6" t="s">
        <v>28</v>
      </c>
      <c r="L38" s="7" t="s">
        <v>527</v>
      </c>
      <c r="M38" s="4"/>
    </row>
    <row r="39" spans="1:13" ht="30" x14ac:dyDescent="0.2">
      <c r="A39" s="4" t="s">
        <v>513</v>
      </c>
      <c r="B39" s="21" t="s">
        <v>528</v>
      </c>
      <c r="C39" s="21" t="s">
        <v>529</v>
      </c>
      <c r="D39" s="37">
        <v>1</v>
      </c>
      <c r="E39" s="4" t="s">
        <v>466</v>
      </c>
      <c r="F39" s="4" t="s">
        <v>411</v>
      </c>
      <c r="G39" s="4" t="s">
        <v>411</v>
      </c>
      <c r="H39" s="4" t="s">
        <v>411</v>
      </c>
      <c r="I39" s="8">
        <f>4*Rates!$C$108</f>
        <v>1.6</v>
      </c>
      <c r="J39" s="38">
        <f t="shared" si="0"/>
        <v>0</v>
      </c>
      <c r="K39" s="6" t="s">
        <v>82</v>
      </c>
      <c r="L39" s="7" t="s">
        <v>530</v>
      </c>
      <c r="M39" s="4"/>
    </row>
    <row r="40" spans="1:13" ht="30" x14ac:dyDescent="0.2">
      <c r="A40" s="4" t="s">
        <v>513</v>
      </c>
      <c r="B40" s="21" t="s">
        <v>531</v>
      </c>
      <c r="C40" s="21" t="s">
        <v>532</v>
      </c>
      <c r="D40" s="37">
        <v>2</v>
      </c>
      <c r="E40" s="4" t="s">
        <v>466</v>
      </c>
      <c r="F40" s="4" t="s">
        <v>411</v>
      </c>
      <c r="G40" s="4" t="s">
        <v>411</v>
      </c>
      <c r="H40" s="4" t="s">
        <v>411</v>
      </c>
      <c r="I40" s="8">
        <f>3*730*EnvMultiplier*Rates!$C$111</f>
        <v>21.900000000000002</v>
      </c>
      <c r="J40" s="38">
        <f t="shared" si="0"/>
        <v>0</v>
      </c>
      <c r="K40" s="6" t="s">
        <v>28</v>
      </c>
      <c r="L40" s="7" t="s">
        <v>533</v>
      </c>
      <c r="M40" s="4"/>
    </row>
    <row r="41" spans="1:13" ht="60" x14ac:dyDescent="0.2">
      <c r="A41" s="4" t="s">
        <v>513</v>
      </c>
      <c r="B41" s="21" t="s">
        <v>534</v>
      </c>
      <c r="C41" s="21" t="s">
        <v>535</v>
      </c>
      <c r="D41" s="37">
        <v>1</v>
      </c>
      <c r="E41" s="4" t="s">
        <v>411</v>
      </c>
      <c r="F41" s="4" t="s">
        <v>411</v>
      </c>
      <c r="G41" s="4" t="s">
        <v>411</v>
      </c>
      <c r="H41" s="4" t="s">
        <v>411</v>
      </c>
      <c r="I41" s="8">
        <f>ItemsPerMonth*0</f>
        <v>0</v>
      </c>
      <c r="J41" s="38">
        <f t="shared" si="0"/>
        <v>0</v>
      </c>
      <c r="K41" s="6" t="s">
        <v>453</v>
      </c>
      <c r="L41" s="7" t="s">
        <v>536</v>
      </c>
      <c r="M41" s="4"/>
    </row>
    <row r="42" spans="1:13" x14ac:dyDescent="0.2">
      <c r="A42" s="3" t="s">
        <v>537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4"/>
    </row>
    <row r="43" spans="1:13" x14ac:dyDescent="0.2">
      <c r="A43" s="4"/>
      <c r="B43" s="21" t="s">
        <v>538</v>
      </c>
      <c r="C43" s="21"/>
      <c r="D43" s="40">
        <f>SUM(D4:D41)</f>
        <v>95</v>
      </c>
      <c r="E43" s="4"/>
      <c r="F43" s="4"/>
      <c r="G43" s="4"/>
      <c r="H43" s="4"/>
      <c r="I43" s="41">
        <f>SUM(I4:I41)</f>
        <v>1251.5874635551877</v>
      </c>
      <c r="J43" s="41">
        <f>SUM(J4:J41)</f>
        <v>0</v>
      </c>
      <c r="K43" s="4"/>
      <c r="L43" s="4"/>
      <c r="M43" s="4"/>
    </row>
  </sheetData>
  <mergeCells count="3">
    <mergeCell ref="A1:L1"/>
    <mergeCell ref="A2:L2"/>
    <mergeCell ref="A42:L4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showGridLines="0" zoomScaleNormal="100" workbookViewId="0">
      <pane ySplit="3" topLeftCell="A4" activePane="bottomLeft" state="frozen"/>
      <selection pane="bottomLeft" activeCell="E35" sqref="E35"/>
    </sheetView>
  </sheetViews>
  <sheetFormatPr baseColWidth="10" defaultColWidth="8.6640625" defaultRowHeight="15" x14ac:dyDescent="0.2"/>
  <cols>
    <col min="1" max="1" width="28" style="12" customWidth="1"/>
    <col min="2" max="2" width="72" style="12" customWidth="1"/>
    <col min="3" max="3" width="32.1640625" style="12" customWidth="1"/>
    <col min="4" max="4" width="14" style="12" customWidth="1"/>
    <col min="5" max="5" width="70" style="12" customWidth="1"/>
    <col min="6" max="16384" width="8.6640625" style="12"/>
  </cols>
  <sheetData>
    <row r="1" spans="1:5" ht="18" customHeight="1" x14ac:dyDescent="0.2">
      <c r="A1" s="11" t="s">
        <v>539</v>
      </c>
      <c r="B1" s="11"/>
      <c r="C1" s="11"/>
      <c r="D1" s="11"/>
      <c r="E1" s="11"/>
    </row>
    <row r="2" spans="1:5" ht="30" customHeight="1" x14ac:dyDescent="0.2">
      <c r="A2" s="13" t="str">
        <f>"Contingency uplift "&amp;TEXT(ContingencyPct,"0.0%")&amp;" applied to the subtotal below. Three scenario rows show the LLM token cost under different framings -- only the CODE-VERIFIED LIKELY row (Control Panel defaults) feeds the total."</f>
        <v>Contingency uplift 15.0% applied to the subtotal below. Three scenario rows show the LLM token cost under different framings -- only the CODE-VERIFIED LIKELY row (Control Panel defaults) feeds the total.</v>
      </c>
      <c r="B2" s="13"/>
      <c r="C2" s="13"/>
      <c r="D2" s="13"/>
      <c r="E2" s="13"/>
    </row>
    <row r="3" spans="1:5" x14ac:dyDescent="0.2">
      <c r="A3" s="2" t="s">
        <v>540</v>
      </c>
      <c r="B3" s="2" t="s">
        <v>541</v>
      </c>
      <c r="C3" s="2" t="s">
        <v>542</v>
      </c>
      <c r="D3" s="2" t="s">
        <v>76</v>
      </c>
      <c r="E3" s="2" t="s">
        <v>406</v>
      </c>
    </row>
    <row r="4" spans="1:5" x14ac:dyDescent="0.2">
      <c r="A4" s="3" t="s">
        <v>543</v>
      </c>
      <c r="B4" s="3"/>
      <c r="C4" s="3"/>
      <c r="D4" s="3"/>
      <c r="E4" s="3"/>
    </row>
    <row r="5" spans="1:5" ht="30" x14ac:dyDescent="0.2">
      <c r="A5" s="4" t="s">
        <v>544</v>
      </c>
      <c r="B5" s="4" t="s">
        <v>545</v>
      </c>
      <c r="C5" s="5">
        <f>'Pod Build'!$I$4+'Pod Build'!$I$5+'Pod Build'!$I$6+'Pod Build'!$I$7+'Pod Build'!$I$8+'Pod Build'!$I$9+'Pod Build'!$I$10+'Pod Build'!$I$11+'Pod Build'!$I$12+'Pod Build'!$I$13+'Pod Build'!$I$14+'Pod Build'!$I$15</f>
        <v>8.6509691701250002</v>
      </c>
      <c r="D5" s="6" t="s">
        <v>35</v>
      </c>
      <c r="E5" s="7" t="s">
        <v>546</v>
      </c>
    </row>
    <row r="6" spans="1:5" x14ac:dyDescent="0.2">
      <c r="A6" s="3" t="s">
        <v>547</v>
      </c>
      <c r="B6" s="3"/>
      <c r="C6" s="3"/>
      <c r="D6" s="3"/>
      <c r="E6" s="3"/>
    </row>
    <row r="7" spans="1:5" ht="30" x14ac:dyDescent="0.2">
      <c r="A7" s="4" t="s">
        <v>548</v>
      </c>
      <c r="B7" s="4" t="s">
        <v>549</v>
      </c>
      <c r="C7" s="8">
        <f>0</f>
        <v>0</v>
      </c>
      <c r="D7" s="6" t="s">
        <v>35</v>
      </c>
      <c r="E7" s="7" t="s">
        <v>550</v>
      </c>
    </row>
    <row r="8" spans="1:5" x14ac:dyDescent="0.2">
      <c r="A8" s="3" t="s">
        <v>551</v>
      </c>
      <c r="B8" s="3"/>
      <c r="C8" s="3"/>
      <c r="D8" s="3"/>
      <c r="E8" s="3"/>
    </row>
    <row r="9" spans="1:5" x14ac:dyDescent="0.2">
      <c r="A9" s="4" t="s">
        <v>552</v>
      </c>
      <c r="B9" s="4" t="s">
        <v>553</v>
      </c>
      <c r="C9" s="5">
        <f>'Pod Build'!$I$16+'Pod Build'!$I$17+'Pod Build'!$I$18+'Pod Build'!$I$19+'Pod Build'!$I$20+'Pod Build'!$I$21</f>
        <v>887.80939999999998</v>
      </c>
      <c r="D9" s="6" t="s">
        <v>35</v>
      </c>
      <c r="E9" s="7" t="s">
        <v>554</v>
      </c>
    </row>
    <row r="10" spans="1:5" x14ac:dyDescent="0.2">
      <c r="A10" s="3" t="s">
        <v>555</v>
      </c>
      <c r="B10" s="3"/>
      <c r="C10" s="3"/>
      <c r="D10" s="3"/>
      <c r="E10" s="3"/>
    </row>
    <row r="11" spans="1:5" ht="30" x14ac:dyDescent="0.2">
      <c r="A11" s="4" t="s">
        <v>556</v>
      </c>
      <c r="B11" s="4" t="s">
        <v>557</v>
      </c>
      <c r="C11" s="5">
        <f>'Pod Build'!$I$22+'Pod Build'!$I$23+'Pod Build'!$I$24+'Pod Build'!$I$25</f>
        <v>17.793676885062503</v>
      </c>
      <c r="D11" s="6" t="s">
        <v>35</v>
      </c>
      <c r="E11" s="7" t="s">
        <v>558</v>
      </c>
    </row>
    <row r="12" spans="1:5" ht="45" x14ac:dyDescent="0.2">
      <c r="A12" s="4" t="s">
        <v>556</v>
      </c>
      <c r="B12" s="4" t="s">
        <v>559</v>
      </c>
      <c r="C12" s="5">
        <f>'Pod Build'!$I$26+'Pod Build'!$I$27</f>
        <v>202.745</v>
      </c>
      <c r="D12" s="6" t="s">
        <v>82</v>
      </c>
      <c r="E12" s="7" t="s">
        <v>560</v>
      </c>
    </row>
    <row r="13" spans="1:5" ht="45" x14ac:dyDescent="0.2">
      <c r="A13" s="4" t="s">
        <v>556</v>
      </c>
      <c r="B13" s="4" t="s">
        <v>561</v>
      </c>
      <c r="C13" s="8">
        <f>LlmItems*4*(50/1000*IF(ModelSKU="Opus-4.8",Rates!$C$121,IF(ModelSKU="Sonnet-5",Rates!$C$127,Rates!$C$133))+1/1000*IF(ModelSKU="Opus-4.8",Rates!$C$122,IF(ModelSKU="Sonnet-5",Rates!$C$128,Rates!$C$134)))</f>
        <v>10879</v>
      </c>
      <c r="D13" s="6" t="s">
        <v>28</v>
      </c>
      <c r="E13" s="7" t="s">
        <v>562</v>
      </c>
    </row>
    <row r="14" spans="1:5" ht="45" x14ac:dyDescent="0.2">
      <c r="A14" s="4" t="s">
        <v>556</v>
      </c>
      <c r="B14" s="4" t="s">
        <v>563</v>
      </c>
      <c r="C14" s="5">
        <f>'Pod Build'!$I$28</f>
        <v>0</v>
      </c>
      <c r="D14" s="6" t="s">
        <v>35</v>
      </c>
      <c r="E14" s="7" t="s">
        <v>564</v>
      </c>
    </row>
    <row r="15" spans="1:5" x14ac:dyDescent="0.2">
      <c r="A15" s="4" t="s">
        <v>556</v>
      </c>
      <c r="B15" s="4" t="s">
        <v>565</v>
      </c>
      <c r="C15" s="5">
        <f>'Pod Build'!$I$29</f>
        <v>0</v>
      </c>
      <c r="D15" s="6" t="s">
        <v>28</v>
      </c>
      <c r="E15" s="7" t="s">
        <v>566</v>
      </c>
    </row>
    <row r="16" spans="1:5" x14ac:dyDescent="0.2">
      <c r="A16" s="3" t="s">
        <v>567</v>
      </c>
      <c r="B16" s="3"/>
      <c r="C16" s="3"/>
      <c r="D16" s="3"/>
      <c r="E16" s="3"/>
    </row>
    <row r="17" spans="1:5" x14ac:dyDescent="0.2">
      <c r="A17" s="4" t="s">
        <v>568</v>
      </c>
      <c r="B17" s="4" t="s">
        <v>569</v>
      </c>
      <c r="C17" s="5">
        <f>'Pod Build'!$I$30+'Pod Build'!$I$31+'Pod Build'!$I$32+'Pod Build'!$I$33+'Pod Build'!$I$34</f>
        <v>18.1333175</v>
      </c>
      <c r="D17" s="6" t="s">
        <v>35</v>
      </c>
      <c r="E17" s="7" t="s">
        <v>570</v>
      </c>
    </row>
    <row r="18" spans="1:5" x14ac:dyDescent="0.2">
      <c r="A18" s="3" t="s">
        <v>571</v>
      </c>
      <c r="B18" s="3"/>
      <c r="C18" s="3"/>
      <c r="D18" s="3"/>
      <c r="E18" s="3"/>
    </row>
    <row r="19" spans="1:5" x14ac:dyDescent="0.2">
      <c r="A19" s="4" t="s">
        <v>572</v>
      </c>
      <c r="B19" s="4" t="s">
        <v>573</v>
      </c>
      <c r="C19" s="5">
        <f>'Pod Build'!$I$35+'Pod Build'!$I$36+'Pod Build'!$I$37+'Pod Build'!$I$38+'Pod Build'!$I$39+'Pod Build'!$I$40+'Pod Build'!$I$41</f>
        <v>116.4551</v>
      </c>
      <c r="D19" s="6" t="s">
        <v>35</v>
      </c>
      <c r="E19" s="7" t="s">
        <v>574</v>
      </c>
    </row>
    <row r="20" spans="1:5" x14ac:dyDescent="0.2">
      <c r="A20" s="3" t="s">
        <v>537</v>
      </c>
      <c r="B20" s="3"/>
      <c r="C20" s="3"/>
      <c r="D20" s="3"/>
      <c r="E20" s="3"/>
    </row>
    <row r="21" spans="1:5" x14ac:dyDescent="0.2">
      <c r="A21" s="43"/>
      <c r="B21" s="4" t="s">
        <v>575</v>
      </c>
      <c r="C21" s="44">
        <f>C5+C7+C9+C11+C12+C14+C15+C17+C19</f>
        <v>1251.5874635551875</v>
      </c>
      <c r="D21" s="4"/>
      <c r="E21" s="4"/>
    </row>
    <row r="22" spans="1:5" x14ac:dyDescent="0.2">
      <c r="A22" s="4"/>
      <c r="B22" s="4" t="s">
        <v>576</v>
      </c>
      <c r="C22" s="8">
        <f>C21*ContingencyPct</f>
        <v>187.73811953327811</v>
      </c>
      <c r="D22" s="4"/>
      <c r="E22" s="4"/>
    </row>
    <row r="23" spans="1:5" x14ac:dyDescent="0.2">
      <c r="A23" s="43"/>
      <c r="B23" s="4" t="s">
        <v>577</v>
      </c>
      <c r="C23" s="45">
        <f>C21+C22</f>
        <v>1439.3255830884655</v>
      </c>
      <c r="D23" s="4"/>
      <c r="E23" s="4"/>
    </row>
  </sheetData>
  <mergeCells count="9">
    <mergeCell ref="A10:E10"/>
    <mergeCell ref="A16:E16"/>
    <mergeCell ref="A18:E18"/>
    <mergeCell ref="A20:E20"/>
    <mergeCell ref="A1:E1"/>
    <mergeCell ref="A2:E2"/>
    <mergeCell ref="A4:E4"/>
    <mergeCell ref="A6:E6"/>
    <mergeCell ref="A8:E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44"/>
  <sheetViews>
    <sheetView showGridLines="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24" sqref="H24"/>
    </sheetView>
  </sheetViews>
  <sheetFormatPr baseColWidth="10" defaultColWidth="8.6640625" defaultRowHeight="14" x14ac:dyDescent="0.2"/>
  <cols>
    <col min="1" max="1" width="40" style="4" customWidth="1"/>
    <col min="2" max="2" width="12" style="4" customWidth="1"/>
    <col min="3" max="14" width="11" style="4" customWidth="1"/>
    <col min="15" max="15" width="14" style="4" customWidth="1"/>
    <col min="16" max="16384" width="8.6640625" style="4"/>
  </cols>
  <sheetData>
    <row r="1" spans="1:15" ht="18" customHeight="1" x14ac:dyDescent="0.2">
      <c r="A1" s="11" t="s">
        <v>578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5" ht="30" customHeight="1" x14ac:dyDescent="0.2">
      <c r="A2" s="13" t="str">
        <f>"Ramp: M1 "&amp;TEXT(RampM1,"0%")&amp;" / M2 "&amp;TEXT(RampM2,"0%")&amp;" / M3+ "&amp;TEXT(RampM3Plus,"0%")&amp;" of steady-state volume -- applies to volume-driven meters only. Always-on infra (Aurora, OpenSearch, ECS, NAT, ALB, endpoints) does not ramp."</f>
        <v>Ramp: M1 50% / M2 75% / M3+ 100% of steady-state volume -- applies to volume-driven meters only. Always-on infra (Aurora, OpenSearch, ECS, NAT, ALB, endpoints) does not ramp.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</row>
    <row r="3" spans="1:15" x14ac:dyDescent="0.2">
      <c r="A3" s="2" t="s">
        <v>541</v>
      </c>
      <c r="B3" s="2" t="s">
        <v>579</v>
      </c>
      <c r="C3" s="2" t="s">
        <v>580</v>
      </c>
      <c r="D3" s="2" t="s">
        <v>581</v>
      </c>
      <c r="E3" s="2" t="s">
        <v>582</v>
      </c>
      <c r="F3" s="2" t="s">
        <v>583</v>
      </c>
      <c r="G3" s="2" t="s">
        <v>584</v>
      </c>
      <c r="H3" s="2" t="s">
        <v>585</v>
      </c>
      <c r="I3" s="2" t="s">
        <v>586</v>
      </c>
      <c r="J3" s="2" t="s">
        <v>587</v>
      </c>
      <c r="K3" s="2" t="s">
        <v>588</v>
      </c>
      <c r="L3" s="2" t="s">
        <v>589</v>
      </c>
      <c r="M3" s="2" t="s">
        <v>590</v>
      </c>
      <c r="N3" s="2" t="s">
        <v>591</v>
      </c>
      <c r="O3" s="2" t="s">
        <v>592</v>
      </c>
    </row>
    <row r="4" spans="1:15" x14ac:dyDescent="0.2">
      <c r="A4" s="4" t="s">
        <v>593</v>
      </c>
      <c r="C4" s="26">
        <v>0.5</v>
      </c>
      <c r="D4" s="26">
        <v>0.75</v>
      </c>
      <c r="E4" s="26">
        <v>1</v>
      </c>
      <c r="F4" s="46">
        <f>E$4</f>
        <v>1</v>
      </c>
      <c r="G4" s="46">
        <f>E$4</f>
        <v>1</v>
      </c>
      <c r="H4" s="46">
        <f>E$4</f>
        <v>1</v>
      </c>
      <c r="I4" s="46">
        <f>E$4</f>
        <v>1</v>
      </c>
      <c r="J4" s="46">
        <f>E$4</f>
        <v>1</v>
      </c>
      <c r="K4" s="46">
        <f>E$4</f>
        <v>1</v>
      </c>
      <c r="L4" s="46">
        <f>E$4</f>
        <v>1</v>
      </c>
      <c r="M4" s="46">
        <f>E$4</f>
        <v>1</v>
      </c>
      <c r="N4" s="46">
        <f>E$4</f>
        <v>1</v>
      </c>
    </row>
    <row r="5" spans="1:15" x14ac:dyDescent="0.2">
      <c r="A5" s="4" t="s">
        <v>594</v>
      </c>
      <c r="B5" s="4" t="s">
        <v>595</v>
      </c>
      <c r="C5" s="5">
        <f>'Pod Build'!$I$4*C$4</f>
        <v>1.73075E-2</v>
      </c>
      <c r="D5" s="5">
        <f>'Pod Build'!$I$4*D$4</f>
        <v>2.5961249999999998E-2</v>
      </c>
      <c r="E5" s="5">
        <f>'Pod Build'!$I$4*E$4</f>
        <v>3.4615E-2</v>
      </c>
      <c r="F5" s="5">
        <f>'Pod Build'!$I$4*E$4</f>
        <v>3.4615E-2</v>
      </c>
      <c r="G5" s="5">
        <f>'Pod Build'!$I$4*E$4</f>
        <v>3.4615E-2</v>
      </c>
      <c r="H5" s="5">
        <f>'Pod Build'!$I$4*E$4</f>
        <v>3.4615E-2</v>
      </c>
      <c r="I5" s="5">
        <f>'Pod Build'!$I$4*E$4</f>
        <v>3.4615E-2</v>
      </c>
      <c r="J5" s="5">
        <f>'Pod Build'!$I$4*E$4</f>
        <v>3.4615E-2</v>
      </c>
      <c r="K5" s="5">
        <f>'Pod Build'!$I$4*E$4</f>
        <v>3.4615E-2</v>
      </c>
      <c r="L5" s="5">
        <f>'Pod Build'!$I$4*E$4</f>
        <v>3.4615E-2</v>
      </c>
      <c r="M5" s="5">
        <f>'Pod Build'!$I$4*E$4</f>
        <v>3.4615E-2</v>
      </c>
      <c r="N5" s="5">
        <f>'Pod Build'!$I$4*E$4</f>
        <v>3.4615E-2</v>
      </c>
      <c r="O5" s="38">
        <f t="shared" ref="O5:O42" si="0">SUM(C5:N5)</f>
        <v>0.38941875000000004</v>
      </c>
    </row>
    <row r="6" spans="1:15" x14ac:dyDescent="0.2">
      <c r="A6" s="4" t="s">
        <v>596</v>
      </c>
      <c r="B6" s="4" t="s">
        <v>595</v>
      </c>
      <c r="C6" s="5">
        <f>'Pod Build'!$I$5*C$4</f>
        <v>0</v>
      </c>
      <c r="D6" s="5">
        <f>'Pod Build'!$I$5*D$4</f>
        <v>0</v>
      </c>
      <c r="E6" s="5">
        <f>'Pod Build'!$I$5*E$4</f>
        <v>0</v>
      </c>
      <c r="F6" s="5">
        <f>'Pod Build'!$I$5*E$4</f>
        <v>0</v>
      </c>
      <c r="G6" s="5">
        <f>'Pod Build'!$I$5*E$4</f>
        <v>0</v>
      </c>
      <c r="H6" s="5">
        <f>'Pod Build'!$I$5*E$4</f>
        <v>0</v>
      </c>
      <c r="I6" s="5">
        <f>'Pod Build'!$I$5*E$4</f>
        <v>0</v>
      </c>
      <c r="J6" s="5">
        <f>'Pod Build'!$I$5*E$4</f>
        <v>0</v>
      </c>
      <c r="K6" s="5">
        <f>'Pod Build'!$I$5*E$4</f>
        <v>0</v>
      </c>
      <c r="L6" s="5">
        <f>'Pod Build'!$I$5*E$4</f>
        <v>0</v>
      </c>
      <c r="M6" s="5">
        <f>'Pod Build'!$I$5*E$4</f>
        <v>0</v>
      </c>
      <c r="N6" s="5">
        <f>'Pod Build'!$I$5*E$4</f>
        <v>0</v>
      </c>
      <c r="O6" s="38">
        <f t="shared" si="0"/>
        <v>0</v>
      </c>
    </row>
    <row r="7" spans="1:15" x14ac:dyDescent="0.2">
      <c r="A7" s="4" t="s">
        <v>597</v>
      </c>
      <c r="B7" s="4" t="s">
        <v>595</v>
      </c>
      <c r="C7" s="5">
        <f>'Pod Build'!$I$6*C$4</f>
        <v>0.48518788506250005</v>
      </c>
      <c r="D7" s="5">
        <f>'Pod Build'!$I$6*D$4</f>
        <v>0.7277818275937501</v>
      </c>
      <c r="E7" s="5">
        <f>'Pod Build'!$I$6*E$4</f>
        <v>0.97037577012500009</v>
      </c>
      <c r="F7" s="5">
        <f>'Pod Build'!$I$6*E$4</f>
        <v>0.97037577012500009</v>
      </c>
      <c r="G7" s="5">
        <f>'Pod Build'!$I$6*E$4</f>
        <v>0.97037577012500009</v>
      </c>
      <c r="H7" s="5">
        <f>'Pod Build'!$I$6*E$4</f>
        <v>0.97037577012500009</v>
      </c>
      <c r="I7" s="5">
        <f>'Pod Build'!$I$6*E$4</f>
        <v>0.97037577012500009</v>
      </c>
      <c r="J7" s="5">
        <f>'Pod Build'!$I$6*E$4</f>
        <v>0.97037577012500009</v>
      </c>
      <c r="K7" s="5">
        <f>'Pod Build'!$I$6*E$4</f>
        <v>0.97037577012500009</v>
      </c>
      <c r="L7" s="5">
        <f>'Pod Build'!$I$6*E$4</f>
        <v>0.97037577012500009</v>
      </c>
      <c r="M7" s="5">
        <f>'Pod Build'!$I$6*E$4</f>
        <v>0.97037577012500009</v>
      </c>
      <c r="N7" s="5">
        <f>'Pod Build'!$I$6*E$4</f>
        <v>0.97037577012500009</v>
      </c>
      <c r="O7" s="38">
        <f t="shared" si="0"/>
        <v>10.916727413906253</v>
      </c>
    </row>
    <row r="8" spans="1:15" x14ac:dyDescent="0.2">
      <c r="A8" s="4" t="s">
        <v>598</v>
      </c>
      <c r="B8" s="4" t="s">
        <v>595</v>
      </c>
      <c r="C8" s="5">
        <f>'Pod Build'!$I$7*C$4</f>
        <v>0</v>
      </c>
      <c r="D8" s="5">
        <f>'Pod Build'!$I$7*D$4</f>
        <v>0</v>
      </c>
      <c r="E8" s="5">
        <f>'Pod Build'!$I$7*E$4</f>
        <v>0</v>
      </c>
      <c r="F8" s="5">
        <f>'Pod Build'!$I$7*E$4</f>
        <v>0</v>
      </c>
      <c r="G8" s="5">
        <f>'Pod Build'!$I$7*E$4</f>
        <v>0</v>
      </c>
      <c r="H8" s="5">
        <f>'Pod Build'!$I$7*E$4</f>
        <v>0</v>
      </c>
      <c r="I8" s="5">
        <f>'Pod Build'!$I$7*E$4</f>
        <v>0</v>
      </c>
      <c r="J8" s="5">
        <f>'Pod Build'!$I$7*E$4</f>
        <v>0</v>
      </c>
      <c r="K8" s="5">
        <f>'Pod Build'!$I$7*E$4</f>
        <v>0</v>
      </c>
      <c r="L8" s="5">
        <f>'Pod Build'!$I$7*E$4</f>
        <v>0</v>
      </c>
      <c r="M8" s="5">
        <f>'Pod Build'!$I$7*E$4</f>
        <v>0</v>
      </c>
      <c r="N8" s="5">
        <f>'Pod Build'!$I$7*E$4</f>
        <v>0</v>
      </c>
      <c r="O8" s="38">
        <f t="shared" si="0"/>
        <v>0</v>
      </c>
    </row>
    <row r="9" spans="1:15" x14ac:dyDescent="0.2">
      <c r="A9" s="4" t="s">
        <v>599</v>
      </c>
      <c r="B9" s="4" t="s">
        <v>595</v>
      </c>
      <c r="C9" s="5">
        <f>'Pod Build'!$I$8*C$4</f>
        <v>3.7552417</v>
      </c>
      <c r="D9" s="5">
        <f>'Pod Build'!$I$8*D$4</f>
        <v>5.6328625500000005</v>
      </c>
      <c r="E9" s="5">
        <f>'Pod Build'!$I$8*E$4</f>
        <v>7.5104834</v>
      </c>
      <c r="F9" s="5">
        <f>'Pod Build'!$I$8*E$4</f>
        <v>7.5104834</v>
      </c>
      <c r="G9" s="5">
        <f>'Pod Build'!$I$8*E$4</f>
        <v>7.5104834</v>
      </c>
      <c r="H9" s="5">
        <f>'Pod Build'!$I$8*E$4</f>
        <v>7.5104834</v>
      </c>
      <c r="I9" s="5">
        <f>'Pod Build'!$I$8*E$4</f>
        <v>7.5104834</v>
      </c>
      <c r="J9" s="5">
        <f>'Pod Build'!$I$8*E$4</f>
        <v>7.5104834</v>
      </c>
      <c r="K9" s="5">
        <f>'Pod Build'!$I$8*E$4</f>
        <v>7.5104834</v>
      </c>
      <c r="L9" s="5">
        <f>'Pod Build'!$I$8*E$4</f>
        <v>7.5104834</v>
      </c>
      <c r="M9" s="5">
        <f>'Pod Build'!$I$8*E$4</f>
        <v>7.5104834</v>
      </c>
      <c r="N9" s="5">
        <f>'Pod Build'!$I$8*E$4</f>
        <v>7.5104834</v>
      </c>
      <c r="O9" s="38">
        <f t="shared" si="0"/>
        <v>84.492938249999995</v>
      </c>
    </row>
    <row r="10" spans="1:15" x14ac:dyDescent="0.2">
      <c r="A10" s="4" t="s">
        <v>600</v>
      </c>
      <c r="B10" s="4" t="s">
        <v>595</v>
      </c>
      <c r="C10" s="5">
        <f>'Pod Build'!$I$9*C$4</f>
        <v>3.0411750000000001E-2</v>
      </c>
      <c r="D10" s="5">
        <f>'Pod Build'!$I$9*D$4</f>
        <v>4.5617625000000002E-2</v>
      </c>
      <c r="E10" s="5">
        <f>'Pod Build'!$I$9*E$4</f>
        <v>6.0823500000000003E-2</v>
      </c>
      <c r="F10" s="5">
        <f>'Pod Build'!$I$9*E$4</f>
        <v>6.0823500000000003E-2</v>
      </c>
      <c r="G10" s="5">
        <f>'Pod Build'!$I$9*E$4</f>
        <v>6.0823500000000003E-2</v>
      </c>
      <c r="H10" s="5">
        <f>'Pod Build'!$I$9*E$4</f>
        <v>6.0823500000000003E-2</v>
      </c>
      <c r="I10" s="5">
        <f>'Pod Build'!$I$9*E$4</f>
        <v>6.0823500000000003E-2</v>
      </c>
      <c r="J10" s="5">
        <f>'Pod Build'!$I$9*E$4</f>
        <v>6.0823500000000003E-2</v>
      </c>
      <c r="K10" s="5">
        <f>'Pod Build'!$I$9*E$4</f>
        <v>6.0823500000000003E-2</v>
      </c>
      <c r="L10" s="5">
        <f>'Pod Build'!$I$9*E$4</f>
        <v>6.0823500000000003E-2</v>
      </c>
      <c r="M10" s="5">
        <f>'Pod Build'!$I$9*E$4</f>
        <v>6.0823500000000003E-2</v>
      </c>
      <c r="N10" s="5">
        <f>'Pod Build'!$I$9*E$4</f>
        <v>6.0823500000000003E-2</v>
      </c>
      <c r="O10" s="38">
        <f t="shared" si="0"/>
        <v>0.68426437500000026</v>
      </c>
    </row>
    <row r="11" spans="1:15" x14ac:dyDescent="0.2">
      <c r="A11" s="4" t="s">
        <v>601</v>
      </c>
      <c r="B11" s="4" t="s">
        <v>595</v>
      </c>
      <c r="C11" s="5">
        <f>'Pod Build'!$I$10*C$4</f>
        <v>9.9999999999999995E-7</v>
      </c>
      <c r="D11" s="5">
        <f>'Pod Build'!$I$10*D$4</f>
        <v>1.5E-6</v>
      </c>
      <c r="E11" s="5">
        <f>'Pod Build'!$I$10*E$4</f>
        <v>1.9999999999999999E-6</v>
      </c>
      <c r="F11" s="5">
        <f>'Pod Build'!$I$10*E$4</f>
        <v>1.9999999999999999E-6</v>
      </c>
      <c r="G11" s="5">
        <f>'Pod Build'!$I$10*E$4</f>
        <v>1.9999999999999999E-6</v>
      </c>
      <c r="H11" s="5">
        <f>'Pod Build'!$I$10*E$4</f>
        <v>1.9999999999999999E-6</v>
      </c>
      <c r="I11" s="5">
        <f>'Pod Build'!$I$10*E$4</f>
        <v>1.9999999999999999E-6</v>
      </c>
      <c r="J11" s="5">
        <f>'Pod Build'!$I$10*E$4</f>
        <v>1.9999999999999999E-6</v>
      </c>
      <c r="K11" s="5">
        <f>'Pod Build'!$I$10*E$4</f>
        <v>1.9999999999999999E-6</v>
      </c>
      <c r="L11" s="5">
        <f>'Pod Build'!$I$10*E$4</f>
        <v>1.9999999999999999E-6</v>
      </c>
      <c r="M11" s="5">
        <f>'Pod Build'!$I$10*E$4</f>
        <v>1.9999999999999999E-6</v>
      </c>
      <c r="N11" s="5">
        <f>'Pod Build'!$I$10*E$4</f>
        <v>1.9999999999999999E-6</v>
      </c>
      <c r="O11" s="38">
        <f t="shared" si="0"/>
        <v>2.2500000000000001E-5</v>
      </c>
    </row>
    <row r="12" spans="1:15" x14ac:dyDescent="0.2">
      <c r="A12" s="4" t="s">
        <v>602</v>
      </c>
      <c r="B12" s="4" t="s">
        <v>595</v>
      </c>
      <c r="C12" s="5">
        <f>'Pod Build'!$I$11*C$4</f>
        <v>4.9449999999999997E-3</v>
      </c>
      <c r="D12" s="5">
        <f>'Pod Build'!$I$11*D$4</f>
        <v>7.4174999999999996E-3</v>
      </c>
      <c r="E12" s="5">
        <f>'Pod Build'!$I$11*E$4</f>
        <v>9.8899999999999995E-3</v>
      </c>
      <c r="F12" s="5">
        <f>'Pod Build'!$I$11*E$4</f>
        <v>9.8899999999999995E-3</v>
      </c>
      <c r="G12" s="5">
        <f>'Pod Build'!$I$11*E$4</f>
        <v>9.8899999999999995E-3</v>
      </c>
      <c r="H12" s="5">
        <f>'Pod Build'!$I$11*E$4</f>
        <v>9.8899999999999995E-3</v>
      </c>
      <c r="I12" s="5">
        <f>'Pod Build'!$I$11*E$4</f>
        <v>9.8899999999999995E-3</v>
      </c>
      <c r="J12" s="5">
        <f>'Pod Build'!$I$11*E$4</f>
        <v>9.8899999999999995E-3</v>
      </c>
      <c r="K12" s="5">
        <f>'Pod Build'!$I$11*E$4</f>
        <v>9.8899999999999995E-3</v>
      </c>
      <c r="L12" s="5">
        <f>'Pod Build'!$I$11*E$4</f>
        <v>9.8899999999999995E-3</v>
      </c>
      <c r="M12" s="5">
        <f>'Pod Build'!$I$11*E$4</f>
        <v>9.8899999999999995E-3</v>
      </c>
      <c r="N12" s="5">
        <f>'Pod Build'!$I$11*E$4</f>
        <v>9.8899999999999995E-3</v>
      </c>
      <c r="O12" s="38">
        <f t="shared" si="0"/>
        <v>0.11126249999999997</v>
      </c>
    </row>
    <row r="13" spans="1:15" x14ac:dyDescent="0.2">
      <c r="A13" s="4" t="s">
        <v>603</v>
      </c>
      <c r="B13" s="4" t="s">
        <v>595</v>
      </c>
      <c r="C13" s="5">
        <f>'Pod Build'!$I$12*C$4</f>
        <v>1.9780000000000002E-3</v>
      </c>
      <c r="D13" s="5">
        <f>'Pod Build'!$I$12*D$4</f>
        <v>2.967E-3</v>
      </c>
      <c r="E13" s="5">
        <f>'Pod Build'!$I$12*E$4</f>
        <v>3.9560000000000003E-3</v>
      </c>
      <c r="F13" s="5">
        <f>'Pod Build'!$I$12*E$4</f>
        <v>3.9560000000000003E-3</v>
      </c>
      <c r="G13" s="5">
        <f>'Pod Build'!$I$12*E$4</f>
        <v>3.9560000000000003E-3</v>
      </c>
      <c r="H13" s="5">
        <f>'Pod Build'!$I$12*E$4</f>
        <v>3.9560000000000003E-3</v>
      </c>
      <c r="I13" s="5">
        <f>'Pod Build'!$I$12*E$4</f>
        <v>3.9560000000000003E-3</v>
      </c>
      <c r="J13" s="5">
        <f>'Pod Build'!$I$12*E$4</f>
        <v>3.9560000000000003E-3</v>
      </c>
      <c r="K13" s="5">
        <f>'Pod Build'!$I$12*E$4</f>
        <v>3.9560000000000003E-3</v>
      </c>
      <c r="L13" s="5">
        <f>'Pod Build'!$I$12*E$4</f>
        <v>3.9560000000000003E-3</v>
      </c>
      <c r="M13" s="5">
        <f>'Pod Build'!$I$12*E$4</f>
        <v>3.9560000000000003E-3</v>
      </c>
      <c r="N13" s="5">
        <f>'Pod Build'!$I$12*E$4</f>
        <v>3.9560000000000003E-3</v>
      </c>
      <c r="O13" s="38">
        <f t="shared" si="0"/>
        <v>4.450500000000001E-2</v>
      </c>
    </row>
    <row r="14" spans="1:15" x14ac:dyDescent="0.2">
      <c r="A14" s="4" t="s">
        <v>604</v>
      </c>
      <c r="B14" s="4" t="s">
        <v>595</v>
      </c>
      <c r="C14" s="5">
        <f>'Pod Build'!$I$13*C$4</f>
        <v>0</v>
      </c>
      <c r="D14" s="5">
        <f>'Pod Build'!$I$13*D$4</f>
        <v>0</v>
      </c>
      <c r="E14" s="5">
        <f>'Pod Build'!$I$13*E$4</f>
        <v>0</v>
      </c>
      <c r="F14" s="5">
        <f>'Pod Build'!$I$13*E$4</f>
        <v>0</v>
      </c>
      <c r="G14" s="5">
        <f>'Pod Build'!$I$13*E$4</f>
        <v>0</v>
      </c>
      <c r="H14" s="5">
        <f>'Pod Build'!$I$13*E$4</f>
        <v>0</v>
      </c>
      <c r="I14" s="5">
        <f>'Pod Build'!$I$13*E$4</f>
        <v>0</v>
      </c>
      <c r="J14" s="5">
        <f>'Pod Build'!$I$13*E$4</f>
        <v>0</v>
      </c>
      <c r="K14" s="5">
        <f>'Pod Build'!$I$13*E$4</f>
        <v>0</v>
      </c>
      <c r="L14" s="5">
        <f>'Pod Build'!$I$13*E$4</f>
        <v>0</v>
      </c>
      <c r="M14" s="5">
        <f>'Pod Build'!$I$13*E$4</f>
        <v>0</v>
      </c>
      <c r="N14" s="5">
        <f>'Pod Build'!$I$13*E$4</f>
        <v>0</v>
      </c>
      <c r="O14" s="38">
        <f t="shared" si="0"/>
        <v>0</v>
      </c>
    </row>
    <row r="15" spans="1:15" x14ac:dyDescent="0.2">
      <c r="A15" s="4" t="s">
        <v>605</v>
      </c>
      <c r="B15" s="4" t="s">
        <v>595</v>
      </c>
      <c r="C15" s="5">
        <f>'Pod Build'!$I$14*C$4</f>
        <v>3.0411750000000001E-2</v>
      </c>
      <c r="D15" s="5">
        <f>'Pod Build'!$I$14*D$4</f>
        <v>4.5617625000000002E-2</v>
      </c>
      <c r="E15" s="5">
        <f>'Pod Build'!$I$14*E$4</f>
        <v>6.0823500000000003E-2</v>
      </c>
      <c r="F15" s="5">
        <f>'Pod Build'!$I$14*E$4</f>
        <v>6.0823500000000003E-2</v>
      </c>
      <c r="G15" s="5">
        <f>'Pod Build'!$I$14*E$4</f>
        <v>6.0823500000000003E-2</v>
      </c>
      <c r="H15" s="5">
        <f>'Pod Build'!$I$14*E$4</f>
        <v>6.0823500000000003E-2</v>
      </c>
      <c r="I15" s="5">
        <f>'Pod Build'!$I$14*E$4</f>
        <v>6.0823500000000003E-2</v>
      </c>
      <c r="J15" s="5">
        <f>'Pod Build'!$I$14*E$4</f>
        <v>6.0823500000000003E-2</v>
      </c>
      <c r="K15" s="5">
        <f>'Pod Build'!$I$14*E$4</f>
        <v>6.0823500000000003E-2</v>
      </c>
      <c r="L15" s="5">
        <f>'Pod Build'!$I$14*E$4</f>
        <v>6.0823500000000003E-2</v>
      </c>
      <c r="M15" s="5">
        <f>'Pod Build'!$I$14*E$4</f>
        <v>6.0823500000000003E-2</v>
      </c>
      <c r="N15" s="5">
        <f>'Pod Build'!$I$14*E$4</f>
        <v>6.0823500000000003E-2</v>
      </c>
      <c r="O15" s="38">
        <f t="shared" si="0"/>
        <v>0.68426437500000026</v>
      </c>
    </row>
    <row r="16" spans="1:15" x14ac:dyDescent="0.2">
      <c r="A16" s="4" t="s">
        <v>606</v>
      </c>
      <c r="B16" s="4" t="s">
        <v>595</v>
      </c>
      <c r="C16" s="5">
        <f>'Pod Build'!$I$15*C$4</f>
        <v>0</v>
      </c>
      <c r="D16" s="5">
        <f>'Pod Build'!$I$15*D$4</f>
        <v>0</v>
      </c>
      <c r="E16" s="5">
        <f>'Pod Build'!$I$15*E$4</f>
        <v>0</v>
      </c>
      <c r="F16" s="5">
        <f>'Pod Build'!$I$15*E$4</f>
        <v>0</v>
      </c>
      <c r="G16" s="5">
        <f>'Pod Build'!$I$15*E$4</f>
        <v>0</v>
      </c>
      <c r="H16" s="5">
        <f>'Pod Build'!$I$15*E$4</f>
        <v>0</v>
      </c>
      <c r="I16" s="5">
        <f>'Pod Build'!$I$15*E$4</f>
        <v>0</v>
      </c>
      <c r="J16" s="5">
        <f>'Pod Build'!$I$15*E$4</f>
        <v>0</v>
      </c>
      <c r="K16" s="5">
        <f>'Pod Build'!$I$15*E$4</f>
        <v>0</v>
      </c>
      <c r="L16" s="5">
        <f>'Pod Build'!$I$15*E$4</f>
        <v>0</v>
      </c>
      <c r="M16" s="5">
        <f>'Pod Build'!$I$15*E$4</f>
        <v>0</v>
      </c>
      <c r="N16" s="5">
        <f>'Pod Build'!$I$15*E$4</f>
        <v>0</v>
      </c>
      <c r="O16" s="38">
        <f t="shared" si="0"/>
        <v>0</v>
      </c>
    </row>
    <row r="17" spans="1:15" x14ac:dyDescent="0.2">
      <c r="A17" s="4" t="s">
        <v>607</v>
      </c>
      <c r="B17" s="4" t="s">
        <v>595</v>
      </c>
      <c r="C17" s="5">
        <f>'Pod Build'!$I$16*C$4</f>
        <v>0</v>
      </c>
      <c r="D17" s="5">
        <f>'Pod Build'!$I$16*D$4</f>
        <v>0</v>
      </c>
      <c r="E17" s="5">
        <f>'Pod Build'!$I$16*E$4</f>
        <v>0</v>
      </c>
      <c r="F17" s="5">
        <f>'Pod Build'!$I$16*E$4</f>
        <v>0</v>
      </c>
      <c r="G17" s="5">
        <f>'Pod Build'!$I$16*E$4</f>
        <v>0</v>
      </c>
      <c r="H17" s="5">
        <f>'Pod Build'!$I$16*E$4</f>
        <v>0</v>
      </c>
      <c r="I17" s="5">
        <f>'Pod Build'!$I$16*E$4</f>
        <v>0</v>
      </c>
      <c r="J17" s="5">
        <f>'Pod Build'!$I$16*E$4</f>
        <v>0</v>
      </c>
      <c r="K17" s="5">
        <f>'Pod Build'!$I$16*E$4</f>
        <v>0</v>
      </c>
      <c r="L17" s="5">
        <f>'Pod Build'!$I$16*E$4</f>
        <v>0</v>
      </c>
      <c r="M17" s="5">
        <f>'Pod Build'!$I$16*E$4</f>
        <v>0</v>
      </c>
      <c r="N17" s="5">
        <f>'Pod Build'!$I$16*E$4</f>
        <v>0</v>
      </c>
      <c r="O17" s="38">
        <f t="shared" si="0"/>
        <v>0</v>
      </c>
    </row>
    <row r="18" spans="1:15" x14ac:dyDescent="0.2">
      <c r="A18" s="4" t="s">
        <v>608</v>
      </c>
      <c r="B18" s="4" t="s">
        <v>595</v>
      </c>
      <c r="C18" s="5">
        <f>'Pod Build'!$I$17*C$4</f>
        <v>0</v>
      </c>
      <c r="D18" s="5">
        <f>'Pod Build'!$I$17*D$4</f>
        <v>0</v>
      </c>
      <c r="E18" s="5">
        <f>'Pod Build'!$I$17*E$4</f>
        <v>0</v>
      </c>
      <c r="F18" s="5">
        <f>'Pod Build'!$I$17*E$4</f>
        <v>0</v>
      </c>
      <c r="G18" s="5">
        <f>'Pod Build'!$I$17*E$4</f>
        <v>0</v>
      </c>
      <c r="H18" s="5">
        <f>'Pod Build'!$I$17*E$4</f>
        <v>0</v>
      </c>
      <c r="I18" s="5">
        <f>'Pod Build'!$I$17*E$4</f>
        <v>0</v>
      </c>
      <c r="J18" s="5">
        <f>'Pod Build'!$I$17*E$4</f>
        <v>0</v>
      </c>
      <c r="K18" s="5">
        <f>'Pod Build'!$I$17*E$4</f>
        <v>0</v>
      </c>
      <c r="L18" s="5">
        <f>'Pod Build'!$I$17*E$4</f>
        <v>0</v>
      </c>
      <c r="M18" s="5">
        <f>'Pod Build'!$I$17*E$4</f>
        <v>0</v>
      </c>
      <c r="N18" s="5">
        <f>'Pod Build'!$I$17*E$4</f>
        <v>0</v>
      </c>
      <c r="O18" s="38">
        <f t="shared" si="0"/>
        <v>0</v>
      </c>
    </row>
    <row r="19" spans="1:15" x14ac:dyDescent="0.2">
      <c r="A19" s="4" t="s">
        <v>609</v>
      </c>
      <c r="B19" s="4" t="s">
        <v>595</v>
      </c>
      <c r="C19" s="5">
        <f>'Pod Build'!$I$18*C$4</f>
        <v>0</v>
      </c>
      <c r="D19" s="5">
        <f>'Pod Build'!$I$18*D$4</f>
        <v>0</v>
      </c>
      <c r="E19" s="5">
        <f>'Pod Build'!$I$18*E$4</f>
        <v>0</v>
      </c>
      <c r="F19" s="5">
        <f>'Pod Build'!$I$18*E$4</f>
        <v>0</v>
      </c>
      <c r="G19" s="5">
        <f>'Pod Build'!$I$18*E$4</f>
        <v>0</v>
      </c>
      <c r="H19" s="5">
        <f>'Pod Build'!$I$18*E$4</f>
        <v>0</v>
      </c>
      <c r="I19" s="5">
        <f>'Pod Build'!$I$18*E$4</f>
        <v>0</v>
      </c>
      <c r="J19" s="5">
        <f>'Pod Build'!$I$18*E$4</f>
        <v>0</v>
      </c>
      <c r="K19" s="5">
        <f>'Pod Build'!$I$18*E$4</f>
        <v>0</v>
      </c>
      <c r="L19" s="5">
        <f>'Pod Build'!$I$18*E$4</f>
        <v>0</v>
      </c>
      <c r="M19" s="5">
        <f>'Pod Build'!$I$18*E$4</f>
        <v>0</v>
      </c>
      <c r="N19" s="5">
        <f>'Pod Build'!$I$18*E$4</f>
        <v>0</v>
      </c>
      <c r="O19" s="38">
        <f t="shared" si="0"/>
        <v>0</v>
      </c>
    </row>
    <row r="20" spans="1:15" x14ac:dyDescent="0.2">
      <c r="A20" s="4" t="s">
        <v>610</v>
      </c>
      <c r="B20" s="4" t="s">
        <v>595</v>
      </c>
      <c r="C20" s="5">
        <f>'Pod Build'!$I$19*C$4</f>
        <v>4.9450000000000001E-2</v>
      </c>
      <c r="D20" s="5">
        <f>'Pod Build'!$I$19*D$4</f>
        <v>7.4175000000000005E-2</v>
      </c>
      <c r="E20" s="5">
        <f>'Pod Build'!$I$19*E$4</f>
        <v>9.8900000000000002E-2</v>
      </c>
      <c r="F20" s="5">
        <f>'Pod Build'!$I$19*E$4</f>
        <v>9.8900000000000002E-2</v>
      </c>
      <c r="G20" s="5">
        <f>'Pod Build'!$I$19*E$4</f>
        <v>9.8900000000000002E-2</v>
      </c>
      <c r="H20" s="5">
        <f>'Pod Build'!$I$19*E$4</f>
        <v>9.8900000000000002E-2</v>
      </c>
      <c r="I20" s="5">
        <f>'Pod Build'!$I$19*E$4</f>
        <v>9.8900000000000002E-2</v>
      </c>
      <c r="J20" s="5">
        <f>'Pod Build'!$I$19*E$4</f>
        <v>9.8900000000000002E-2</v>
      </c>
      <c r="K20" s="5">
        <f>'Pod Build'!$I$19*E$4</f>
        <v>9.8900000000000002E-2</v>
      </c>
      <c r="L20" s="5">
        <f>'Pod Build'!$I$19*E$4</f>
        <v>9.8900000000000002E-2</v>
      </c>
      <c r="M20" s="5">
        <f>'Pod Build'!$I$19*E$4</f>
        <v>9.8900000000000002E-2</v>
      </c>
      <c r="N20" s="5">
        <f>'Pod Build'!$I$19*E$4</f>
        <v>9.8900000000000002E-2</v>
      </c>
      <c r="O20" s="38">
        <f t="shared" si="0"/>
        <v>1.112625</v>
      </c>
    </row>
    <row r="21" spans="1:15" x14ac:dyDescent="0.2">
      <c r="A21" s="4" t="s">
        <v>611</v>
      </c>
      <c r="B21" s="4" t="s">
        <v>466</v>
      </c>
      <c r="C21" s="5">
        <f>'Pod Build'!$I$20</f>
        <v>129.97049999999999</v>
      </c>
      <c r="D21" s="5">
        <f>'Pod Build'!$I$20</f>
        <v>129.97049999999999</v>
      </c>
      <c r="E21" s="5">
        <f>'Pod Build'!$I$20</f>
        <v>129.97049999999999</v>
      </c>
      <c r="F21" s="5">
        <f>'Pod Build'!$I$20</f>
        <v>129.97049999999999</v>
      </c>
      <c r="G21" s="5">
        <f>'Pod Build'!$I$20</f>
        <v>129.97049999999999</v>
      </c>
      <c r="H21" s="5">
        <f>'Pod Build'!$I$20</f>
        <v>129.97049999999999</v>
      </c>
      <c r="I21" s="5">
        <f>'Pod Build'!$I$20</f>
        <v>129.97049999999999</v>
      </c>
      <c r="J21" s="5">
        <f>'Pod Build'!$I$20</f>
        <v>129.97049999999999</v>
      </c>
      <c r="K21" s="5">
        <f>'Pod Build'!$I$20</f>
        <v>129.97049999999999</v>
      </c>
      <c r="L21" s="5">
        <f>'Pod Build'!$I$20</f>
        <v>129.97049999999999</v>
      </c>
      <c r="M21" s="5">
        <f>'Pod Build'!$I$20</f>
        <v>129.97049999999999</v>
      </c>
      <c r="N21" s="5">
        <f>'Pod Build'!$I$20</f>
        <v>129.97049999999999</v>
      </c>
      <c r="O21" s="38">
        <f t="shared" si="0"/>
        <v>1559.6459999999995</v>
      </c>
    </row>
    <row r="22" spans="1:15" x14ac:dyDescent="0.2">
      <c r="A22" s="4" t="s">
        <v>612</v>
      </c>
      <c r="B22" s="4" t="s">
        <v>466</v>
      </c>
      <c r="C22" s="5">
        <f>'Pod Build'!$I$21</f>
        <v>757.74</v>
      </c>
      <c r="D22" s="5">
        <f>'Pod Build'!$I$21</f>
        <v>757.74</v>
      </c>
      <c r="E22" s="5">
        <f>'Pod Build'!$I$21</f>
        <v>757.74</v>
      </c>
      <c r="F22" s="5">
        <f>'Pod Build'!$I$21</f>
        <v>757.74</v>
      </c>
      <c r="G22" s="5">
        <f>'Pod Build'!$I$21</f>
        <v>757.74</v>
      </c>
      <c r="H22" s="5">
        <f>'Pod Build'!$I$21</f>
        <v>757.74</v>
      </c>
      <c r="I22" s="5">
        <f>'Pod Build'!$I$21</f>
        <v>757.74</v>
      </c>
      <c r="J22" s="5">
        <f>'Pod Build'!$I$21</f>
        <v>757.74</v>
      </c>
      <c r="K22" s="5">
        <f>'Pod Build'!$I$21</f>
        <v>757.74</v>
      </c>
      <c r="L22" s="5">
        <f>'Pod Build'!$I$21</f>
        <v>757.74</v>
      </c>
      <c r="M22" s="5">
        <f>'Pod Build'!$I$21</f>
        <v>757.74</v>
      </c>
      <c r="N22" s="5">
        <f>'Pod Build'!$I$21</f>
        <v>757.74</v>
      </c>
      <c r="O22" s="38">
        <f t="shared" si="0"/>
        <v>9092.8799999999992</v>
      </c>
    </row>
    <row r="23" spans="1:15" x14ac:dyDescent="0.2">
      <c r="A23" s="4" t="s">
        <v>613</v>
      </c>
      <c r="B23" s="4" t="s">
        <v>595</v>
      </c>
      <c r="C23" s="5">
        <f>'Pod Build'!$I$22*C$4</f>
        <v>0.24308844253125</v>
      </c>
      <c r="D23" s="5">
        <f>'Pod Build'!$I$22*D$4</f>
        <v>0.36463266379687498</v>
      </c>
      <c r="E23" s="5">
        <f>'Pod Build'!$I$22*E$4</f>
        <v>0.48617688506250001</v>
      </c>
      <c r="F23" s="5">
        <f>'Pod Build'!$I$22*E$4</f>
        <v>0.48617688506250001</v>
      </c>
      <c r="G23" s="5">
        <f>'Pod Build'!$I$22*E$4</f>
        <v>0.48617688506250001</v>
      </c>
      <c r="H23" s="5">
        <f>'Pod Build'!$I$22*E$4</f>
        <v>0.48617688506250001</v>
      </c>
      <c r="I23" s="5">
        <f>'Pod Build'!$I$22*E$4</f>
        <v>0.48617688506250001</v>
      </c>
      <c r="J23" s="5">
        <f>'Pod Build'!$I$22*E$4</f>
        <v>0.48617688506250001</v>
      </c>
      <c r="K23" s="5">
        <f>'Pod Build'!$I$22*E$4</f>
        <v>0.48617688506250001</v>
      </c>
      <c r="L23" s="5">
        <f>'Pod Build'!$I$22*E$4</f>
        <v>0.48617688506250001</v>
      </c>
      <c r="M23" s="5">
        <f>'Pod Build'!$I$22*E$4</f>
        <v>0.48617688506250001</v>
      </c>
      <c r="N23" s="5">
        <f>'Pod Build'!$I$22*E$4</f>
        <v>0.48617688506250001</v>
      </c>
      <c r="O23" s="38">
        <f t="shared" si="0"/>
        <v>5.4694899569531259</v>
      </c>
    </row>
    <row r="24" spans="1:15" x14ac:dyDescent="0.2">
      <c r="A24" s="4" t="s">
        <v>614</v>
      </c>
      <c r="B24" s="4" t="s">
        <v>595</v>
      </c>
      <c r="C24" s="5">
        <f>'Pod Build'!$I$23*C$4</f>
        <v>2.4725000000000001</v>
      </c>
      <c r="D24" s="5">
        <f>'Pod Build'!$I$23*D$4</f>
        <v>3.7087500000000002</v>
      </c>
      <c r="E24" s="5">
        <f>'Pod Build'!$I$23*E$4</f>
        <v>4.9450000000000003</v>
      </c>
      <c r="F24" s="5">
        <f>'Pod Build'!$I$23*E$4</f>
        <v>4.9450000000000003</v>
      </c>
      <c r="G24" s="5">
        <f>'Pod Build'!$I$23*E$4</f>
        <v>4.9450000000000003</v>
      </c>
      <c r="H24" s="5">
        <f>'Pod Build'!$I$23*E$4</f>
        <v>4.9450000000000003</v>
      </c>
      <c r="I24" s="5">
        <f>'Pod Build'!$I$23*E$4</f>
        <v>4.9450000000000003</v>
      </c>
      <c r="J24" s="5">
        <f>'Pod Build'!$I$23*E$4</f>
        <v>4.9450000000000003</v>
      </c>
      <c r="K24" s="5">
        <f>'Pod Build'!$I$23*E$4</f>
        <v>4.9450000000000003</v>
      </c>
      <c r="L24" s="5">
        <f>'Pod Build'!$I$23*E$4</f>
        <v>4.9450000000000003</v>
      </c>
      <c r="M24" s="5">
        <f>'Pod Build'!$I$23*E$4</f>
        <v>4.9450000000000003</v>
      </c>
      <c r="N24" s="5">
        <f>'Pod Build'!$I$23*E$4</f>
        <v>4.9450000000000003</v>
      </c>
      <c r="O24" s="38">
        <f t="shared" si="0"/>
        <v>55.631250000000001</v>
      </c>
    </row>
    <row r="25" spans="1:15" x14ac:dyDescent="0.2">
      <c r="A25" s="4" t="s">
        <v>615</v>
      </c>
      <c r="B25" s="4" t="s">
        <v>595</v>
      </c>
      <c r="C25" s="5">
        <f>'Pod Build'!$I$24*C$4</f>
        <v>3.7087500000000002</v>
      </c>
      <c r="D25" s="5">
        <f>'Pod Build'!$I$24*D$4</f>
        <v>5.5631250000000003</v>
      </c>
      <c r="E25" s="5">
        <f>'Pod Build'!$I$24*E$4</f>
        <v>7.4175000000000004</v>
      </c>
      <c r="F25" s="5">
        <f>'Pod Build'!$I$24*E$4</f>
        <v>7.4175000000000004</v>
      </c>
      <c r="G25" s="5">
        <f>'Pod Build'!$I$24*E$4</f>
        <v>7.4175000000000004</v>
      </c>
      <c r="H25" s="5">
        <f>'Pod Build'!$I$24*E$4</f>
        <v>7.4175000000000004</v>
      </c>
      <c r="I25" s="5">
        <f>'Pod Build'!$I$24*E$4</f>
        <v>7.4175000000000004</v>
      </c>
      <c r="J25" s="5">
        <f>'Pod Build'!$I$24*E$4</f>
        <v>7.4175000000000004</v>
      </c>
      <c r="K25" s="5">
        <f>'Pod Build'!$I$24*E$4</f>
        <v>7.4175000000000004</v>
      </c>
      <c r="L25" s="5">
        <f>'Pod Build'!$I$24*E$4</f>
        <v>7.4175000000000004</v>
      </c>
      <c r="M25" s="5">
        <f>'Pod Build'!$I$24*E$4</f>
        <v>7.4175000000000004</v>
      </c>
      <c r="N25" s="5">
        <f>'Pod Build'!$I$24*E$4</f>
        <v>7.4175000000000004</v>
      </c>
      <c r="O25" s="38">
        <f t="shared" si="0"/>
        <v>83.44687500000002</v>
      </c>
    </row>
    <row r="26" spans="1:15" x14ac:dyDescent="0.2">
      <c r="A26" s="4" t="s">
        <v>616</v>
      </c>
      <c r="B26" s="4" t="s">
        <v>595</v>
      </c>
      <c r="C26" s="5">
        <f>'Pod Build'!$I$25*C$4</f>
        <v>2.4725000000000001</v>
      </c>
      <c r="D26" s="5">
        <f>'Pod Build'!$I$25*D$4</f>
        <v>3.7087500000000002</v>
      </c>
      <c r="E26" s="5">
        <f>'Pod Build'!$I$25*E$4</f>
        <v>4.9450000000000003</v>
      </c>
      <c r="F26" s="5">
        <f>'Pod Build'!$I$25*E$4</f>
        <v>4.9450000000000003</v>
      </c>
      <c r="G26" s="5">
        <f>'Pod Build'!$I$25*E$4</f>
        <v>4.9450000000000003</v>
      </c>
      <c r="H26" s="5">
        <f>'Pod Build'!$I$25*E$4</f>
        <v>4.9450000000000003</v>
      </c>
      <c r="I26" s="5">
        <f>'Pod Build'!$I$25*E$4</f>
        <v>4.9450000000000003</v>
      </c>
      <c r="J26" s="5">
        <f>'Pod Build'!$I$25*E$4</f>
        <v>4.9450000000000003</v>
      </c>
      <c r="K26" s="5">
        <f>'Pod Build'!$I$25*E$4</f>
        <v>4.9450000000000003</v>
      </c>
      <c r="L26" s="5">
        <f>'Pod Build'!$I$25*E$4</f>
        <v>4.9450000000000003</v>
      </c>
      <c r="M26" s="5">
        <f>'Pod Build'!$I$25*E$4</f>
        <v>4.9450000000000003</v>
      </c>
      <c r="N26" s="5">
        <f>'Pod Build'!$I$25*E$4</f>
        <v>4.9450000000000003</v>
      </c>
      <c r="O26" s="38">
        <f t="shared" si="0"/>
        <v>55.631250000000001</v>
      </c>
    </row>
    <row r="27" spans="1:15" x14ac:dyDescent="0.2">
      <c r="A27" s="4" t="s">
        <v>617</v>
      </c>
      <c r="B27" s="4" t="s">
        <v>595</v>
      </c>
      <c r="C27" s="5">
        <f>'Pod Build'!$I$26*C$4</f>
        <v>50.686250000000001</v>
      </c>
      <c r="D27" s="5">
        <f>'Pod Build'!$I$26*D$4</f>
        <v>76.029375000000002</v>
      </c>
      <c r="E27" s="5">
        <f>'Pod Build'!$I$26*E$4</f>
        <v>101.3725</v>
      </c>
      <c r="F27" s="5">
        <f>'Pod Build'!$I$26*E$4</f>
        <v>101.3725</v>
      </c>
      <c r="G27" s="5">
        <f>'Pod Build'!$I$26*E$4</f>
        <v>101.3725</v>
      </c>
      <c r="H27" s="5">
        <f>'Pod Build'!$I$26*E$4</f>
        <v>101.3725</v>
      </c>
      <c r="I27" s="5">
        <f>'Pod Build'!$I$26*E$4</f>
        <v>101.3725</v>
      </c>
      <c r="J27" s="5">
        <f>'Pod Build'!$I$26*E$4</f>
        <v>101.3725</v>
      </c>
      <c r="K27" s="5">
        <f>'Pod Build'!$I$26*E$4</f>
        <v>101.3725</v>
      </c>
      <c r="L27" s="5">
        <f>'Pod Build'!$I$26*E$4</f>
        <v>101.3725</v>
      </c>
      <c r="M27" s="5">
        <f>'Pod Build'!$I$26*E$4</f>
        <v>101.3725</v>
      </c>
      <c r="N27" s="5">
        <f>'Pod Build'!$I$26*E$4</f>
        <v>101.3725</v>
      </c>
      <c r="O27" s="38">
        <f t="shared" si="0"/>
        <v>1140.4406249999997</v>
      </c>
    </row>
    <row r="28" spans="1:15" x14ac:dyDescent="0.2">
      <c r="A28" s="4" t="s">
        <v>618</v>
      </c>
      <c r="B28" s="4" t="s">
        <v>595</v>
      </c>
      <c r="C28" s="5">
        <f>'Pod Build'!$I$27*C$4</f>
        <v>50.686250000000001</v>
      </c>
      <c r="D28" s="5">
        <f>'Pod Build'!$I$27*D$4</f>
        <v>76.029375000000002</v>
      </c>
      <c r="E28" s="5">
        <f>'Pod Build'!$I$27*E$4</f>
        <v>101.3725</v>
      </c>
      <c r="F28" s="5">
        <f>'Pod Build'!$I$27*E$4</f>
        <v>101.3725</v>
      </c>
      <c r="G28" s="5">
        <f>'Pod Build'!$I$27*E$4</f>
        <v>101.3725</v>
      </c>
      <c r="H28" s="5">
        <f>'Pod Build'!$I$27*E$4</f>
        <v>101.3725</v>
      </c>
      <c r="I28" s="5">
        <f>'Pod Build'!$I$27*E$4</f>
        <v>101.3725</v>
      </c>
      <c r="J28" s="5">
        <f>'Pod Build'!$I$27*E$4</f>
        <v>101.3725</v>
      </c>
      <c r="K28" s="5">
        <f>'Pod Build'!$I$27*E$4</f>
        <v>101.3725</v>
      </c>
      <c r="L28" s="5">
        <f>'Pod Build'!$I$27*E$4</f>
        <v>101.3725</v>
      </c>
      <c r="M28" s="5">
        <f>'Pod Build'!$I$27*E$4</f>
        <v>101.3725</v>
      </c>
      <c r="N28" s="5">
        <f>'Pod Build'!$I$27*E$4</f>
        <v>101.3725</v>
      </c>
      <c r="O28" s="38">
        <f t="shared" si="0"/>
        <v>1140.4406249999997</v>
      </c>
    </row>
    <row r="29" spans="1:15" x14ac:dyDescent="0.2">
      <c r="A29" s="4" t="s">
        <v>619</v>
      </c>
      <c r="B29" s="4" t="s">
        <v>595</v>
      </c>
      <c r="C29" s="5">
        <f>'Pod Build'!$I$28*C$4</f>
        <v>0</v>
      </c>
      <c r="D29" s="5">
        <f>'Pod Build'!$I$28*D$4</f>
        <v>0</v>
      </c>
      <c r="E29" s="5">
        <f>'Pod Build'!$I$28*E$4</f>
        <v>0</v>
      </c>
      <c r="F29" s="5">
        <f>'Pod Build'!$I$28*E$4</f>
        <v>0</v>
      </c>
      <c r="G29" s="5">
        <f>'Pod Build'!$I$28*E$4</f>
        <v>0</v>
      </c>
      <c r="H29" s="5">
        <f>'Pod Build'!$I$28*E$4</f>
        <v>0</v>
      </c>
      <c r="I29" s="5">
        <f>'Pod Build'!$I$28*E$4</f>
        <v>0</v>
      </c>
      <c r="J29" s="5">
        <f>'Pod Build'!$I$28*E$4</f>
        <v>0</v>
      </c>
      <c r="K29" s="5">
        <f>'Pod Build'!$I$28*E$4</f>
        <v>0</v>
      </c>
      <c r="L29" s="5">
        <f>'Pod Build'!$I$28*E$4</f>
        <v>0</v>
      </c>
      <c r="M29" s="5">
        <f>'Pod Build'!$I$28*E$4</f>
        <v>0</v>
      </c>
      <c r="N29" s="5">
        <f>'Pod Build'!$I$28*E$4</f>
        <v>0</v>
      </c>
      <c r="O29" s="38">
        <f t="shared" si="0"/>
        <v>0</v>
      </c>
    </row>
    <row r="30" spans="1:15" x14ac:dyDescent="0.2">
      <c r="A30" s="4" t="s">
        <v>620</v>
      </c>
      <c r="B30" s="4" t="s">
        <v>595</v>
      </c>
      <c r="C30" s="5">
        <f>'Pod Build'!$I$29*C$4</f>
        <v>0</v>
      </c>
      <c r="D30" s="5">
        <f>'Pod Build'!$I$29*D$4</f>
        <v>0</v>
      </c>
      <c r="E30" s="5">
        <f>'Pod Build'!$I$29*E$4</f>
        <v>0</v>
      </c>
      <c r="F30" s="5">
        <f>'Pod Build'!$I$29*E$4</f>
        <v>0</v>
      </c>
      <c r="G30" s="5">
        <f>'Pod Build'!$I$29*E$4</f>
        <v>0</v>
      </c>
      <c r="H30" s="5">
        <f>'Pod Build'!$I$29*E$4</f>
        <v>0</v>
      </c>
      <c r="I30" s="5">
        <f>'Pod Build'!$I$29*E$4</f>
        <v>0</v>
      </c>
      <c r="J30" s="5">
        <f>'Pod Build'!$I$29*E$4</f>
        <v>0</v>
      </c>
      <c r="K30" s="5">
        <f>'Pod Build'!$I$29*E$4</f>
        <v>0</v>
      </c>
      <c r="L30" s="5">
        <f>'Pod Build'!$I$29*E$4</f>
        <v>0</v>
      </c>
      <c r="M30" s="5">
        <f>'Pod Build'!$I$29*E$4</f>
        <v>0</v>
      </c>
      <c r="N30" s="5">
        <f>'Pod Build'!$I$29*E$4</f>
        <v>0</v>
      </c>
      <c r="O30" s="38">
        <f t="shared" si="0"/>
        <v>0</v>
      </c>
    </row>
    <row r="31" spans="1:15" x14ac:dyDescent="0.2">
      <c r="A31" s="4" t="s">
        <v>621</v>
      </c>
      <c r="B31" s="4" t="s">
        <v>595</v>
      </c>
      <c r="C31" s="5">
        <f>'Pod Build'!$I$30*C$4</f>
        <v>0</v>
      </c>
      <c r="D31" s="5">
        <f>'Pod Build'!$I$30*D$4</f>
        <v>0</v>
      </c>
      <c r="E31" s="5">
        <f>'Pod Build'!$I$30*E$4</f>
        <v>0</v>
      </c>
      <c r="F31" s="5">
        <f>'Pod Build'!$I$30*E$4</f>
        <v>0</v>
      </c>
      <c r="G31" s="5">
        <f>'Pod Build'!$I$30*E$4</f>
        <v>0</v>
      </c>
      <c r="H31" s="5">
        <f>'Pod Build'!$I$30*E$4</f>
        <v>0</v>
      </c>
      <c r="I31" s="5">
        <f>'Pod Build'!$I$30*E$4</f>
        <v>0</v>
      </c>
      <c r="J31" s="5">
        <f>'Pod Build'!$I$30*E$4</f>
        <v>0</v>
      </c>
      <c r="K31" s="5">
        <f>'Pod Build'!$I$30*E$4</f>
        <v>0</v>
      </c>
      <c r="L31" s="5">
        <f>'Pod Build'!$I$30*E$4</f>
        <v>0</v>
      </c>
      <c r="M31" s="5">
        <f>'Pod Build'!$I$30*E$4</f>
        <v>0</v>
      </c>
      <c r="N31" s="5">
        <f>'Pod Build'!$I$30*E$4</f>
        <v>0</v>
      </c>
      <c r="O31" s="38">
        <f t="shared" si="0"/>
        <v>0</v>
      </c>
    </row>
    <row r="32" spans="1:15" x14ac:dyDescent="0.2">
      <c r="A32" s="4" t="s">
        <v>622</v>
      </c>
      <c r="B32" s="4" t="s">
        <v>595</v>
      </c>
      <c r="C32" s="5">
        <f>'Pod Build'!$I$31*C$4</f>
        <v>4.4640000000000001E-3</v>
      </c>
      <c r="D32" s="5">
        <f>'Pod Build'!$I$31*D$4</f>
        <v>6.6960000000000006E-3</v>
      </c>
      <c r="E32" s="5">
        <f>'Pod Build'!$I$31*E$4</f>
        <v>8.9280000000000002E-3</v>
      </c>
      <c r="F32" s="5">
        <f>'Pod Build'!$I$31*E$4</f>
        <v>8.9280000000000002E-3</v>
      </c>
      <c r="G32" s="5">
        <f>'Pod Build'!$I$31*E$4</f>
        <v>8.9280000000000002E-3</v>
      </c>
      <c r="H32" s="5">
        <f>'Pod Build'!$I$31*E$4</f>
        <v>8.9280000000000002E-3</v>
      </c>
      <c r="I32" s="5">
        <f>'Pod Build'!$I$31*E$4</f>
        <v>8.9280000000000002E-3</v>
      </c>
      <c r="J32" s="5">
        <f>'Pod Build'!$I$31*E$4</f>
        <v>8.9280000000000002E-3</v>
      </c>
      <c r="K32" s="5">
        <f>'Pod Build'!$I$31*E$4</f>
        <v>8.9280000000000002E-3</v>
      </c>
      <c r="L32" s="5">
        <f>'Pod Build'!$I$31*E$4</f>
        <v>8.9280000000000002E-3</v>
      </c>
      <c r="M32" s="5">
        <f>'Pod Build'!$I$31*E$4</f>
        <v>8.9280000000000002E-3</v>
      </c>
      <c r="N32" s="5">
        <f>'Pod Build'!$I$31*E$4</f>
        <v>8.9280000000000002E-3</v>
      </c>
      <c r="O32" s="38">
        <f t="shared" si="0"/>
        <v>0.10044000000000002</v>
      </c>
    </row>
    <row r="33" spans="1:15" x14ac:dyDescent="0.2">
      <c r="A33" s="4" t="s">
        <v>623</v>
      </c>
      <c r="B33" s="4" t="s">
        <v>595</v>
      </c>
      <c r="C33" s="5">
        <f>'Pod Build'!$I$32*C$4</f>
        <v>1.7801999999999998E-2</v>
      </c>
      <c r="D33" s="5">
        <f>'Pod Build'!$I$32*D$4</f>
        <v>2.6702999999999998E-2</v>
      </c>
      <c r="E33" s="5">
        <f>'Pod Build'!$I$32*E$4</f>
        <v>3.5603999999999997E-2</v>
      </c>
      <c r="F33" s="5">
        <f>'Pod Build'!$I$32*E$4</f>
        <v>3.5603999999999997E-2</v>
      </c>
      <c r="G33" s="5">
        <f>'Pod Build'!$I$32*E$4</f>
        <v>3.5603999999999997E-2</v>
      </c>
      <c r="H33" s="5">
        <f>'Pod Build'!$I$32*E$4</f>
        <v>3.5603999999999997E-2</v>
      </c>
      <c r="I33" s="5">
        <f>'Pod Build'!$I$32*E$4</f>
        <v>3.5603999999999997E-2</v>
      </c>
      <c r="J33" s="5">
        <f>'Pod Build'!$I$32*E$4</f>
        <v>3.5603999999999997E-2</v>
      </c>
      <c r="K33" s="5">
        <f>'Pod Build'!$I$32*E$4</f>
        <v>3.5603999999999997E-2</v>
      </c>
      <c r="L33" s="5">
        <f>'Pod Build'!$I$32*E$4</f>
        <v>3.5603999999999997E-2</v>
      </c>
      <c r="M33" s="5">
        <f>'Pod Build'!$I$32*E$4</f>
        <v>3.5603999999999997E-2</v>
      </c>
      <c r="N33" s="5">
        <f>'Pod Build'!$I$32*E$4</f>
        <v>3.5603999999999997E-2</v>
      </c>
      <c r="O33" s="38">
        <f t="shared" si="0"/>
        <v>0.40054499999999982</v>
      </c>
    </row>
    <row r="34" spans="1:15" x14ac:dyDescent="0.2">
      <c r="A34" s="4" t="s">
        <v>624</v>
      </c>
      <c r="B34" s="4" t="s">
        <v>466</v>
      </c>
      <c r="C34" s="5">
        <f>'Pod Build'!$I$33</f>
        <v>18.020050000000001</v>
      </c>
      <c r="D34" s="5">
        <f>'Pod Build'!$I$33</f>
        <v>18.020050000000001</v>
      </c>
      <c r="E34" s="5">
        <f>'Pod Build'!$I$33</f>
        <v>18.020050000000001</v>
      </c>
      <c r="F34" s="5">
        <f>'Pod Build'!$I$33</f>
        <v>18.020050000000001</v>
      </c>
      <c r="G34" s="5">
        <f>'Pod Build'!$I$33</f>
        <v>18.020050000000001</v>
      </c>
      <c r="H34" s="5">
        <f>'Pod Build'!$I$33</f>
        <v>18.020050000000001</v>
      </c>
      <c r="I34" s="5">
        <f>'Pod Build'!$I$33</f>
        <v>18.020050000000001</v>
      </c>
      <c r="J34" s="5">
        <f>'Pod Build'!$I$33</f>
        <v>18.020050000000001</v>
      </c>
      <c r="K34" s="5">
        <f>'Pod Build'!$I$33</f>
        <v>18.020050000000001</v>
      </c>
      <c r="L34" s="5">
        <f>'Pod Build'!$I$33</f>
        <v>18.020050000000001</v>
      </c>
      <c r="M34" s="5">
        <f>'Pod Build'!$I$33</f>
        <v>18.020050000000001</v>
      </c>
      <c r="N34" s="5">
        <f>'Pod Build'!$I$33</f>
        <v>18.020050000000001</v>
      </c>
      <c r="O34" s="38">
        <f t="shared" si="0"/>
        <v>216.2406</v>
      </c>
    </row>
    <row r="35" spans="1:15" x14ac:dyDescent="0.2">
      <c r="A35" s="4" t="s">
        <v>625</v>
      </c>
      <c r="B35" s="4" t="s">
        <v>595</v>
      </c>
      <c r="C35" s="5">
        <f>'Pod Build'!$I$34*C$4</f>
        <v>3.4367750000000002E-2</v>
      </c>
      <c r="D35" s="5">
        <f>'Pod Build'!$I$34*D$4</f>
        <v>5.1551625000000004E-2</v>
      </c>
      <c r="E35" s="5">
        <f>'Pod Build'!$I$34*E$4</f>
        <v>6.8735500000000005E-2</v>
      </c>
      <c r="F35" s="5">
        <f>'Pod Build'!$I$34*E$4</f>
        <v>6.8735500000000005E-2</v>
      </c>
      <c r="G35" s="5">
        <f>'Pod Build'!$I$34*E$4</f>
        <v>6.8735500000000005E-2</v>
      </c>
      <c r="H35" s="5">
        <f>'Pod Build'!$I$34*E$4</f>
        <v>6.8735500000000005E-2</v>
      </c>
      <c r="I35" s="5">
        <f>'Pod Build'!$I$34*E$4</f>
        <v>6.8735500000000005E-2</v>
      </c>
      <c r="J35" s="5">
        <f>'Pod Build'!$I$34*E$4</f>
        <v>6.8735500000000005E-2</v>
      </c>
      <c r="K35" s="5">
        <f>'Pod Build'!$I$34*E$4</f>
        <v>6.8735500000000005E-2</v>
      </c>
      <c r="L35" s="5">
        <f>'Pod Build'!$I$34*E$4</f>
        <v>6.8735500000000005E-2</v>
      </c>
      <c r="M35" s="5">
        <f>'Pod Build'!$I$34*E$4</f>
        <v>6.8735500000000005E-2</v>
      </c>
      <c r="N35" s="5">
        <f>'Pod Build'!$I$34*E$4</f>
        <v>6.8735500000000005E-2</v>
      </c>
      <c r="O35" s="38">
        <f t="shared" si="0"/>
        <v>0.77327437500000018</v>
      </c>
    </row>
    <row r="36" spans="1:15" x14ac:dyDescent="0.2">
      <c r="A36" s="4" t="s">
        <v>626</v>
      </c>
      <c r="B36" s="4" t="s">
        <v>466</v>
      </c>
      <c r="C36" s="5">
        <f>'Pod Build'!$I$35</f>
        <v>36.040100000000002</v>
      </c>
      <c r="D36" s="5">
        <f>'Pod Build'!$I$35</f>
        <v>36.040100000000002</v>
      </c>
      <c r="E36" s="5">
        <f>'Pod Build'!$I$35</f>
        <v>36.040100000000002</v>
      </c>
      <c r="F36" s="5">
        <f>'Pod Build'!$I$35</f>
        <v>36.040100000000002</v>
      </c>
      <c r="G36" s="5">
        <f>'Pod Build'!$I$35</f>
        <v>36.040100000000002</v>
      </c>
      <c r="H36" s="5">
        <f>'Pod Build'!$I$35</f>
        <v>36.040100000000002</v>
      </c>
      <c r="I36" s="5">
        <f>'Pod Build'!$I$35</f>
        <v>36.040100000000002</v>
      </c>
      <c r="J36" s="5">
        <f>'Pod Build'!$I$35</f>
        <v>36.040100000000002</v>
      </c>
      <c r="K36" s="5">
        <f>'Pod Build'!$I$35</f>
        <v>36.040100000000002</v>
      </c>
      <c r="L36" s="5">
        <f>'Pod Build'!$I$35</f>
        <v>36.040100000000002</v>
      </c>
      <c r="M36" s="5">
        <f>'Pod Build'!$I$35</f>
        <v>36.040100000000002</v>
      </c>
      <c r="N36" s="5">
        <f>'Pod Build'!$I$35</f>
        <v>36.040100000000002</v>
      </c>
      <c r="O36" s="38">
        <f t="shared" si="0"/>
        <v>432.4812</v>
      </c>
    </row>
    <row r="37" spans="1:15" x14ac:dyDescent="0.2">
      <c r="A37" s="4" t="s">
        <v>627</v>
      </c>
      <c r="B37" s="4" t="s">
        <v>595</v>
      </c>
      <c r="C37" s="5">
        <f>'Pod Build'!$I$36*C$4</f>
        <v>0.45000000000000007</v>
      </c>
      <c r="D37" s="5">
        <f>'Pod Build'!$I$36*D$4</f>
        <v>0.67500000000000004</v>
      </c>
      <c r="E37" s="5">
        <f>'Pod Build'!$I$36*E$4</f>
        <v>0.90000000000000013</v>
      </c>
      <c r="F37" s="5">
        <f>'Pod Build'!$I$36*E$4</f>
        <v>0.90000000000000013</v>
      </c>
      <c r="G37" s="5">
        <f>'Pod Build'!$I$36*E$4</f>
        <v>0.90000000000000013</v>
      </c>
      <c r="H37" s="5">
        <f>'Pod Build'!$I$36*E$4</f>
        <v>0.90000000000000013</v>
      </c>
      <c r="I37" s="5">
        <f>'Pod Build'!$I$36*E$4</f>
        <v>0.90000000000000013</v>
      </c>
      <c r="J37" s="5">
        <f>'Pod Build'!$I$36*E$4</f>
        <v>0.90000000000000013</v>
      </c>
      <c r="K37" s="5">
        <f>'Pod Build'!$I$36*E$4</f>
        <v>0.90000000000000013</v>
      </c>
      <c r="L37" s="5">
        <f>'Pod Build'!$I$36*E$4</f>
        <v>0.90000000000000013</v>
      </c>
      <c r="M37" s="5">
        <f>'Pod Build'!$I$36*E$4</f>
        <v>0.90000000000000013</v>
      </c>
      <c r="N37" s="5">
        <f>'Pod Build'!$I$36*E$4</f>
        <v>0.90000000000000013</v>
      </c>
      <c r="O37" s="38">
        <f t="shared" si="0"/>
        <v>10.125000000000004</v>
      </c>
    </row>
    <row r="38" spans="1:15" x14ac:dyDescent="0.2">
      <c r="A38" s="4" t="s">
        <v>628</v>
      </c>
      <c r="B38" s="4" t="s">
        <v>466</v>
      </c>
      <c r="C38" s="5">
        <f>'Pod Build'!$I$37</f>
        <v>22.265000000000001</v>
      </c>
      <c r="D38" s="5">
        <f>'Pod Build'!$I$37</f>
        <v>22.265000000000001</v>
      </c>
      <c r="E38" s="5">
        <f>'Pod Build'!$I$37</f>
        <v>22.265000000000001</v>
      </c>
      <c r="F38" s="5">
        <f>'Pod Build'!$I$37</f>
        <v>22.265000000000001</v>
      </c>
      <c r="G38" s="5">
        <f>'Pod Build'!$I$37</f>
        <v>22.265000000000001</v>
      </c>
      <c r="H38" s="5">
        <f>'Pod Build'!$I$37</f>
        <v>22.265000000000001</v>
      </c>
      <c r="I38" s="5">
        <f>'Pod Build'!$I$37</f>
        <v>22.265000000000001</v>
      </c>
      <c r="J38" s="5">
        <f>'Pod Build'!$I$37</f>
        <v>22.265000000000001</v>
      </c>
      <c r="K38" s="5">
        <f>'Pod Build'!$I$37</f>
        <v>22.265000000000001</v>
      </c>
      <c r="L38" s="5">
        <f>'Pod Build'!$I$37</f>
        <v>22.265000000000001</v>
      </c>
      <c r="M38" s="5">
        <f>'Pod Build'!$I$37</f>
        <v>22.265000000000001</v>
      </c>
      <c r="N38" s="5">
        <f>'Pod Build'!$I$37</f>
        <v>22.265000000000001</v>
      </c>
      <c r="O38" s="38">
        <f t="shared" si="0"/>
        <v>267.17999999999995</v>
      </c>
    </row>
    <row r="39" spans="1:15" x14ac:dyDescent="0.2">
      <c r="A39" s="4" t="s">
        <v>629</v>
      </c>
      <c r="B39" s="4" t="s">
        <v>466</v>
      </c>
      <c r="C39" s="5">
        <f>'Pod Build'!$I$38</f>
        <v>33.75</v>
      </c>
      <c r="D39" s="5">
        <f>'Pod Build'!$I$38</f>
        <v>33.75</v>
      </c>
      <c r="E39" s="5">
        <f>'Pod Build'!$I$38</f>
        <v>33.75</v>
      </c>
      <c r="F39" s="5">
        <f>'Pod Build'!$I$38</f>
        <v>33.75</v>
      </c>
      <c r="G39" s="5">
        <f>'Pod Build'!$I$38</f>
        <v>33.75</v>
      </c>
      <c r="H39" s="5">
        <f>'Pod Build'!$I$38</f>
        <v>33.75</v>
      </c>
      <c r="I39" s="5">
        <f>'Pod Build'!$I$38</f>
        <v>33.75</v>
      </c>
      <c r="J39" s="5">
        <f>'Pod Build'!$I$38</f>
        <v>33.75</v>
      </c>
      <c r="K39" s="5">
        <f>'Pod Build'!$I$38</f>
        <v>33.75</v>
      </c>
      <c r="L39" s="5">
        <f>'Pod Build'!$I$38</f>
        <v>33.75</v>
      </c>
      <c r="M39" s="5">
        <f>'Pod Build'!$I$38</f>
        <v>33.75</v>
      </c>
      <c r="N39" s="5">
        <f>'Pod Build'!$I$38</f>
        <v>33.75</v>
      </c>
      <c r="O39" s="38">
        <f t="shared" si="0"/>
        <v>405</v>
      </c>
    </row>
    <row r="40" spans="1:15" x14ac:dyDescent="0.2">
      <c r="A40" s="4" t="s">
        <v>630</v>
      </c>
      <c r="B40" s="4" t="s">
        <v>466</v>
      </c>
      <c r="C40" s="5">
        <f>'Pod Build'!$I$39</f>
        <v>1.6</v>
      </c>
      <c r="D40" s="5">
        <f>'Pod Build'!$I$39</f>
        <v>1.6</v>
      </c>
      <c r="E40" s="5">
        <f>'Pod Build'!$I$39</f>
        <v>1.6</v>
      </c>
      <c r="F40" s="5">
        <f>'Pod Build'!$I$39</f>
        <v>1.6</v>
      </c>
      <c r="G40" s="5">
        <f>'Pod Build'!$I$39</f>
        <v>1.6</v>
      </c>
      <c r="H40" s="5">
        <f>'Pod Build'!$I$39</f>
        <v>1.6</v>
      </c>
      <c r="I40" s="5">
        <f>'Pod Build'!$I$39</f>
        <v>1.6</v>
      </c>
      <c r="J40" s="5">
        <f>'Pod Build'!$I$39</f>
        <v>1.6</v>
      </c>
      <c r="K40" s="5">
        <f>'Pod Build'!$I$39</f>
        <v>1.6</v>
      </c>
      <c r="L40" s="5">
        <f>'Pod Build'!$I$39</f>
        <v>1.6</v>
      </c>
      <c r="M40" s="5">
        <f>'Pod Build'!$I$39</f>
        <v>1.6</v>
      </c>
      <c r="N40" s="5">
        <f>'Pod Build'!$I$39</f>
        <v>1.6</v>
      </c>
      <c r="O40" s="38">
        <f t="shared" si="0"/>
        <v>19.2</v>
      </c>
    </row>
    <row r="41" spans="1:15" x14ac:dyDescent="0.2">
      <c r="A41" s="4" t="s">
        <v>631</v>
      </c>
      <c r="B41" s="4" t="s">
        <v>466</v>
      </c>
      <c r="C41" s="5">
        <f>'Pod Build'!$I$40</f>
        <v>21.900000000000002</v>
      </c>
      <c r="D41" s="5">
        <f>'Pod Build'!$I$40</f>
        <v>21.900000000000002</v>
      </c>
      <c r="E41" s="5">
        <f>'Pod Build'!$I$40</f>
        <v>21.900000000000002</v>
      </c>
      <c r="F41" s="5">
        <f>'Pod Build'!$I$40</f>
        <v>21.900000000000002</v>
      </c>
      <c r="G41" s="5">
        <f>'Pod Build'!$I$40</f>
        <v>21.900000000000002</v>
      </c>
      <c r="H41" s="5">
        <f>'Pod Build'!$I$40</f>
        <v>21.900000000000002</v>
      </c>
      <c r="I41" s="5">
        <f>'Pod Build'!$I$40</f>
        <v>21.900000000000002</v>
      </c>
      <c r="J41" s="5">
        <f>'Pod Build'!$I$40</f>
        <v>21.900000000000002</v>
      </c>
      <c r="K41" s="5">
        <f>'Pod Build'!$I$40</f>
        <v>21.900000000000002</v>
      </c>
      <c r="L41" s="5">
        <f>'Pod Build'!$I$40</f>
        <v>21.900000000000002</v>
      </c>
      <c r="M41" s="5">
        <f>'Pod Build'!$I$40</f>
        <v>21.900000000000002</v>
      </c>
      <c r="N41" s="5">
        <f>'Pod Build'!$I$40</f>
        <v>21.900000000000002</v>
      </c>
      <c r="O41" s="38">
        <f t="shared" si="0"/>
        <v>262.8</v>
      </c>
    </row>
    <row r="42" spans="1:15" x14ac:dyDescent="0.2">
      <c r="A42" s="4" t="s">
        <v>632</v>
      </c>
      <c r="B42" s="4" t="s">
        <v>595</v>
      </c>
      <c r="C42" s="5">
        <f>'Pod Build'!$I$41*C$4</f>
        <v>0</v>
      </c>
      <c r="D42" s="5">
        <f>'Pod Build'!$I$41*D$4</f>
        <v>0</v>
      </c>
      <c r="E42" s="5">
        <f>'Pod Build'!$I$41*E$4</f>
        <v>0</v>
      </c>
      <c r="F42" s="5">
        <f>'Pod Build'!$I$41*E$4</f>
        <v>0</v>
      </c>
      <c r="G42" s="5">
        <f>'Pod Build'!$I$41*E$4</f>
        <v>0</v>
      </c>
      <c r="H42" s="5">
        <f>'Pod Build'!$I$41*E$4</f>
        <v>0</v>
      </c>
      <c r="I42" s="5">
        <f>'Pod Build'!$I$41*E$4</f>
        <v>0</v>
      </c>
      <c r="J42" s="5">
        <f>'Pod Build'!$I$41*E$4</f>
        <v>0</v>
      </c>
      <c r="K42" s="5">
        <f>'Pod Build'!$I$41*E$4</f>
        <v>0</v>
      </c>
      <c r="L42" s="5">
        <f>'Pod Build'!$I$41*E$4</f>
        <v>0</v>
      </c>
      <c r="M42" s="5">
        <f>'Pod Build'!$I$41*E$4</f>
        <v>0</v>
      </c>
      <c r="N42" s="5">
        <f>'Pod Build'!$I$41*E$4</f>
        <v>0</v>
      </c>
      <c r="O42" s="38">
        <f t="shared" si="0"/>
        <v>0</v>
      </c>
    </row>
    <row r="43" spans="1:15" x14ac:dyDescent="0.2">
      <c r="A43" s="3" t="s">
        <v>537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43" t="s">
        <v>633</v>
      </c>
      <c r="C44" s="41">
        <f t="shared" ref="C44:N44" si="1">SUM(C5:C42)</f>
        <v>1136.4365567775938</v>
      </c>
      <c r="D44" s="41">
        <f t="shared" si="1"/>
        <v>1194.0120101663906</v>
      </c>
      <c r="E44" s="41">
        <f t="shared" si="1"/>
        <v>1251.5874635551877</v>
      </c>
      <c r="F44" s="41">
        <f t="shared" si="1"/>
        <v>1251.5874635551877</v>
      </c>
      <c r="G44" s="41">
        <f t="shared" si="1"/>
        <v>1251.5874635551877</v>
      </c>
      <c r="H44" s="41">
        <f t="shared" si="1"/>
        <v>1251.5874635551877</v>
      </c>
      <c r="I44" s="41">
        <f t="shared" si="1"/>
        <v>1251.5874635551877</v>
      </c>
      <c r="J44" s="41">
        <f t="shared" si="1"/>
        <v>1251.5874635551877</v>
      </c>
      <c r="K44" s="41">
        <f t="shared" si="1"/>
        <v>1251.5874635551877</v>
      </c>
      <c r="L44" s="41">
        <f t="shared" si="1"/>
        <v>1251.5874635551877</v>
      </c>
      <c r="M44" s="41">
        <f t="shared" si="1"/>
        <v>1251.5874635551877</v>
      </c>
      <c r="N44" s="41">
        <f t="shared" si="1"/>
        <v>1251.5874635551877</v>
      </c>
      <c r="O44" s="45">
        <f>SUM(C44:N44)</f>
        <v>14846.323202495865</v>
      </c>
    </row>
  </sheetData>
  <mergeCells count="3">
    <mergeCell ref="A1:O1"/>
    <mergeCell ref="A2:O2"/>
    <mergeCell ref="A43:O4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K34"/>
  <sheetViews>
    <sheetView showGridLines="0" zoomScaleNormal="100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E21" sqref="E21"/>
    </sheetView>
  </sheetViews>
  <sheetFormatPr baseColWidth="10" defaultColWidth="8.6640625" defaultRowHeight="15" outlineLevelRow="1" x14ac:dyDescent="0.2"/>
  <cols>
    <col min="1" max="1" width="10" style="12" customWidth="1"/>
    <col min="2" max="2" width="42" style="12" customWidth="1"/>
    <col min="3" max="3" width="10" style="12" customWidth="1"/>
    <col min="4" max="4" width="8" style="12" customWidth="1"/>
    <col min="5" max="5" width="60" style="12" customWidth="1"/>
    <col min="6" max="29" width="3.5" style="12" customWidth="1"/>
    <col min="30" max="36" width="8.6640625" style="12"/>
    <col min="37" max="37" width="34.1640625" style="12" customWidth="1"/>
    <col min="38" max="16384" width="8.6640625" style="12"/>
  </cols>
  <sheetData>
    <row r="1" spans="1:37" ht="18" customHeight="1" x14ac:dyDescent="0.2">
      <c r="A1" s="11" t="s">
        <v>634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spans="1:37" ht="30" customHeight="1" x14ac:dyDescent="0.2">
      <c r="A2" s="13" t="str">
        <f>"Kickoff w/c 2026-07-27 -&gt; go-live 2026-11-01. SlipWeeks="&amp;TEXT(SlipWeeks,"0")&amp;" applied via proportional stretch inside the core span, additive shift beyond it. Bars = belt-and-braces cell value + conditional formatting (uniform green = proposed/recommended)."</f>
        <v>Kickoff w/c 2026-07-27 -&gt; go-live 2026-11-01. SlipWeeks=0 applied via proportional stretch inside the core span, additive shift beyond it. Bars = belt-and-braces cell value + conditional formatting (uniform green = proposed/recommended).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 spans="1:37" x14ac:dyDescent="0.2">
      <c r="A3" s="4"/>
      <c r="B3" s="4" t="s">
        <v>635</v>
      </c>
      <c r="C3" s="4"/>
      <c r="D3" s="4"/>
      <c r="E3" s="4"/>
      <c r="F3" s="4"/>
      <c r="G3" s="4"/>
      <c r="H3" s="4"/>
      <c r="I3" s="4"/>
      <c r="J3" s="4"/>
      <c r="K3" s="4"/>
      <c r="L3" s="14" t="s">
        <v>636</v>
      </c>
      <c r="M3" s="14" t="s">
        <v>637</v>
      </c>
      <c r="N3" s="4"/>
      <c r="O3" s="4"/>
      <c r="P3" s="4"/>
      <c r="Q3" s="14" t="s">
        <v>638</v>
      </c>
      <c r="R3" s="4"/>
      <c r="S3" s="4"/>
      <c r="T3" s="4"/>
      <c r="U3" s="14" t="s">
        <v>639</v>
      </c>
      <c r="V3" s="4"/>
      <c r="W3" s="4"/>
      <c r="X3" s="4"/>
      <c r="Y3" s="14" t="s">
        <v>640</v>
      </c>
      <c r="Z3" s="4"/>
      <c r="AA3" s="4"/>
      <c r="AB3" s="4"/>
      <c r="AC3" s="4"/>
    </row>
    <row r="4" spans="1:37" x14ac:dyDescent="0.2">
      <c r="A4" s="4"/>
      <c r="B4" s="4" t="s">
        <v>641</v>
      </c>
      <c r="C4" s="4"/>
      <c r="D4" s="4"/>
      <c r="E4" s="4"/>
      <c r="F4" s="4"/>
      <c r="G4" s="4"/>
      <c r="H4" s="4"/>
      <c r="I4" s="4"/>
      <c r="J4" s="4"/>
      <c r="K4" s="4"/>
      <c r="L4" s="4">
        <v>1</v>
      </c>
      <c r="M4" s="4">
        <v>2</v>
      </c>
      <c r="N4" s="4">
        <v>3</v>
      </c>
      <c r="O4" s="4">
        <v>4</v>
      </c>
      <c r="P4" s="4">
        <v>5</v>
      </c>
      <c r="Q4" s="4">
        <v>6</v>
      </c>
      <c r="R4" s="4">
        <v>7</v>
      </c>
      <c r="S4" s="4">
        <v>8</v>
      </c>
      <c r="T4" s="4">
        <v>9</v>
      </c>
      <c r="U4" s="4">
        <v>10</v>
      </c>
      <c r="V4" s="4">
        <v>11</v>
      </c>
      <c r="W4" s="4">
        <v>12</v>
      </c>
      <c r="X4" s="4">
        <v>13</v>
      </c>
      <c r="Y4" s="4">
        <v>14</v>
      </c>
      <c r="Z4" s="4">
        <v>15</v>
      </c>
      <c r="AA4" s="4">
        <v>16</v>
      </c>
      <c r="AB4" s="4">
        <v>17</v>
      </c>
      <c r="AC4" s="4">
        <v>18</v>
      </c>
      <c r="AE4" s="12">
        <f>14+SlipWeeks</f>
        <v>14</v>
      </c>
      <c r="AF4" s="12">
        <f>12+SlipWeeks</f>
        <v>12</v>
      </c>
      <c r="AG4" s="12">
        <f>16+SlipWeeks</f>
        <v>16</v>
      </c>
    </row>
    <row r="5" spans="1:37" x14ac:dyDescent="0.2">
      <c r="A5" s="4"/>
      <c r="B5" s="4" t="s">
        <v>642</v>
      </c>
      <c r="C5" s="4"/>
      <c r="D5" s="4"/>
      <c r="E5" s="4"/>
      <c r="F5" s="4"/>
      <c r="G5" s="4"/>
      <c r="H5" s="4"/>
      <c r="I5" s="4"/>
      <c r="J5" s="4"/>
      <c r="K5" s="4"/>
      <c r="L5" s="4" t="str">
        <f t="shared" ref="L5:AC5" si="0">IF(L$4=$AE$4,"▲",IF(L$4=$AF$4,"◁",IF(L$4=$AG$4,"▷",IF(AND(L$4&gt;$AF$4,L$4&lt;$AG$4),"·",""))))</f>
        <v/>
      </c>
      <c r="M5" s="4" t="str">
        <f t="shared" si="0"/>
        <v/>
      </c>
      <c r="N5" s="4" t="str">
        <f t="shared" si="0"/>
        <v/>
      </c>
      <c r="O5" s="4" t="str">
        <f t="shared" si="0"/>
        <v/>
      </c>
      <c r="P5" s="4" t="str">
        <f t="shared" si="0"/>
        <v/>
      </c>
      <c r="Q5" s="4" t="str">
        <f t="shared" si="0"/>
        <v/>
      </c>
      <c r="R5" s="4" t="str">
        <f t="shared" si="0"/>
        <v/>
      </c>
      <c r="S5" s="4" t="str">
        <f t="shared" si="0"/>
        <v/>
      </c>
      <c r="T5" s="4" t="str">
        <f t="shared" si="0"/>
        <v/>
      </c>
      <c r="U5" s="4" t="str">
        <f t="shared" si="0"/>
        <v/>
      </c>
      <c r="V5" s="4" t="str">
        <f t="shared" si="0"/>
        <v/>
      </c>
      <c r="W5" s="4" t="str">
        <f t="shared" si="0"/>
        <v>◁</v>
      </c>
      <c r="X5" s="4" t="str">
        <f t="shared" si="0"/>
        <v>·</v>
      </c>
      <c r="Y5" s="4" t="str">
        <f t="shared" si="0"/>
        <v>▲</v>
      </c>
      <c r="Z5" s="4" t="str">
        <f t="shared" si="0"/>
        <v>·</v>
      </c>
      <c r="AA5" s="4" t="str">
        <f t="shared" si="0"/>
        <v>▷</v>
      </c>
      <c r="AB5" s="4" t="str">
        <f t="shared" si="0"/>
        <v/>
      </c>
      <c r="AC5" s="4" t="str">
        <f t="shared" si="0"/>
        <v/>
      </c>
    </row>
    <row r="6" spans="1:37" x14ac:dyDescent="0.2">
      <c r="A6" s="2" t="s">
        <v>643</v>
      </c>
      <c r="B6" s="2" t="s">
        <v>635</v>
      </c>
      <c r="C6" s="2" t="s">
        <v>396</v>
      </c>
      <c r="D6" s="2" t="s">
        <v>644</v>
      </c>
      <c r="E6" s="2" t="s">
        <v>645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I6" s="12" t="s">
        <v>646</v>
      </c>
      <c r="AJ6" s="12" t="s">
        <v>647</v>
      </c>
      <c r="AK6" s="12" t="s">
        <v>406</v>
      </c>
    </row>
    <row r="7" spans="1:37" ht="195" x14ac:dyDescent="0.2">
      <c r="A7" s="4" t="s">
        <v>648</v>
      </c>
      <c r="B7" s="14" t="s">
        <v>649</v>
      </c>
      <c r="C7" s="4" t="s">
        <v>408</v>
      </c>
      <c r="D7" s="15">
        <v>1</v>
      </c>
      <c r="E7" s="15">
        <v>2</v>
      </c>
      <c r="F7" s="16">
        <f>MIN(18,IF(D7&lt;=14,ROUND((D7-1)*(14+SlipWeeks)/14,0)+1,D7+SlipWeeks))</f>
        <v>1</v>
      </c>
      <c r="G7" s="16">
        <f>MIN(18,IF(D7+E7-1&lt;=14,MAX(ROUND((D7+E7-1)*(14+SlipWeeks)/14,0),F7),D7+E7-1+SlipWeeks))</f>
        <v>2</v>
      </c>
      <c r="H7" s="4"/>
      <c r="I7" s="4"/>
      <c r="J7" s="4"/>
      <c r="K7" s="4"/>
      <c r="L7" s="17">
        <f t="shared" ref="L7:U16" si="1">IF(AND(L$4&gt;=$F7,L$4&lt;=$G7),1,"")</f>
        <v>1</v>
      </c>
      <c r="M7" s="17">
        <f t="shared" si="1"/>
        <v>1</v>
      </c>
      <c r="N7" s="17" t="str">
        <f t="shared" si="1"/>
        <v/>
      </c>
      <c r="O7" s="17" t="str">
        <f t="shared" si="1"/>
        <v/>
      </c>
      <c r="P7" s="17" t="str">
        <f t="shared" si="1"/>
        <v/>
      </c>
      <c r="Q7" s="17" t="str">
        <f t="shared" si="1"/>
        <v/>
      </c>
      <c r="R7" s="17" t="str">
        <f t="shared" si="1"/>
        <v/>
      </c>
      <c r="S7" s="17" t="str">
        <f t="shared" si="1"/>
        <v/>
      </c>
      <c r="T7" s="17" t="str">
        <f t="shared" si="1"/>
        <v/>
      </c>
      <c r="U7" s="17" t="str">
        <f t="shared" si="1"/>
        <v/>
      </c>
      <c r="V7" s="17" t="str">
        <f t="shared" ref="V7:AC16" si="2">IF(AND(V$4&gt;=$F7,V$4&lt;=$G7),1,"")</f>
        <v/>
      </c>
      <c r="W7" s="17" t="str">
        <f t="shared" si="2"/>
        <v/>
      </c>
      <c r="X7" s="17" t="str">
        <f t="shared" si="2"/>
        <v/>
      </c>
      <c r="Y7" s="17" t="str">
        <f t="shared" si="2"/>
        <v/>
      </c>
      <c r="Z7" s="17" t="str">
        <f t="shared" si="2"/>
        <v/>
      </c>
      <c r="AA7" s="17" t="str">
        <f t="shared" si="2"/>
        <v/>
      </c>
      <c r="AB7" s="17" t="str">
        <f t="shared" si="2"/>
        <v/>
      </c>
      <c r="AC7" s="17" t="str">
        <f t="shared" si="2"/>
        <v/>
      </c>
      <c r="AK7" s="18" t="s">
        <v>650</v>
      </c>
    </row>
    <row r="8" spans="1:37" ht="45" outlineLevel="1" x14ac:dyDescent="0.2">
      <c r="A8" s="4" t="s">
        <v>651</v>
      </c>
      <c r="B8" s="19" t="s">
        <v>652</v>
      </c>
      <c r="C8" s="4" t="s">
        <v>408</v>
      </c>
      <c r="D8" s="15">
        <v>1</v>
      </c>
      <c r="E8" s="15">
        <v>1</v>
      </c>
      <c r="F8" s="16">
        <f>MEDIAN($F7,$G7,$F7+ROUND((D8-$D7)/$E7*($G7-$F7+1),0))</f>
        <v>1</v>
      </c>
      <c r="G8" s="16">
        <f>MEDIAN(F8,$G7,$F7+ROUND((D8+E8-$D7)/$E7*($G7-$F7+1),0)-1)</f>
        <v>1</v>
      </c>
      <c r="H8" s="4"/>
      <c r="I8" s="4"/>
      <c r="J8" s="4"/>
      <c r="K8" s="4"/>
      <c r="L8" s="17">
        <f t="shared" si="1"/>
        <v>1</v>
      </c>
      <c r="M8" s="17" t="str">
        <f t="shared" si="1"/>
        <v/>
      </c>
      <c r="N8" s="17" t="str">
        <f t="shared" si="1"/>
        <v/>
      </c>
      <c r="O8" s="17" t="str">
        <f t="shared" si="1"/>
        <v/>
      </c>
      <c r="P8" s="17" t="str">
        <f t="shared" si="1"/>
        <v/>
      </c>
      <c r="Q8" s="17" t="str">
        <f t="shared" si="1"/>
        <v/>
      </c>
      <c r="R8" s="17" t="str">
        <f t="shared" si="1"/>
        <v/>
      </c>
      <c r="S8" s="17" t="str">
        <f t="shared" si="1"/>
        <v/>
      </c>
      <c r="T8" s="17" t="str">
        <f t="shared" si="1"/>
        <v/>
      </c>
      <c r="U8" s="17" t="str">
        <f t="shared" si="1"/>
        <v/>
      </c>
      <c r="V8" s="17" t="str">
        <f t="shared" si="2"/>
        <v/>
      </c>
      <c r="W8" s="17" t="str">
        <f t="shared" si="2"/>
        <v/>
      </c>
      <c r="X8" s="17" t="str">
        <f t="shared" si="2"/>
        <v/>
      </c>
      <c r="Y8" s="17" t="str">
        <f t="shared" si="2"/>
        <v/>
      </c>
      <c r="Z8" s="17" t="str">
        <f t="shared" si="2"/>
        <v/>
      </c>
      <c r="AA8" s="17" t="str">
        <f t="shared" si="2"/>
        <v/>
      </c>
      <c r="AB8" s="17" t="str">
        <f t="shared" si="2"/>
        <v/>
      </c>
      <c r="AC8" s="17" t="str">
        <f t="shared" si="2"/>
        <v/>
      </c>
      <c r="AK8" s="18" t="s">
        <v>653</v>
      </c>
    </row>
    <row r="9" spans="1:37" ht="60" outlineLevel="1" x14ac:dyDescent="0.2">
      <c r="A9" s="4" t="s">
        <v>654</v>
      </c>
      <c r="B9" s="19" t="s">
        <v>655</v>
      </c>
      <c r="C9" s="4" t="s">
        <v>408</v>
      </c>
      <c r="D9" s="15">
        <v>2</v>
      </c>
      <c r="E9" s="15">
        <v>1</v>
      </c>
      <c r="F9" s="16">
        <f>MEDIAN($F7,$G7,$F7+ROUND((D9-$D7)/$E7*($G7-$F7+1),0))</f>
        <v>2</v>
      </c>
      <c r="G9" s="16">
        <f>MEDIAN(F9,$G7,$F7+ROUND((D9+E9-$D7)/$E7*($G7-$F7+1),0)-1)</f>
        <v>2</v>
      </c>
      <c r="H9" s="4"/>
      <c r="I9" s="4"/>
      <c r="J9" s="4"/>
      <c r="K9" s="4"/>
      <c r="L9" s="17" t="str">
        <f t="shared" si="1"/>
        <v/>
      </c>
      <c r="M9" s="17">
        <f t="shared" si="1"/>
        <v>1</v>
      </c>
      <c r="N9" s="17" t="str">
        <f t="shared" si="1"/>
        <v/>
      </c>
      <c r="O9" s="17" t="str">
        <f t="shared" si="1"/>
        <v/>
      </c>
      <c r="P9" s="17" t="str">
        <f t="shared" si="1"/>
        <v/>
      </c>
      <c r="Q9" s="17" t="str">
        <f t="shared" si="1"/>
        <v/>
      </c>
      <c r="R9" s="17" t="str">
        <f t="shared" si="1"/>
        <v/>
      </c>
      <c r="S9" s="17" t="str">
        <f t="shared" si="1"/>
        <v/>
      </c>
      <c r="T9" s="17" t="str">
        <f t="shared" si="1"/>
        <v/>
      </c>
      <c r="U9" s="17" t="str">
        <f t="shared" si="1"/>
        <v/>
      </c>
      <c r="V9" s="17" t="str">
        <f t="shared" si="2"/>
        <v/>
      </c>
      <c r="W9" s="17" t="str">
        <f t="shared" si="2"/>
        <v/>
      </c>
      <c r="X9" s="17" t="str">
        <f t="shared" si="2"/>
        <v/>
      </c>
      <c r="Y9" s="17" t="str">
        <f t="shared" si="2"/>
        <v/>
      </c>
      <c r="Z9" s="17" t="str">
        <f t="shared" si="2"/>
        <v/>
      </c>
      <c r="AA9" s="17" t="str">
        <f t="shared" si="2"/>
        <v/>
      </c>
      <c r="AB9" s="17" t="str">
        <f t="shared" si="2"/>
        <v/>
      </c>
      <c r="AC9" s="17" t="str">
        <f t="shared" si="2"/>
        <v/>
      </c>
      <c r="AK9" s="18" t="s">
        <v>656</v>
      </c>
    </row>
    <row r="10" spans="1:37" ht="150" x14ac:dyDescent="0.2">
      <c r="A10" s="4" t="s">
        <v>657</v>
      </c>
      <c r="B10" s="14" t="s">
        <v>658</v>
      </c>
      <c r="C10" s="4" t="s">
        <v>408</v>
      </c>
      <c r="D10" s="15">
        <v>3</v>
      </c>
      <c r="E10" s="15">
        <v>3</v>
      </c>
      <c r="F10" s="16">
        <f>MIN(18,IF(D10&lt;=14,ROUND((D10-1)*(14+SlipWeeks)/14,0)+1,D10+SlipWeeks))</f>
        <v>3</v>
      </c>
      <c r="G10" s="16">
        <f>MIN(18,IF(D10+E10-1&lt;=14,MAX(ROUND((D10+E10-1)*(14+SlipWeeks)/14,0),F10),D10+E10-1+SlipWeeks))</f>
        <v>5</v>
      </c>
      <c r="H10" s="4"/>
      <c r="I10" s="4"/>
      <c r="J10" s="4"/>
      <c r="K10" s="4"/>
      <c r="L10" s="17" t="str">
        <f t="shared" si="1"/>
        <v/>
      </c>
      <c r="M10" s="17" t="str">
        <f t="shared" si="1"/>
        <v/>
      </c>
      <c r="N10" s="17">
        <f t="shared" si="1"/>
        <v>1</v>
      </c>
      <c r="O10" s="17">
        <f t="shared" si="1"/>
        <v>1</v>
      </c>
      <c r="P10" s="17">
        <f t="shared" si="1"/>
        <v>1</v>
      </c>
      <c r="Q10" s="17" t="str">
        <f t="shared" si="1"/>
        <v/>
      </c>
      <c r="R10" s="17" t="str">
        <f t="shared" si="1"/>
        <v/>
      </c>
      <c r="S10" s="17" t="str">
        <f t="shared" si="1"/>
        <v/>
      </c>
      <c r="T10" s="17" t="str">
        <f t="shared" si="1"/>
        <v/>
      </c>
      <c r="U10" s="17" t="str">
        <f t="shared" si="1"/>
        <v/>
      </c>
      <c r="V10" s="17" t="str">
        <f t="shared" si="2"/>
        <v/>
      </c>
      <c r="W10" s="17" t="str">
        <f t="shared" si="2"/>
        <v/>
      </c>
      <c r="X10" s="17" t="str">
        <f t="shared" si="2"/>
        <v/>
      </c>
      <c r="Y10" s="17" t="str">
        <f t="shared" si="2"/>
        <v/>
      </c>
      <c r="Z10" s="17" t="str">
        <f t="shared" si="2"/>
        <v/>
      </c>
      <c r="AA10" s="17" t="str">
        <f t="shared" si="2"/>
        <v/>
      </c>
      <c r="AB10" s="17" t="str">
        <f t="shared" si="2"/>
        <v/>
      </c>
      <c r="AC10" s="17" t="str">
        <f t="shared" si="2"/>
        <v/>
      </c>
      <c r="AK10" s="18" t="s">
        <v>659</v>
      </c>
    </row>
    <row r="11" spans="1:37" ht="45" outlineLevel="1" x14ac:dyDescent="0.2">
      <c r="A11" s="4" t="s">
        <v>660</v>
      </c>
      <c r="B11" s="19" t="s">
        <v>661</v>
      </c>
      <c r="C11" s="4" t="s">
        <v>408</v>
      </c>
      <c r="D11" s="15">
        <v>3</v>
      </c>
      <c r="E11" s="15">
        <v>2</v>
      </c>
      <c r="F11" s="16">
        <f>MEDIAN($F10,$G10,$F10+ROUND((D11-$D10)/$E10*($G10-$F10+1),0))</f>
        <v>3</v>
      </c>
      <c r="G11" s="16">
        <f>MEDIAN(F11,$G10,$F10+ROUND((D11+E11-$D10)/$E10*($G10-$F10+1),0)-1)</f>
        <v>4</v>
      </c>
      <c r="H11" s="4"/>
      <c r="I11" s="4"/>
      <c r="J11" s="4"/>
      <c r="K11" s="4"/>
      <c r="L11" s="17" t="str">
        <f t="shared" si="1"/>
        <v/>
      </c>
      <c r="M11" s="17" t="str">
        <f t="shared" si="1"/>
        <v/>
      </c>
      <c r="N11" s="17">
        <f t="shared" si="1"/>
        <v>1</v>
      </c>
      <c r="O11" s="17">
        <f t="shared" si="1"/>
        <v>1</v>
      </c>
      <c r="P11" s="17" t="str">
        <f t="shared" si="1"/>
        <v/>
      </c>
      <c r="Q11" s="17" t="str">
        <f t="shared" si="1"/>
        <v/>
      </c>
      <c r="R11" s="17" t="str">
        <f t="shared" si="1"/>
        <v/>
      </c>
      <c r="S11" s="17" t="str">
        <f t="shared" si="1"/>
        <v/>
      </c>
      <c r="T11" s="17" t="str">
        <f t="shared" si="1"/>
        <v/>
      </c>
      <c r="U11" s="17" t="str">
        <f t="shared" si="1"/>
        <v/>
      </c>
      <c r="V11" s="17" t="str">
        <f t="shared" si="2"/>
        <v/>
      </c>
      <c r="W11" s="17" t="str">
        <f t="shared" si="2"/>
        <v/>
      </c>
      <c r="X11" s="17" t="str">
        <f t="shared" si="2"/>
        <v/>
      </c>
      <c r="Y11" s="17" t="str">
        <f t="shared" si="2"/>
        <v/>
      </c>
      <c r="Z11" s="17" t="str">
        <f t="shared" si="2"/>
        <v/>
      </c>
      <c r="AA11" s="17" t="str">
        <f t="shared" si="2"/>
        <v/>
      </c>
      <c r="AB11" s="17" t="str">
        <f t="shared" si="2"/>
        <v/>
      </c>
      <c r="AC11" s="17" t="str">
        <f t="shared" si="2"/>
        <v/>
      </c>
      <c r="AK11" s="18" t="s">
        <v>662</v>
      </c>
    </row>
    <row r="12" spans="1:37" ht="60" outlineLevel="1" x14ac:dyDescent="0.2">
      <c r="A12" s="4" t="s">
        <v>663</v>
      </c>
      <c r="B12" s="19" t="s">
        <v>664</v>
      </c>
      <c r="C12" s="4" t="s">
        <v>408</v>
      </c>
      <c r="D12" s="15">
        <v>5</v>
      </c>
      <c r="E12" s="15">
        <v>1</v>
      </c>
      <c r="F12" s="16">
        <f>MEDIAN($F10,$G10,$F10+ROUND((D12-$D10)/$E10*($G10-$F10+1),0))</f>
        <v>5</v>
      </c>
      <c r="G12" s="16">
        <f>MEDIAN(F12,$G10,$F10+ROUND((D12+E12-$D10)/$E10*($G10-$F10+1),0)-1)</f>
        <v>5</v>
      </c>
      <c r="H12" s="4"/>
      <c r="I12" s="4"/>
      <c r="J12" s="4"/>
      <c r="K12" s="4"/>
      <c r="L12" s="17" t="str">
        <f t="shared" si="1"/>
        <v/>
      </c>
      <c r="M12" s="17" t="str">
        <f t="shared" si="1"/>
        <v/>
      </c>
      <c r="N12" s="17" t="str">
        <f t="shared" si="1"/>
        <v/>
      </c>
      <c r="O12" s="17" t="str">
        <f t="shared" si="1"/>
        <v/>
      </c>
      <c r="P12" s="17">
        <f t="shared" si="1"/>
        <v>1</v>
      </c>
      <c r="Q12" s="17" t="str">
        <f t="shared" si="1"/>
        <v/>
      </c>
      <c r="R12" s="17" t="str">
        <f t="shared" si="1"/>
        <v/>
      </c>
      <c r="S12" s="17" t="str">
        <f t="shared" si="1"/>
        <v/>
      </c>
      <c r="T12" s="17" t="str">
        <f t="shared" si="1"/>
        <v/>
      </c>
      <c r="U12" s="17" t="str">
        <f t="shared" si="1"/>
        <v/>
      </c>
      <c r="V12" s="17" t="str">
        <f t="shared" si="2"/>
        <v/>
      </c>
      <c r="W12" s="17" t="str">
        <f t="shared" si="2"/>
        <v/>
      </c>
      <c r="X12" s="17" t="str">
        <f t="shared" si="2"/>
        <v/>
      </c>
      <c r="Y12" s="17" t="str">
        <f t="shared" si="2"/>
        <v/>
      </c>
      <c r="Z12" s="17" t="str">
        <f t="shared" si="2"/>
        <v/>
      </c>
      <c r="AA12" s="17" t="str">
        <f t="shared" si="2"/>
        <v/>
      </c>
      <c r="AB12" s="17" t="str">
        <f t="shared" si="2"/>
        <v/>
      </c>
      <c r="AC12" s="17" t="str">
        <f t="shared" si="2"/>
        <v/>
      </c>
      <c r="AK12" s="18" t="s">
        <v>665</v>
      </c>
    </row>
    <row r="13" spans="1:37" ht="165" x14ac:dyDescent="0.2">
      <c r="A13" s="4" t="s">
        <v>666</v>
      </c>
      <c r="B13" s="14" t="s">
        <v>667</v>
      </c>
      <c r="C13" s="4" t="s">
        <v>447</v>
      </c>
      <c r="D13" s="15">
        <v>3</v>
      </c>
      <c r="E13" s="15">
        <v>4</v>
      </c>
      <c r="F13" s="16">
        <f>MIN(18,IF(D13&lt;=14,ROUND((D13-1)*(14+SlipWeeks)/14,0)+1,D13+SlipWeeks))</f>
        <v>3</v>
      </c>
      <c r="G13" s="16">
        <f>MIN(18,IF(D13+E13-1&lt;=14,MAX(ROUND((D13+E13-1)*(14+SlipWeeks)/14,0),F13),D13+E13-1+SlipWeeks))</f>
        <v>6</v>
      </c>
      <c r="H13" s="4"/>
      <c r="I13" s="4"/>
      <c r="J13" s="4"/>
      <c r="K13" s="4"/>
      <c r="L13" s="17" t="str">
        <f t="shared" si="1"/>
        <v/>
      </c>
      <c r="M13" s="17" t="str">
        <f t="shared" si="1"/>
        <v/>
      </c>
      <c r="N13" s="17">
        <f t="shared" si="1"/>
        <v>1</v>
      </c>
      <c r="O13" s="17">
        <f t="shared" si="1"/>
        <v>1</v>
      </c>
      <c r="P13" s="17">
        <f t="shared" si="1"/>
        <v>1</v>
      </c>
      <c r="Q13" s="17">
        <f t="shared" si="1"/>
        <v>1</v>
      </c>
      <c r="R13" s="17" t="str">
        <f t="shared" si="1"/>
        <v/>
      </c>
      <c r="S13" s="17" t="str">
        <f t="shared" si="1"/>
        <v/>
      </c>
      <c r="T13" s="17" t="str">
        <f t="shared" si="1"/>
        <v/>
      </c>
      <c r="U13" s="17" t="str">
        <f t="shared" si="1"/>
        <v/>
      </c>
      <c r="V13" s="17" t="str">
        <f t="shared" si="2"/>
        <v/>
      </c>
      <c r="W13" s="17" t="str">
        <f t="shared" si="2"/>
        <v/>
      </c>
      <c r="X13" s="17" t="str">
        <f t="shared" si="2"/>
        <v/>
      </c>
      <c r="Y13" s="17" t="str">
        <f t="shared" si="2"/>
        <v/>
      </c>
      <c r="Z13" s="17" t="str">
        <f t="shared" si="2"/>
        <v/>
      </c>
      <c r="AA13" s="17" t="str">
        <f t="shared" si="2"/>
        <v/>
      </c>
      <c r="AB13" s="17" t="str">
        <f t="shared" si="2"/>
        <v/>
      </c>
      <c r="AC13" s="17" t="str">
        <f t="shared" si="2"/>
        <v/>
      </c>
      <c r="AK13" s="18" t="s">
        <v>668</v>
      </c>
    </row>
    <row r="14" spans="1:37" ht="45" outlineLevel="1" x14ac:dyDescent="0.2">
      <c r="A14" s="4" t="s">
        <v>669</v>
      </c>
      <c r="B14" s="19" t="s">
        <v>670</v>
      </c>
      <c r="C14" s="4" t="s">
        <v>447</v>
      </c>
      <c r="D14" s="15">
        <v>3</v>
      </c>
      <c r="E14" s="15">
        <v>1</v>
      </c>
      <c r="F14" s="16">
        <f>MEDIAN($F13,$G13,$F13+ROUND((D14-$D13)/$E13*($G13-$F13+1),0))</f>
        <v>3</v>
      </c>
      <c r="G14" s="16">
        <f>MEDIAN(F14,$G13,$F13+ROUND((D14+E14-$D13)/$E13*($G13-$F13+1),0)-1)</f>
        <v>3</v>
      </c>
      <c r="H14" s="4"/>
      <c r="I14" s="4"/>
      <c r="J14" s="4"/>
      <c r="K14" s="4"/>
      <c r="L14" s="17" t="str">
        <f t="shared" si="1"/>
        <v/>
      </c>
      <c r="M14" s="17" t="str">
        <f t="shared" si="1"/>
        <v/>
      </c>
      <c r="N14" s="17">
        <f t="shared" si="1"/>
        <v>1</v>
      </c>
      <c r="O14" s="17" t="str">
        <f t="shared" si="1"/>
        <v/>
      </c>
      <c r="P14" s="17" t="str">
        <f t="shared" si="1"/>
        <v/>
      </c>
      <c r="Q14" s="17" t="str">
        <f t="shared" si="1"/>
        <v/>
      </c>
      <c r="R14" s="17" t="str">
        <f t="shared" si="1"/>
        <v/>
      </c>
      <c r="S14" s="17" t="str">
        <f t="shared" si="1"/>
        <v/>
      </c>
      <c r="T14" s="17" t="str">
        <f t="shared" si="1"/>
        <v/>
      </c>
      <c r="U14" s="17" t="str">
        <f t="shared" si="1"/>
        <v/>
      </c>
      <c r="V14" s="17" t="str">
        <f t="shared" si="2"/>
        <v/>
      </c>
      <c r="W14" s="17" t="str">
        <f t="shared" si="2"/>
        <v/>
      </c>
      <c r="X14" s="17" t="str">
        <f t="shared" si="2"/>
        <v/>
      </c>
      <c r="Y14" s="17" t="str">
        <f t="shared" si="2"/>
        <v/>
      </c>
      <c r="Z14" s="17" t="str">
        <f t="shared" si="2"/>
        <v/>
      </c>
      <c r="AA14" s="17" t="str">
        <f t="shared" si="2"/>
        <v/>
      </c>
      <c r="AB14" s="17" t="str">
        <f t="shared" si="2"/>
        <v/>
      </c>
      <c r="AC14" s="17" t="str">
        <f t="shared" si="2"/>
        <v/>
      </c>
      <c r="AK14" s="18" t="s">
        <v>671</v>
      </c>
    </row>
    <row r="15" spans="1:37" ht="45" outlineLevel="1" x14ac:dyDescent="0.2">
      <c r="A15" s="4" t="s">
        <v>672</v>
      </c>
      <c r="B15" s="19" t="s">
        <v>673</v>
      </c>
      <c r="C15" s="4" t="s">
        <v>447</v>
      </c>
      <c r="D15" s="15">
        <v>4</v>
      </c>
      <c r="E15" s="15">
        <v>2</v>
      </c>
      <c r="F15" s="16">
        <f>MEDIAN($F13,$G13,$F13+ROUND((D15-$D13)/$E13*($G13-$F13+1),0))</f>
        <v>4</v>
      </c>
      <c r="G15" s="16">
        <f>MEDIAN(F15,$G13,$F13+ROUND((D15+E15-$D13)/$E13*($G13-$F13+1),0)-1)</f>
        <v>5</v>
      </c>
      <c r="H15" s="4"/>
      <c r="I15" s="4"/>
      <c r="J15" s="4"/>
      <c r="K15" s="4"/>
      <c r="L15" s="17" t="str">
        <f t="shared" si="1"/>
        <v/>
      </c>
      <c r="M15" s="17" t="str">
        <f t="shared" si="1"/>
        <v/>
      </c>
      <c r="N15" s="17" t="str">
        <f t="shared" si="1"/>
        <v/>
      </c>
      <c r="O15" s="17">
        <f t="shared" si="1"/>
        <v>1</v>
      </c>
      <c r="P15" s="17">
        <f t="shared" si="1"/>
        <v>1</v>
      </c>
      <c r="Q15" s="17" t="str">
        <f t="shared" si="1"/>
        <v/>
      </c>
      <c r="R15" s="17" t="str">
        <f t="shared" si="1"/>
        <v/>
      </c>
      <c r="S15" s="17" t="str">
        <f t="shared" si="1"/>
        <v/>
      </c>
      <c r="T15" s="17" t="str">
        <f t="shared" si="1"/>
        <v/>
      </c>
      <c r="U15" s="17" t="str">
        <f t="shared" si="1"/>
        <v/>
      </c>
      <c r="V15" s="17" t="str">
        <f t="shared" si="2"/>
        <v/>
      </c>
      <c r="W15" s="17" t="str">
        <f t="shared" si="2"/>
        <v/>
      </c>
      <c r="X15" s="17" t="str">
        <f t="shared" si="2"/>
        <v/>
      </c>
      <c r="Y15" s="17" t="str">
        <f t="shared" si="2"/>
        <v/>
      </c>
      <c r="Z15" s="17" t="str">
        <f t="shared" si="2"/>
        <v/>
      </c>
      <c r="AA15" s="17" t="str">
        <f t="shared" si="2"/>
        <v/>
      </c>
      <c r="AB15" s="17" t="str">
        <f t="shared" si="2"/>
        <v/>
      </c>
      <c r="AC15" s="17" t="str">
        <f t="shared" si="2"/>
        <v/>
      </c>
      <c r="AK15" s="18" t="s">
        <v>674</v>
      </c>
    </row>
    <row r="16" spans="1:37" ht="45" outlineLevel="1" x14ac:dyDescent="0.2">
      <c r="A16" s="4" t="s">
        <v>675</v>
      </c>
      <c r="B16" s="19" t="s">
        <v>676</v>
      </c>
      <c r="C16" s="4" t="s">
        <v>447</v>
      </c>
      <c r="D16" s="15">
        <v>6</v>
      </c>
      <c r="E16" s="15">
        <v>1</v>
      </c>
      <c r="F16" s="16">
        <f>MEDIAN($F13,$G13,$F13+ROUND((D16-$D13)/$E13*($G13-$F13+1),0))</f>
        <v>6</v>
      </c>
      <c r="G16" s="16">
        <f>MEDIAN(F16,$G13,$F13+ROUND((D16+E16-$D13)/$E13*($G13-$F13+1),0)-1)</f>
        <v>6</v>
      </c>
      <c r="H16" s="4"/>
      <c r="I16" s="4"/>
      <c r="J16" s="4"/>
      <c r="K16" s="4"/>
      <c r="L16" s="17" t="str">
        <f t="shared" si="1"/>
        <v/>
      </c>
      <c r="M16" s="17" t="str">
        <f t="shared" si="1"/>
        <v/>
      </c>
      <c r="N16" s="17" t="str">
        <f t="shared" si="1"/>
        <v/>
      </c>
      <c r="O16" s="17" t="str">
        <f t="shared" si="1"/>
        <v/>
      </c>
      <c r="P16" s="17" t="str">
        <f t="shared" si="1"/>
        <v/>
      </c>
      <c r="Q16" s="17">
        <f t="shared" si="1"/>
        <v>1</v>
      </c>
      <c r="R16" s="17" t="str">
        <f t="shared" si="1"/>
        <v/>
      </c>
      <c r="S16" s="17" t="str">
        <f t="shared" si="1"/>
        <v/>
      </c>
      <c r="T16" s="17" t="str">
        <f t="shared" si="1"/>
        <v/>
      </c>
      <c r="U16" s="17" t="str">
        <f t="shared" si="1"/>
        <v/>
      </c>
      <c r="V16" s="17" t="str">
        <f t="shared" si="2"/>
        <v/>
      </c>
      <c r="W16" s="17" t="str">
        <f t="shared" si="2"/>
        <v/>
      </c>
      <c r="X16" s="17" t="str">
        <f t="shared" si="2"/>
        <v/>
      </c>
      <c r="Y16" s="17" t="str">
        <f t="shared" si="2"/>
        <v/>
      </c>
      <c r="Z16" s="17" t="str">
        <f t="shared" si="2"/>
        <v/>
      </c>
      <c r="AA16" s="17" t="str">
        <f t="shared" si="2"/>
        <v/>
      </c>
      <c r="AB16" s="17" t="str">
        <f t="shared" si="2"/>
        <v/>
      </c>
      <c r="AC16" s="17" t="str">
        <f t="shared" si="2"/>
        <v/>
      </c>
      <c r="AK16" s="18" t="s">
        <v>677</v>
      </c>
    </row>
    <row r="17" spans="1:37" ht="150" x14ac:dyDescent="0.2">
      <c r="A17" s="4" t="s">
        <v>678</v>
      </c>
      <c r="B17" s="14" t="s">
        <v>679</v>
      </c>
      <c r="C17" s="4" t="s">
        <v>471</v>
      </c>
      <c r="D17" s="15">
        <v>3</v>
      </c>
      <c r="E17" s="15">
        <v>5</v>
      </c>
      <c r="F17" s="16">
        <f>MIN(18,IF(D17&lt;=14,ROUND((D17-1)*(14+SlipWeeks)/14,0)+1,D17+SlipWeeks))</f>
        <v>3</v>
      </c>
      <c r="G17" s="16">
        <f>MIN(18,IF(D17+E17-1&lt;=14,MAX(ROUND((D17+E17-1)*(14+SlipWeeks)/14,0),F17),D17+E17-1+SlipWeeks))</f>
        <v>7</v>
      </c>
      <c r="H17" s="4"/>
      <c r="I17" s="4"/>
      <c r="J17" s="4"/>
      <c r="K17" s="4"/>
      <c r="L17" s="17" t="str">
        <f t="shared" ref="L17:U26" si="3">IF(AND(L$4&gt;=$F17,L$4&lt;=$G17),1,"")</f>
        <v/>
      </c>
      <c r="M17" s="17" t="str">
        <f t="shared" si="3"/>
        <v/>
      </c>
      <c r="N17" s="17">
        <f t="shared" si="3"/>
        <v>1</v>
      </c>
      <c r="O17" s="17">
        <f t="shared" si="3"/>
        <v>1</v>
      </c>
      <c r="P17" s="17">
        <f t="shared" si="3"/>
        <v>1</v>
      </c>
      <c r="Q17" s="17">
        <f t="shared" si="3"/>
        <v>1</v>
      </c>
      <c r="R17" s="17">
        <f t="shared" si="3"/>
        <v>1</v>
      </c>
      <c r="S17" s="17" t="str">
        <f t="shared" si="3"/>
        <v/>
      </c>
      <c r="T17" s="17" t="str">
        <f t="shared" si="3"/>
        <v/>
      </c>
      <c r="U17" s="17" t="str">
        <f t="shared" si="3"/>
        <v/>
      </c>
      <c r="V17" s="17" t="str">
        <f t="shared" ref="V17:AC26" si="4">IF(AND(V$4&gt;=$F17,V$4&lt;=$G17),1,"")</f>
        <v/>
      </c>
      <c r="W17" s="17" t="str">
        <f t="shared" si="4"/>
        <v/>
      </c>
      <c r="X17" s="17" t="str">
        <f t="shared" si="4"/>
        <v/>
      </c>
      <c r="Y17" s="17" t="str">
        <f t="shared" si="4"/>
        <v/>
      </c>
      <c r="Z17" s="17" t="str">
        <f t="shared" si="4"/>
        <v/>
      </c>
      <c r="AA17" s="17" t="str">
        <f t="shared" si="4"/>
        <v/>
      </c>
      <c r="AB17" s="17" t="str">
        <f t="shared" si="4"/>
        <v/>
      </c>
      <c r="AC17" s="17" t="str">
        <f t="shared" si="4"/>
        <v/>
      </c>
      <c r="AK17" s="18" t="s">
        <v>680</v>
      </c>
    </row>
    <row r="18" spans="1:37" ht="30" outlineLevel="1" x14ac:dyDescent="0.2">
      <c r="A18" s="4" t="s">
        <v>681</v>
      </c>
      <c r="B18" s="19" t="s">
        <v>682</v>
      </c>
      <c r="C18" s="4" t="s">
        <v>471</v>
      </c>
      <c r="D18" s="15">
        <v>3</v>
      </c>
      <c r="E18" s="15">
        <v>2</v>
      </c>
      <c r="F18" s="16">
        <f>MEDIAN($F17,$G17,$F17+ROUND((D18-$D17)/$E17*($G17-$F17+1),0))</f>
        <v>3</v>
      </c>
      <c r="G18" s="16">
        <f>MEDIAN(F18,$G17,$F17+ROUND((D18+E18-$D17)/$E17*($G17-$F17+1),0)-1)</f>
        <v>4</v>
      </c>
      <c r="H18" s="4"/>
      <c r="I18" s="4"/>
      <c r="J18" s="4"/>
      <c r="K18" s="4"/>
      <c r="L18" s="17" t="str">
        <f t="shared" si="3"/>
        <v/>
      </c>
      <c r="M18" s="17" t="str">
        <f t="shared" si="3"/>
        <v/>
      </c>
      <c r="N18" s="17">
        <f t="shared" si="3"/>
        <v>1</v>
      </c>
      <c r="O18" s="17">
        <f t="shared" si="3"/>
        <v>1</v>
      </c>
      <c r="P18" s="17" t="str">
        <f t="shared" si="3"/>
        <v/>
      </c>
      <c r="Q18" s="17" t="str">
        <f t="shared" si="3"/>
        <v/>
      </c>
      <c r="R18" s="17" t="str">
        <f t="shared" si="3"/>
        <v/>
      </c>
      <c r="S18" s="17" t="str">
        <f t="shared" si="3"/>
        <v/>
      </c>
      <c r="T18" s="17" t="str">
        <f t="shared" si="3"/>
        <v/>
      </c>
      <c r="U18" s="17" t="str">
        <f t="shared" si="3"/>
        <v/>
      </c>
      <c r="V18" s="17" t="str">
        <f t="shared" si="4"/>
        <v/>
      </c>
      <c r="W18" s="17" t="str">
        <f t="shared" si="4"/>
        <v/>
      </c>
      <c r="X18" s="17" t="str">
        <f t="shared" si="4"/>
        <v/>
      </c>
      <c r="Y18" s="17" t="str">
        <f t="shared" si="4"/>
        <v/>
      </c>
      <c r="Z18" s="17" t="str">
        <f t="shared" si="4"/>
        <v/>
      </c>
      <c r="AA18" s="17" t="str">
        <f t="shared" si="4"/>
        <v/>
      </c>
      <c r="AB18" s="17" t="str">
        <f t="shared" si="4"/>
        <v/>
      </c>
      <c r="AC18" s="17" t="str">
        <f t="shared" si="4"/>
        <v/>
      </c>
      <c r="AK18" s="18" t="s">
        <v>683</v>
      </c>
    </row>
    <row r="19" spans="1:37" ht="45" outlineLevel="1" x14ac:dyDescent="0.2">
      <c r="A19" s="4" t="s">
        <v>684</v>
      </c>
      <c r="B19" s="19" t="s">
        <v>685</v>
      </c>
      <c r="C19" s="4" t="s">
        <v>471</v>
      </c>
      <c r="D19" s="15">
        <v>5</v>
      </c>
      <c r="E19" s="15">
        <v>2</v>
      </c>
      <c r="F19" s="16">
        <f>MEDIAN($F17,$G17,$F17+ROUND((D19-$D17)/$E17*($G17-$F17+1),0))</f>
        <v>5</v>
      </c>
      <c r="G19" s="16">
        <f>MEDIAN(F19,$G17,$F17+ROUND((D19+E19-$D17)/$E17*($G17-$F17+1),0)-1)</f>
        <v>6</v>
      </c>
      <c r="H19" s="4"/>
      <c r="I19" s="4"/>
      <c r="J19" s="4"/>
      <c r="K19" s="4"/>
      <c r="L19" s="17" t="str">
        <f t="shared" si="3"/>
        <v/>
      </c>
      <c r="M19" s="17" t="str">
        <f t="shared" si="3"/>
        <v/>
      </c>
      <c r="N19" s="17" t="str">
        <f t="shared" si="3"/>
        <v/>
      </c>
      <c r="O19" s="17" t="str">
        <f t="shared" si="3"/>
        <v/>
      </c>
      <c r="P19" s="17">
        <f t="shared" si="3"/>
        <v>1</v>
      </c>
      <c r="Q19" s="17">
        <f t="shared" si="3"/>
        <v>1</v>
      </c>
      <c r="R19" s="17" t="str">
        <f t="shared" si="3"/>
        <v/>
      </c>
      <c r="S19" s="17" t="str">
        <f t="shared" si="3"/>
        <v/>
      </c>
      <c r="T19" s="17" t="str">
        <f t="shared" si="3"/>
        <v/>
      </c>
      <c r="U19" s="17" t="str">
        <f t="shared" si="3"/>
        <v/>
      </c>
      <c r="V19" s="17" t="str">
        <f t="shared" si="4"/>
        <v/>
      </c>
      <c r="W19" s="17" t="str">
        <f t="shared" si="4"/>
        <v/>
      </c>
      <c r="X19" s="17" t="str">
        <f t="shared" si="4"/>
        <v/>
      </c>
      <c r="Y19" s="17" t="str">
        <f t="shared" si="4"/>
        <v/>
      </c>
      <c r="Z19" s="17" t="str">
        <f t="shared" si="4"/>
        <v/>
      </c>
      <c r="AA19" s="17" t="str">
        <f t="shared" si="4"/>
        <v/>
      </c>
      <c r="AB19" s="17" t="str">
        <f t="shared" si="4"/>
        <v/>
      </c>
      <c r="AC19" s="17" t="str">
        <f t="shared" si="4"/>
        <v/>
      </c>
      <c r="AK19" s="18" t="s">
        <v>686</v>
      </c>
    </row>
    <row r="20" spans="1:37" ht="45" outlineLevel="1" x14ac:dyDescent="0.2">
      <c r="A20" s="4" t="s">
        <v>687</v>
      </c>
      <c r="B20" s="19" t="s">
        <v>688</v>
      </c>
      <c r="C20" s="4" t="s">
        <v>471</v>
      </c>
      <c r="D20" s="15">
        <v>7</v>
      </c>
      <c r="E20" s="15">
        <v>1</v>
      </c>
      <c r="F20" s="16">
        <f>MEDIAN($F17,$G17,$F17+ROUND((D20-$D17)/$E17*($G17-$F17+1),0))</f>
        <v>7</v>
      </c>
      <c r="G20" s="16">
        <f>MEDIAN(F20,$G17,$F17+ROUND((D20+E20-$D17)/$E17*($G17-$F17+1),0)-1)</f>
        <v>7</v>
      </c>
      <c r="H20" s="4"/>
      <c r="I20" s="4"/>
      <c r="J20" s="4"/>
      <c r="K20" s="4"/>
      <c r="L20" s="17" t="str">
        <f t="shared" si="3"/>
        <v/>
      </c>
      <c r="M20" s="17" t="str">
        <f t="shared" si="3"/>
        <v/>
      </c>
      <c r="N20" s="17" t="str">
        <f t="shared" si="3"/>
        <v/>
      </c>
      <c r="O20" s="17" t="str">
        <f t="shared" si="3"/>
        <v/>
      </c>
      <c r="P20" s="17" t="str">
        <f t="shared" si="3"/>
        <v/>
      </c>
      <c r="Q20" s="17" t="str">
        <f t="shared" si="3"/>
        <v/>
      </c>
      <c r="R20" s="17">
        <f t="shared" si="3"/>
        <v>1</v>
      </c>
      <c r="S20" s="17" t="str">
        <f t="shared" si="3"/>
        <v/>
      </c>
      <c r="T20" s="17" t="str">
        <f t="shared" si="3"/>
        <v/>
      </c>
      <c r="U20" s="17" t="str">
        <f t="shared" si="3"/>
        <v/>
      </c>
      <c r="V20" s="17" t="str">
        <f t="shared" si="4"/>
        <v/>
      </c>
      <c r="W20" s="17" t="str">
        <f t="shared" si="4"/>
        <v/>
      </c>
      <c r="X20" s="17" t="str">
        <f t="shared" si="4"/>
        <v/>
      </c>
      <c r="Y20" s="17" t="str">
        <f t="shared" si="4"/>
        <v/>
      </c>
      <c r="Z20" s="17" t="str">
        <f t="shared" si="4"/>
        <v/>
      </c>
      <c r="AA20" s="17" t="str">
        <f t="shared" si="4"/>
        <v/>
      </c>
      <c r="AB20" s="17" t="str">
        <f t="shared" si="4"/>
        <v/>
      </c>
      <c r="AC20" s="17" t="str">
        <f t="shared" si="4"/>
        <v/>
      </c>
      <c r="AK20" s="18" t="s">
        <v>689</v>
      </c>
    </row>
    <row r="21" spans="1:37" ht="135" x14ac:dyDescent="0.2">
      <c r="A21" s="4" t="s">
        <v>690</v>
      </c>
      <c r="B21" s="14" t="s">
        <v>691</v>
      </c>
      <c r="C21" s="4" t="s">
        <v>496</v>
      </c>
      <c r="D21" s="15">
        <v>3</v>
      </c>
      <c r="E21" s="15">
        <v>5</v>
      </c>
      <c r="F21" s="16">
        <f>MIN(18,IF(D21&lt;=14,ROUND((D21-1)*(14+SlipWeeks)/14,0)+1,D21+SlipWeeks))</f>
        <v>3</v>
      </c>
      <c r="G21" s="16">
        <f>MIN(18,IF(D21+E21-1&lt;=14,MAX(ROUND((D21+E21-1)*(14+SlipWeeks)/14,0),F21),D21+E21-1+SlipWeeks))</f>
        <v>7</v>
      </c>
      <c r="H21" s="4"/>
      <c r="I21" s="4"/>
      <c r="J21" s="4"/>
      <c r="K21" s="4"/>
      <c r="L21" s="17" t="str">
        <f t="shared" si="3"/>
        <v/>
      </c>
      <c r="M21" s="17" t="str">
        <f t="shared" si="3"/>
        <v/>
      </c>
      <c r="N21" s="17">
        <f t="shared" si="3"/>
        <v>1</v>
      </c>
      <c r="O21" s="17">
        <f t="shared" si="3"/>
        <v>1</v>
      </c>
      <c r="P21" s="17">
        <f t="shared" si="3"/>
        <v>1</v>
      </c>
      <c r="Q21" s="17">
        <f t="shared" si="3"/>
        <v>1</v>
      </c>
      <c r="R21" s="17">
        <f t="shared" si="3"/>
        <v>1</v>
      </c>
      <c r="S21" s="17" t="str">
        <f t="shared" si="3"/>
        <v/>
      </c>
      <c r="T21" s="17" t="str">
        <f t="shared" si="3"/>
        <v/>
      </c>
      <c r="U21" s="17" t="str">
        <f t="shared" si="3"/>
        <v/>
      </c>
      <c r="V21" s="17" t="str">
        <f t="shared" si="4"/>
        <v/>
      </c>
      <c r="W21" s="17" t="str">
        <f t="shared" si="4"/>
        <v/>
      </c>
      <c r="X21" s="17" t="str">
        <f t="shared" si="4"/>
        <v/>
      </c>
      <c r="Y21" s="17" t="str">
        <f t="shared" si="4"/>
        <v/>
      </c>
      <c r="Z21" s="17" t="str">
        <f t="shared" si="4"/>
        <v/>
      </c>
      <c r="AA21" s="17" t="str">
        <f t="shared" si="4"/>
        <v/>
      </c>
      <c r="AB21" s="17" t="str">
        <f t="shared" si="4"/>
        <v/>
      </c>
      <c r="AC21" s="17" t="str">
        <f t="shared" si="4"/>
        <v/>
      </c>
      <c r="AK21" s="18" t="s">
        <v>692</v>
      </c>
    </row>
    <row r="22" spans="1:37" ht="60" outlineLevel="1" x14ac:dyDescent="0.2">
      <c r="A22" s="4" t="s">
        <v>693</v>
      </c>
      <c r="B22" s="19" t="s">
        <v>694</v>
      </c>
      <c r="C22" s="4" t="s">
        <v>496</v>
      </c>
      <c r="D22" s="15">
        <v>3</v>
      </c>
      <c r="E22" s="15">
        <v>2</v>
      </c>
      <c r="F22" s="16">
        <f>MEDIAN($F21,$G21,$F21+ROUND((D22-$D21)/$E21*($G21-$F21+1),0))</f>
        <v>3</v>
      </c>
      <c r="G22" s="16">
        <f>MEDIAN(F22,$G21,$F21+ROUND((D22+E22-$D21)/$E21*($G21-$F21+1),0)-1)</f>
        <v>4</v>
      </c>
      <c r="H22" s="4"/>
      <c r="I22" s="4"/>
      <c r="J22" s="4"/>
      <c r="K22" s="4"/>
      <c r="L22" s="17" t="str">
        <f t="shared" si="3"/>
        <v/>
      </c>
      <c r="M22" s="17" t="str">
        <f t="shared" si="3"/>
        <v/>
      </c>
      <c r="N22" s="17">
        <f t="shared" si="3"/>
        <v>1</v>
      </c>
      <c r="O22" s="17">
        <f t="shared" si="3"/>
        <v>1</v>
      </c>
      <c r="P22" s="17" t="str">
        <f t="shared" si="3"/>
        <v/>
      </c>
      <c r="Q22" s="17" t="str">
        <f t="shared" si="3"/>
        <v/>
      </c>
      <c r="R22" s="17" t="str">
        <f t="shared" si="3"/>
        <v/>
      </c>
      <c r="S22" s="17" t="str">
        <f t="shared" si="3"/>
        <v/>
      </c>
      <c r="T22" s="17" t="str">
        <f t="shared" si="3"/>
        <v/>
      </c>
      <c r="U22" s="17" t="str">
        <f t="shared" si="3"/>
        <v/>
      </c>
      <c r="V22" s="17" t="str">
        <f t="shared" si="4"/>
        <v/>
      </c>
      <c r="W22" s="17" t="str">
        <f t="shared" si="4"/>
        <v/>
      </c>
      <c r="X22" s="17" t="str">
        <f t="shared" si="4"/>
        <v/>
      </c>
      <c r="Y22" s="17" t="str">
        <f t="shared" si="4"/>
        <v/>
      </c>
      <c r="Z22" s="17" t="str">
        <f t="shared" si="4"/>
        <v/>
      </c>
      <c r="AA22" s="17" t="str">
        <f t="shared" si="4"/>
        <v/>
      </c>
      <c r="AB22" s="17" t="str">
        <f t="shared" si="4"/>
        <v/>
      </c>
      <c r="AC22" s="17" t="str">
        <f t="shared" si="4"/>
        <v/>
      </c>
      <c r="AK22" s="18" t="s">
        <v>695</v>
      </c>
    </row>
    <row r="23" spans="1:37" ht="30" outlineLevel="1" x14ac:dyDescent="0.2">
      <c r="A23" s="4" t="s">
        <v>696</v>
      </c>
      <c r="B23" s="19" t="s">
        <v>697</v>
      </c>
      <c r="C23" s="4" t="s">
        <v>496</v>
      </c>
      <c r="D23" s="15">
        <v>5</v>
      </c>
      <c r="E23" s="15">
        <v>2</v>
      </c>
      <c r="F23" s="16">
        <f>MEDIAN($F21,$G21,$F21+ROUND((D23-$D21)/$E21*($G21-$F21+1),0))</f>
        <v>5</v>
      </c>
      <c r="G23" s="16">
        <f>MEDIAN(F23,$G21,$F21+ROUND((D23+E23-$D21)/$E21*($G21-$F21+1),0)-1)</f>
        <v>6</v>
      </c>
      <c r="H23" s="4"/>
      <c r="I23" s="4"/>
      <c r="J23" s="4"/>
      <c r="K23" s="4"/>
      <c r="L23" s="17" t="str">
        <f t="shared" si="3"/>
        <v/>
      </c>
      <c r="M23" s="17" t="str">
        <f t="shared" si="3"/>
        <v/>
      </c>
      <c r="N23" s="17" t="str">
        <f t="shared" si="3"/>
        <v/>
      </c>
      <c r="O23" s="17" t="str">
        <f t="shared" si="3"/>
        <v/>
      </c>
      <c r="P23" s="17">
        <f t="shared" si="3"/>
        <v>1</v>
      </c>
      <c r="Q23" s="17">
        <f t="shared" si="3"/>
        <v>1</v>
      </c>
      <c r="R23" s="17" t="str">
        <f t="shared" si="3"/>
        <v/>
      </c>
      <c r="S23" s="17" t="str">
        <f t="shared" si="3"/>
        <v/>
      </c>
      <c r="T23" s="17" t="str">
        <f t="shared" si="3"/>
        <v/>
      </c>
      <c r="U23" s="17" t="str">
        <f t="shared" si="3"/>
        <v/>
      </c>
      <c r="V23" s="17" t="str">
        <f t="shared" si="4"/>
        <v/>
      </c>
      <c r="W23" s="17" t="str">
        <f t="shared" si="4"/>
        <v/>
      </c>
      <c r="X23" s="17" t="str">
        <f t="shared" si="4"/>
        <v/>
      </c>
      <c r="Y23" s="17" t="str">
        <f t="shared" si="4"/>
        <v/>
      </c>
      <c r="Z23" s="17" t="str">
        <f t="shared" si="4"/>
        <v/>
      </c>
      <c r="AA23" s="17" t="str">
        <f t="shared" si="4"/>
        <v/>
      </c>
      <c r="AB23" s="17" t="str">
        <f t="shared" si="4"/>
        <v/>
      </c>
      <c r="AC23" s="17" t="str">
        <f t="shared" si="4"/>
        <v/>
      </c>
      <c r="AK23" s="18" t="s">
        <v>698</v>
      </c>
    </row>
    <row r="24" spans="1:37" ht="45" outlineLevel="1" x14ac:dyDescent="0.2">
      <c r="A24" s="4" t="s">
        <v>699</v>
      </c>
      <c r="B24" s="19" t="s">
        <v>700</v>
      </c>
      <c r="C24" s="4" t="s">
        <v>496</v>
      </c>
      <c r="D24" s="15">
        <v>7</v>
      </c>
      <c r="E24" s="15">
        <v>1</v>
      </c>
      <c r="F24" s="16">
        <f>MEDIAN($F21,$G21,$F21+ROUND((D24-$D21)/$E21*($G21-$F21+1),0))</f>
        <v>7</v>
      </c>
      <c r="G24" s="16">
        <f>MEDIAN(F24,$G21,$F21+ROUND((D24+E24-$D21)/$E21*($G21-$F21+1),0)-1)</f>
        <v>7</v>
      </c>
      <c r="H24" s="4"/>
      <c r="I24" s="4"/>
      <c r="J24" s="4"/>
      <c r="K24" s="4"/>
      <c r="L24" s="17" t="str">
        <f t="shared" si="3"/>
        <v/>
      </c>
      <c r="M24" s="17" t="str">
        <f t="shared" si="3"/>
        <v/>
      </c>
      <c r="N24" s="17" t="str">
        <f t="shared" si="3"/>
        <v/>
      </c>
      <c r="O24" s="17" t="str">
        <f t="shared" si="3"/>
        <v/>
      </c>
      <c r="P24" s="17" t="str">
        <f t="shared" si="3"/>
        <v/>
      </c>
      <c r="Q24" s="17" t="str">
        <f t="shared" si="3"/>
        <v/>
      </c>
      <c r="R24" s="17">
        <f t="shared" si="3"/>
        <v>1</v>
      </c>
      <c r="S24" s="17" t="str">
        <f t="shared" si="3"/>
        <v/>
      </c>
      <c r="T24" s="17" t="str">
        <f t="shared" si="3"/>
        <v/>
      </c>
      <c r="U24" s="17" t="str">
        <f t="shared" si="3"/>
        <v/>
      </c>
      <c r="V24" s="17" t="str">
        <f t="shared" si="4"/>
        <v/>
      </c>
      <c r="W24" s="17" t="str">
        <f t="shared" si="4"/>
        <v/>
      </c>
      <c r="X24" s="17" t="str">
        <f t="shared" si="4"/>
        <v/>
      </c>
      <c r="Y24" s="17" t="str">
        <f t="shared" si="4"/>
        <v/>
      </c>
      <c r="Z24" s="17" t="str">
        <f t="shared" si="4"/>
        <v/>
      </c>
      <c r="AA24" s="17" t="str">
        <f t="shared" si="4"/>
        <v/>
      </c>
      <c r="AB24" s="17" t="str">
        <f t="shared" si="4"/>
        <v/>
      </c>
      <c r="AC24" s="17" t="str">
        <f t="shared" si="4"/>
        <v/>
      </c>
      <c r="AK24" s="18" t="s">
        <v>701</v>
      </c>
    </row>
    <row r="25" spans="1:37" ht="180" x14ac:dyDescent="0.2">
      <c r="A25" s="4" t="s">
        <v>702</v>
      </c>
      <c r="B25" s="14" t="s">
        <v>703</v>
      </c>
      <c r="C25" s="4" t="s">
        <v>513</v>
      </c>
      <c r="D25" s="15">
        <v>1</v>
      </c>
      <c r="E25" s="15">
        <v>3</v>
      </c>
      <c r="F25" s="16">
        <f>MIN(18,IF(D25&lt;=14,ROUND((D25-1)*(14+SlipWeeks)/14,0)+1,D25+SlipWeeks))</f>
        <v>1</v>
      </c>
      <c r="G25" s="16">
        <f>MIN(18,IF(D25+E25-1&lt;=14,MAX(ROUND((D25+E25-1)*(14+SlipWeeks)/14,0),F25),D25+E25-1+SlipWeeks))</f>
        <v>3</v>
      </c>
      <c r="H25" s="4"/>
      <c r="I25" s="4"/>
      <c r="J25" s="4"/>
      <c r="K25" s="4"/>
      <c r="L25" s="17">
        <f t="shared" si="3"/>
        <v>1</v>
      </c>
      <c r="M25" s="17">
        <f t="shared" si="3"/>
        <v>1</v>
      </c>
      <c r="N25" s="17">
        <f t="shared" si="3"/>
        <v>1</v>
      </c>
      <c r="O25" s="17" t="str">
        <f t="shared" si="3"/>
        <v/>
      </c>
      <c r="P25" s="17" t="str">
        <f t="shared" si="3"/>
        <v/>
      </c>
      <c r="Q25" s="17" t="str">
        <f t="shared" si="3"/>
        <v/>
      </c>
      <c r="R25" s="17" t="str">
        <f t="shared" si="3"/>
        <v/>
      </c>
      <c r="S25" s="17" t="str">
        <f t="shared" si="3"/>
        <v/>
      </c>
      <c r="T25" s="17" t="str">
        <f t="shared" si="3"/>
        <v/>
      </c>
      <c r="U25" s="17" t="str">
        <f t="shared" si="3"/>
        <v/>
      </c>
      <c r="V25" s="17" t="str">
        <f t="shared" si="4"/>
        <v/>
      </c>
      <c r="W25" s="17" t="str">
        <f t="shared" si="4"/>
        <v/>
      </c>
      <c r="X25" s="17" t="str">
        <f t="shared" si="4"/>
        <v/>
      </c>
      <c r="Y25" s="17" t="str">
        <f t="shared" si="4"/>
        <v/>
      </c>
      <c r="Z25" s="17" t="str">
        <f t="shared" si="4"/>
        <v/>
      </c>
      <c r="AA25" s="17" t="str">
        <f t="shared" si="4"/>
        <v/>
      </c>
      <c r="AB25" s="17" t="str">
        <f t="shared" si="4"/>
        <v/>
      </c>
      <c r="AC25" s="17" t="str">
        <f t="shared" si="4"/>
        <v/>
      </c>
      <c r="AK25" s="18" t="s">
        <v>704</v>
      </c>
    </row>
    <row r="26" spans="1:37" ht="45" outlineLevel="1" x14ac:dyDescent="0.2">
      <c r="A26" s="4" t="s">
        <v>705</v>
      </c>
      <c r="B26" s="19" t="s">
        <v>706</v>
      </c>
      <c r="C26" s="4" t="s">
        <v>513</v>
      </c>
      <c r="D26" s="15">
        <v>1</v>
      </c>
      <c r="E26" s="15">
        <v>2</v>
      </c>
      <c r="F26" s="16">
        <f>MEDIAN($F25,$G25,$F25+ROUND((D26-$D25)/$E25*($G25-$F25+1),0))</f>
        <v>1</v>
      </c>
      <c r="G26" s="16">
        <f>MEDIAN(F26,$G25,$F25+ROUND((D26+E26-$D25)/$E25*($G25-$F25+1),0)-1)</f>
        <v>2</v>
      </c>
      <c r="H26" s="4"/>
      <c r="I26" s="4"/>
      <c r="J26" s="4"/>
      <c r="K26" s="4"/>
      <c r="L26" s="17">
        <f t="shared" si="3"/>
        <v>1</v>
      </c>
      <c r="M26" s="17">
        <f t="shared" si="3"/>
        <v>1</v>
      </c>
      <c r="N26" s="17" t="str">
        <f t="shared" si="3"/>
        <v/>
      </c>
      <c r="O26" s="17" t="str">
        <f t="shared" si="3"/>
        <v/>
      </c>
      <c r="P26" s="17" t="str">
        <f t="shared" si="3"/>
        <v/>
      </c>
      <c r="Q26" s="17" t="str">
        <f t="shared" si="3"/>
        <v/>
      </c>
      <c r="R26" s="17" t="str">
        <f t="shared" si="3"/>
        <v/>
      </c>
      <c r="S26" s="17" t="str">
        <f t="shared" si="3"/>
        <v/>
      </c>
      <c r="T26" s="17" t="str">
        <f t="shared" si="3"/>
        <v/>
      </c>
      <c r="U26" s="17" t="str">
        <f t="shared" si="3"/>
        <v/>
      </c>
      <c r="V26" s="17" t="str">
        <f t="shared" si="4"/>
        <v/>
      </c>
      <c r="W26" s="17" t="str">
        <f t="shared" si="4"/>
        <v/>
      </c>
      <c r="X26" s="17" t="str">
        <f t="shared" si="4"/>
        <v/>
      </c>
      <c r="Y26" s="17" t="str">
        <f t="shared" si="4"/>
        <v/>
      </c>
      <c r="Z26" s="17" t="str">
        <f t="shared" si="4"/>
        <v/>
      </c>
      <c r="AA26" s="17" t="str">
        <f t="shared" si="4"/>
        <v/>
      </c>
      <c r="AB26" s="17" t="str">
        <f t="shared" si="4"/>
        <v/>
      </c>
      <c r="AC26" s="17" t="str">
        <f t="shared" si="4"/>
        <v/>
      </c>
      <c r="AK26" s="18" t="s">
        <v>707</v>
      </c>
    </row>
    <row r="27" spans="1:37" ht="45" outlineLevel="1" x14ac:dyDescent="0.2">
      <c r="A27" s="4" t="s">
        <v>708</v>
      </c>
      <c r="B27" s="19" t="s">
        <v>709</v>
      </c>
      <c r="C27" s="4" t="s">
        <v>513</v>
      </c>
      <c r="D27" s="15">
        <v>2</v>
      </c>
      <c r="E27" s="15">
        <v>2</v>
      </c>
      <c r="F27" s="16">
        <f>MEDIAN($F25,$G25,$F25+ROUND((D27-$D25)/$E25*($G25-$F25+1),0))</f>
        <v>2</v>
      </c>
      <c r="G27" s="16">
        <f>MEDIAN(F27,$G25,$F25+ROUND((D27+E27-$D25)/$E25*($G25-$F25+1),0)-1)</f>
        <v>3</v>
      </c>
      <c r="H27" s="4"/>
      <c r="I27" s="4"/>
      <c r="J27" s="4"/>
      <c r="K27" s="4"/>
      <c r="L27" s="17" t="str">
        <f t="shared" ref="L27:U34" si="5">IF(AND(L$4&gt;=$F27,L$4&lt;=$G27),1,"")</f>
        <v/>
      </c>
      <c r="M27" s="17">
        <f t="shared" si="5"/>
        <v>1</v>
      </c>
      <c r="N27" s="17">
        <f t="shared" si="5"/>
        <v>1</v>
      </c>
      <c r="O27" s="17" t="str">
        <f t="shared" si="5"/>
        <v/>
      </c>
      <c r="P27" s="17" t="str">
        <f t="shared" si="5"/>
        <v/>
      </c>
      <c r="Q27" s="17" t="str">
        <f t="shared" si="5"/>
        <v/>
      </c>
      <c r="R27" s="17" t="str">
        <f t="shared" si="5"/>
        <v/>
      </c>
      <c r="S27" s="17" t="str">
        <f t="shared" si="5"/>
        <v/>
      </c>
      <c r="T27" s="17" t="str">
        <f t="shared" si="5"/>
        <v/>
      </c>
      <c r="U27" s="17" t="str">
        <f t="shared" si="5"/>
        <v/>
      </c>
      <c r="V27" s="17" t="str">
        <f t="shared" ref="V27:AC34" si="6">IF(AND(V$4&gt;=$F27,V$4&lt;=$G27),1,"")</f>
        <v/>
      </c>
      <c r="W27" s="17" t="str">
        <f t="shared" si="6"/>
        <v/>
      </c>
      <c r="X27" s="17" t="str">
        <f t="shared" si="6"/>
        <v/>
      </c>
      <c r="Y27" s="17" t="str">
        <f t="shared" si="6"/>
        <v/>
      </c>
      <c r="Z27" s="17" t="str">
        <f t="shared" si="6"/>
        <v/>
      </c>
      <c r="AA27" s="17" t="str">
        <f t="shared" si="6"/>
        <v/>
      </c>
      <c r="AB27" s="17" t="str">
        <f t="shared" si="6"/>
        <v/>
      </c>
      <c r="AC27" s="17" t="str">
        <f t="shared" si="6"/>
        <v/>
      </c>
      <c r="AK27" s="18" t="s">
        <v>710</v>
      </c>
    </row>
    <row r="28" spans="1:37" ht="120" x14ac:dyDescent="0.2">
      <c r="A28" s="4" t="s">
        <v>711</v>
      </c>
      <c r="B28" s="14" t="s">
        <v>712</v>
      </c>
      <c r="C28" s="4" t="s">
        <v>713</v>
      </c>
      <c r="D28" s="15">
        <v>8</v>
      </c>
      <c r="E28" s="15">
        <v>2</v>
      </c>
      <c r="F28" s="16">
        <f>MIN(18,IF(D28&lt;=14,ROUND((D28-1)*(14+SlipWeeks)/14,0)+1,D28+SlipWeeks))</f>
        <v>8</v>
      </c>
      <c r="G28" s="16">
        <f>MIN(18,IF(D28+E28-1&lt;=14,MAX(ROUND((D28+E28-1)*(14+SlipWeeks)/14,0),F28),D28+E28-1+SlipWeeks))</f>
        <v>9</v>
      </c>
      <c r="H28" s="4"/>
      <c r="I28" s="4"/>
      <c r="J28" s="4"/>
      <c r="K28" s="4"/>
      <c r="L28" s="17" t="str">
        <f t="shared" si="5"/>
        <v/>
      </c>
      <c r="M28" s="17" t="str">
        <f t="shared" si="5"/>
        <v/>
      </c>
      <c r="N28" s="17" t="str">
        <f t="shared" si="5"/>
        <v/>
      </c>
      <c r="O28" s="17" t="str">
        <f t="shared" si="5"/>
        <v/>
      </c>
      <c r="P28" s="17" t="str">
        <f t="shared" si="5"/>
        <v/>
      </c>
      <c r="Q28" s="17" t="str">
        <f t="shared" si="5"/>
        <v/>
      </c>
      <c r="R28" s="17" t="str">
        <f t="shared" si="5"/>
        <v/>
      </c>
      <c r="S28" s="17">
        <f t="shared" si="5"/>
        <v>1</v>
      </c>
      <c r="T28" s="17">
        <f t="shared" si="5"/>
        <v>1</v>
      </c>
      <c r="U28" s="17" t="str">
        <f t="shared" si="5"/>
        <v/>
      </c>
      <c r="V28" s="17" t="str">
        <f t="shared" si="6"/>
        <v/>
      </c>
      <c r="W28" s="17" t="str">
        <f t="shared" si="6"/>
        <v/>
      </c>
      <c r="X28" s="17" t="str">
        <f t="shared" si="6"/>
        <v/>
      </c>
      <c r="Y28" s="17" t="str">
        <f t="shared" si="6"/>
        <v/>
      </c>
      <c r="Z28" s="17" t="str">
        <f t="shared" si="6"/>
        <v/>
      </c>
      <c r="AA28" s="17" t="str">
        <f t="shared" si="6"/>
        <v/>
      </c>
      <c r="AB28" s="17" t="str">
        <f t="shared" si="6"/>
        <v/>
      </c>
      <c r="AC28" s="17" t="str">
        <f t="shared" si="6"/>
        <v/>
      </c>
      <c r="AK28" s="18" t="s">
        <v>714</v>
      </c>
    </row>
    <row r="29" spans="1:37" ht="30" outlineLevel="1" x14ac:dyDescent="0.2">
      <c r="A29" s="4" t="s">
        <v>715</v>
      </c>
      <c r="B29" s="19" t="s">
        <v>716</v>
      </c>
      <c r="C29" s="4" t="s">
        <v>713</v>
      </c>
      <c r="D29" s="15">
        <v>8</v>
      </c>
      <c r="E29" s="15">
        <v>1</v>
      </c>
      <c r="F29" s="16">
        <f>MEDIAN($F28,$G28,$F28+ROUND((D29-$D28)/$E28*($G28-$F28+1),0))</f>
        <v>8</v>
      </c>
      <c r="G29" s="16">
        <f>MEDIAN(F29,$G28,$F28+ROUND((D29+E29-$D28)/$E28*($G28-$F28+1),0)-1)</f>
        <v>8</v>
      </c>
      <c r="H29" s="4"/>
      <c r="I29" s="4"/>
      <c r="J29" s="4"/>
      <c r="K29" s="4"/>
      <c r="L29" s="17" t="str">
        <f t="shared" si="5"/>
        <v/>
      </c>
      <c r="M29" s="17" t="str">
        <f t="shared" si="5"/>
        <v/>
      </c>
      <c r="N29" s="17" t="str">
        <f t="shared" si="5"/>
        <v/>
      </c>
      <c r="O29" s="17" t="str">
        <f t="shared" si="5"/>
        <v/>
      </c>
      <c r="P29" s="17" t="str">
        <f t="shared" si="5"/>
        <v/>
      </c>
      <c r="Q29" s="17" t="str">
        <f t="shared" si="5"/>
        <v/>
      </c>
      <c r="R29" s="17" t="str">
        <f t="shared" si="5"/>
        <v/>
      </c>
      <c r="S29" s="17">
        <f t="shared" si="5"/>
        <v>1</v>
      </c>
      <c r="T29" s="17" t="str">
        <f t="shared" si="5"/>
        <v/>
      </c>
      <c r="U29" s="17" t="str">
        <f t="shared" si="5"/>
        <v/>
      </c>
      <c r="V29" s="17" t="str">
        <f t="shared" si="6"/>
        <v/>
      </c>
      <c r="W29" s="17" t="str">
        <f t="shared" si="6"/>
        <v/>
      </c>
      <c r="X29" s="17" t="str">
        <f t="shared" si="6"/>
        <v/>
      </c>
      <c r="Y29" s="17" t="str">
        <f t="shared" si="6"/>
        <v/>
      </c>
      <c r="Z29" s="17" t="str">
        <f t="shared" si="6"/>
        <v/>
      </c>
      <c r="AA29" s="17" t="str">
        <f t="shared" si="6"/>
        <v/>
      </c>
      <c r="AB29" s="17" t="str">
        <f t="shared" si="6"/>
        <v/>
      </c>
      <c r="AC29" s="17" t="str">
        <f t="shared" si="6"/>
        <v/>
      </c>
      <c r="AK29" s="18" t="s">
        <v>717</v>
      </c>
    </row>
    <row r="30" spans="1:37" ht="30" outlineLevel="1" x14ac:dyDescent="0.2">
      <c r="A30" s="4" t="s">
        <v>718</v>
      </c>
      <c r="B30" s="19" t="s">
        <v>719</v>
      </c>
      <c r="C30" s="4" t="s">
        <v>713</v>
      </c>
      <c r="D30" s="15">
        <v>9</v>
      </c>
      <c r="E30" s="15">
        <v>1</v>
      </c>
      <c r="F30" s="16">
        <f>MEDIAN($F28,$G28,$F28+ROUND((D30-$D28)/$E28*($G28-$F28+1),0))</f>
        <v>9</v>
      </c>
      <c r="G30" s="16">
        <f>MEDIAN(F30,$G28,$F28+ROUND((D30+E30-$D28)/$E28*($G28-$F28+1),0)-1)</f>
        <v>9</v>
      </c>
      <c r="H30" s="4"/>
      <c r="I30" s="4"/>
      <c r="J30" s="4"/>
      <c r="K30" s="4"/>
      <c r="L30" s="17" t="str">
        <f t="shared" si="5"/>
        <v/>
      </c>
      <c r="M30" s="17" t="str">
        <f t="shared" si="5"/>
        <v/>
      </c>
      <c r="N30" s="17" t="str">
        <f t="shared" si="5"/>
        <v/>
      </c>
      <c r="O30" s="17" t="str">
        <f t="shared" si="5"/>
        <v/>
      </c>
      <c r="P30" s="17" t="str">
        <f t="shared" si="5"/>
        <v/>
      </c>
      <c r="Q30" s="17" t="str">
        <f t="shared" si="5"/>
        <v/>
      </c>
      <c r="R30" s="17" t="str">
        <f t="shared" si="5"/>
        <v/>
      </c>
      <c r="S30" s="17" t="str">
        <f t="shared" si="5"/>
        <v/>
      </c>
      <c r="T30" s="17">
        <f t="shared" si="5"/>
        <v>1</v>
      </c>
      <c r="U30" s="17" t="str">
        <f t="shared" si="5"/>
        <v/>
      </c>
      <c r="V30" s="17" t="str">
        <f t="shared" si="6"/>
        <v/>
      </c>
      <c r="W30" s="17" t="str">
        <f t="shared" si="6"/>
        <v/>
      </c>
      <c r="X30" s="17" t="str">
        <f t="shared" si="6"/>
        <v/>
      </c>
      <c r="Y30" s="17" t="str">
        <f t="shared" si="6"/>
        <v/>
      </c>
      <c r="Z30" s="17" t="str">
        <f t="shared" si="6"/>
        <v/>
      </c>
      <c r="AA30" s="17" t="str">
        <f t="shared" si="6"/>
        <v/>
      </c>
      <c r="AB30" s="17" t="str">
        <f t="shared" si="6"/>
        <v/>
      </c>
      <c r="AC30" s="17" t="str">
        <f t="shared" si="6"/>
        <v/>
      </c>
      <c r="AK30" s="18" t="s">
        <v>720</v>
      </c>
    </row>
    <row r="31" spans="1:37" ht="150" x14ac:dyDescent="0.2">
      <c r="A31" s="4" t="s">
        <v>721</v>
      </c>
      <c r="B31" s="14" t="s">
        <v>722</v>
      </c>
      <c r="C31" s="4" t="s">
        <v>713</v>
      </c>
      <c r="D31" s="15">
        <v>11</v>
      </c>
      <c r="E31" s="15">
        <v>4</v>
      </c>
      <c r="F31" s="16">
        <f>MIN(18,IF(D31&lt;=14,ROUND((D31-1)*(14+SlipWeeks)/14,0)+1,D31+SlipWeeks))</f>
        <v>11</v>
      </c>
      <c r="G31" s="16">
        <f>MIN(18,IF(D31+E31-1&lt;=14,MAX(ROUND((D31+E31-1)*(14+SlipWeeks)/14,0),F31),D31+E31-1+SlipWeeks))</f>
        <v>14</v>
      </c>
      <c r="H31" s="4"/>
      <c r="I31" s="4"/>
      <c r="J31" s="4"/>
      <c r="K31" s="4"/>
      <c r="L31" s="17" t="str">
        <f t="shared" si="5"/>
        <v/>
      </c>
      <c r="M31" s="17" t="str">
        <f t="shared" si="5"/>
        <v/>
      </c>
      <c r="N31" s="17" t="str">
        <f t="shared" si="5"/>
        <v/>
      </c>
      <c r="O31" s="17" t="str">
        <f t="shared" si="5"/>
        <v/>
      </c>
      <c r="P31" s="17" t="str">
        <f t="shared" si="5"/>
        <v/>
      </c>
      <c r="Q31" s="17" t="str">
        <f t="shared" si="5"/>
        <v/>
      </c>
      <c r="R31" s="17" t="str">
        <f t="shared" si="5"/>
        <v/>
      </c>
      <c r="S31" s="17" t="str">
        <f t="shared" si="5"/>
        <v/>
      </c>
      <c r="T31" s="17" t="str">
        <f t="shared" si="5"/>
        <v/>
      </c>
      <c r="U31" s="17" t="str">
        <f t="shared" si="5"/>
        <v/>
      </c>
      <c r="V31" s="17">
        <f t="shared" si="6"/>
        <v>1</v>
      </c>
      <c r="W31" s="17">
        <f t="shared" si="6"/>
        <v>1</v>
      </c>
      <c r="X31" s="17">
        <f t="shared" si="6"/>
        <v>1</v>
      </c>
      <c r="Y31" s="17">
        <f t="shared" si="6"/>
        <v>1</v>
      </c>
      <c r="Z31" s="17" t="str">
        <f t="shared" si="6"/>
        <v/>
      </c>
      <c r="AA31" s="17" t="str">
        <f t="shared" si="6"/>
        <v/>
      </c>
      <c r="AB31" s="17" t="str">
        <f t="shared" si="6"/>
        <v/>
      </c>
      <c r="AC31" s="17" t="str">
        <f t="shared" si="6"/>
        <v/>
      </c>
      <c r="AK31" s="18" t="s">
        <v>723</v>
      </c>
    </row>
    <row r="32" spans="1:37" ht="30" outlineLevel="1" x14ac:dyDescent="0.2">
      <c r="A32" s="4" t="s">
        <v>724</v>
      </c>
      <c r="B32" s="19" t="s">
        <v>725</v>
      </c>
      <c r="C32" s="4" t="s">
        <v>713</v>
      </c>
      <c r="D32" s="15">
        <v>11</v>
      </c>
      <c r="E32" s="15">
        <v>2</v>
      </c>
      <c r="F32" s="16">
        <f>MEDIAN($F31,$G31,$F31+ROUND((D32-$D31)/$E31*($G31-$F31+1),0))</f>
        <v>11</v>
      </c>
      <c r="G32" s="16">
        <f>MEDIAN(F32,$G31,$F31+ROUND((D32+E32-$D31)/$E31*($G31-$F31+1),0)-1)</f>
        <v>12</v>
      </c>
      <c r="H32" s="4"/>
      <c r="I32" s="4"/>
      <c r="J32" s="4"/>
      <c r="K32" s="4"/>
      <c r="L32" s="17" t="str">
        <f t="shared" si="5"/>
        <v/>
      </c>
      <c r="M32" s="17" t="str">
        <f t="shared" si="5"/>
        <v/>
      </c>
      <c r="N32" s="17" t="str">
        <f t="shared" si="5"/>
        <v/>
      </c>
      <c r="O32" s="17" t="str">
        <f t="shared" si="5"/>
        <v/>
      </c>
      <c r="P32" s="17" t="str">
        <f t="shared" si="5"/>
        <v/>
      </c>
      <c r="Q32" s="17" t="str">
        <f t="shared" si="5"/>
        <v/>
      </c>
      <c r="R32" s="17" t="str">
        <f t="shared" si="5"/>
        <v/>
      </c>
      <c r="S32" s="17" t="str">
        <f t="shared" si="5"/>
        <v/>
      </c>
      <c r="T32" s="17" t="str">
        <f t="shared" si="5"/>
        <v/>
      </c>
      <c r="U32" s="17" t="str">
        <f t="shared" si="5"/>
        <v/>
      </c>
      <c r="V32" s="17">
        <f t="shared" si="6"/>
        <v>1</v>
      </c>
      <c r="W32" s="17">
        <f t="shared" si="6"/>
        <v>1</v>
      </c>
      <c r="X32" s="17" t="str">
        <f t="shared" si="6"/>
        <v/>
      </c>
      <c r="Y32" s="17" t="str">
        <f t="shared" si="6"/>
        <v/>
      </c>
      <c r="Z32" s="17" t="str">
        <f t="shared" si="6"/>
        <v/>
      </c>
      <c r="AA32" s="17" t="str">
        <f t="shared" si="6"/>
        <v/>
      </c>
      <c r="AB32" s="17" t="str">
        <f t="shared" si="6"/>
        <v/>
      </c>
      <c r="AC32" s="17" t="str">
        <f t="shared" si="6"/>
        <v/>
      </c>
      <c r="AK32" s="18" t="s">
        <v>726</v>
      </c>
    </row>
    <row r="33" spans="1:37" ht="30" outlineLevel="1" x14ac:dyDescent="0.2">
      <c r="A33" s="4" t="s">
        <v>727</v>
      </c>
      <c r="B33" s="19" t="s">
        <v>728</v>
      </c>
      <c r="C33" s="4" t="s">
        <v>713</v>
      </c>
      <c r="D33" s="15">
        <v>13</v>
      </c>
      <c r="E33" s="15">
        <v>1</v>
      </c>
      <c r="F33" s="16">
        <f>MEDIAN($F31,$G31,$F31+ROUND((D33-$D31)/$E31*($G31-$F31+1),0))</f>
        <v>13</v>
      </c>
      <c r="G33" s="16">
        <f>MEDIAN(F33,$G31,$F31+ROUND((D33+E33-$D31)/$E31*($G31-$F31+1),0)-1)</f>
        <v>13</v>
      </c>
      <c r="H33" s="4"/>
      <c r="I33" s="4"/>
      <c r="J33" s="4"/>
      <c r="K33" s="4"/>
      <c r="L33" s="17" t="str">
        <f t="shared" si="5"/>
        <v/>
      </c>
      <c r="M33" s="17" t="str">
        <f t="shared" si="5"/>
        <v/>
      </c>
      <c r="N33" s="17" t="str">
        <f t="shared" si="5"/>
        <v/>
      </c>
      <c r="O33" s="17" t="str">
        <f t="shared" si="5"/>
        <v/>
      </c>
      <c r="P33" s="17" t="str">
        <f t="shared" si="5"/>
        <v/>
      </c>
      <c r="Q33" s="17" t="str">
        <f t="shared" si="5"/>
        <v/>
      </c>
      <c r="R33" s="17" t="str">
        <f t="shared" si="5"/>
        <v/>
      </c>
      <c r="S33" s="17" t="str">
        <f t="shared" si="5"/>
        <v/>
      </c>
      <c r="T33" s="17" t="str">
        <f t="shared" si="5"/>
        <v/>
      </c>
      <c r="U33" s="17" t="str">
        <f t="shared" si="5"/>
        <v/>
      </c>
      <c r="V33" s="17" t="str">
        <f t="shared" si="6"/>
        <v/>
      </c>
      <c r="W33" s="17" t="str">
        <f t="shared" si="6"/>
        <v/>
      </c>
      <c r="X33" s="17">
        <f t="shared" si="6"/>
        <v>1</v>
      </c>
      <c r="Y33" s="17" t="str">
        <f t="shared" si="6"/>
        <v/>
      </c>
      <c r="Z33" s="17" t="str">
        <f t="shared" si="6"/>
        <v/>
      </c>
      <c r="AA33" s="17" t="str">
        <f t="shared" si="6"/>
        <v/>
      </c>
      <c r="AB33" s="17" t="str">
        <f t="shared" si="6"/>
        <v/>
      </c>
      <c r="AC33" s="17" t="str">
        <f t="shared" si="6"/>
        <v/>
      </c>
      <c r="AK33" s="18" t="s">
        <v>729</v>
      </c>
    </row>
    <row r="34" spans="1:37" outlineLevel="1" x14ac:dyDescent="0.2">
      <c r="A34" s="4" t="s">
        <v>730</v>
      </c>
      <c r="B34" s="19" t="s">
        <v>731</v>
      </c>
      <c r="C34" s="4" t="s">
        <v>713</v>
      </c>
      <c r="D34" s="15">
        <v>14</v>
      </c>
      <c r="E34" s="15">
        <v>1</v>
      </c>
      <c r="F34" s="16">
        <f>MEDIAN($F31,$G31,$F31+ROUND((D34-$D31)/$E31*($G31-$F31+1),0))</f>
        <v>14</v>
      </c>
      <c r="G34" s="16">
        <f>MEDIAN(F34,$G31,$F31+ROUND((D34+E34-$D31)/$E31*($G31-$F31+1),0)-1)</f>
        <v>14</v>
      </c>
      <c r="H34" s="4"/>
      <c r="I34" s="4"/>
      <c r="J34" s="4"/>
      <c r="K34" s="4"/>
      <c r="L34" s="17" t="str">
        <f t="shared" si="5"/>
        <v/>
      </c>
      <c r="M34" s="17" t="str">
        <f t="shared" si="5"/>
        <v/>
      </c>
      <c r="N34" s="17" t="str">
        <f t="shared" si="5"/>
        <v/>
      </c>
      <c r="O34" s="17" t="str">
        <f t="shared" si="5"/>
        <v/>
      </c>
      <c r="P34" s="17" t="str">
        <f t="shared" si="5"/>
        <v/>
      </c>
      <c r="Q34" s="17" t="str">
        <f t="shared" si="5"/>
        <v/>
      </c>
      <c r="R34" s="17" t="str">
        <f t="shared" si="5"/>
        <v/>
      </c>
      <c r="S34" s="17" t="str">
        <f t="shared" si="5"/>
        <v/>
      </c>
      <c r="T34" s="17" t="str">
        <f t="shared" si="5"/>
        <v/>
      </c>
      <c r="U34" s="17" t="str">
        <f t="shared" si="5"/>
        <v/>
      </c>
      <c r="V34" s="17" t="str">
        <f t="shared" si="6"/>
        <v/>
      </c>
      <c r="W34" s="17" t="str">
        <f t="shared" si="6"/>
        <v/>
      </c>
      <c r="X34" s="17" t="str">
        <f t="shared" si="6"/>
        <v/>
      </c>
      <c r="Y34" s="17">
        <f t="shared" si="6"/>
        <v>1</v>
      </c>
      <c r="Z34" s="17" t="str">
        <f t="shared" si="6"/>
        <v/>
      </c>
      <c r="AA34" s="17" t="str">
        <f t="shared" si="6"/>
        <v/>
      </c>
      <c r="AB34" s="17" t="str">
        <f t="shared" si="6"/>
        <v/>
      </c>
      <c r="AC34" s="17" t="str">
        <f t="shared" si="6"/>
        <v/>
      </c>
      <c r="AK34" s="18" t="s">
        <v>732</v>
      </c>
    </row>
  </sheetData>
  <mergeCells count="2">
    <mergeCell ref="A1:AC1"/>
    <mergeCell ref="A2:AC2"/>
  </mergeCells>
  <conditionalFormatting sqref="L7:AC7">
    <cfRule type="expression" dxfId="15" priority="2">
      <formula>AND(L$4&gt;=$F7,L$4&lt;=$G7)</formula>
    </cfRule>
  </conditionalFormatting>
  <conditionalFormatting sqref="L8:AC9">
    <cfRule type="expression" dxfId="14" priority="3">
      <formula>AND(L$4&gt;=$F8,L$4&lt;=$G8)</formula>
    </cfRule>
  </conditionalFormatting>
  <conditionalFormatting sqref="L10:AC10">
    <cfRule type="expression" dxfId="13" priority="5">
      <formula>AND(L$4&gt;=$F10,L$4&lt;=$G10)</formula>
    </cfRule>
  </conditionalFormatting>
  <conditionalFormatting sqref="L11:AC12">
    <cfRule type="expression" dxfId="12" priority="6">
      <formula>AND(L$4&gt;=$F11,L$4&lt;=$G11)</formula>
    </cfRule>
  </conditionalFormatting>
  <conditionalFormatting sqref="L13:AC13">
    <cfRule type="expression" dxfId="11" priority="8">
      <formula>AND(L$4&gt;=$F13,L$4&lt;=$G13)</formula>
    </cfRule>
  </conditionalFormatting>
  <conditionalFormatting sqref="L14:AC16">
    <cfRule type="expression" dxfId="10" priority="9">
      <formula>AND(L$4&gt;=$F14,L$4&lt;=$G14)</formula>
    </cfRule>
  </conditionalFormatting>
  <conditionalFormatting sqref="L17:AC17">
    <cfRule type="expression" dxfId="9" priority="12">
      <formula>AND(L$4&gt;=$F17,L$4&lt;=$G17)</formula>
    </cfRule>
  </conditionalFormatting>
  <conditionalFormatting sqref="L18:AC20">
    <cfRule type="expression" dxfId="8" priority="13">
      <formula>AND(L$4&gt;=$F18,L$4&lt;=$G18)</formula>
    </cfRule>
  </conditionalFormatting>
  <conditionalFormatting sqref="L21:AC21">
    <cfRule type="expression" dxfId="7" priority="16">
      <formula>AND(L$4&gt;=$F21,L$4&lt;=$G21)</formula>
    </cfRule>
  </conditionalFormatting>
  <conditionalFormatting sqref="L22:AC24">
    <cfRule type="expression" dxfId="6" priority="17">
      <formula>AND(L$4&gt;=$F22,L$4&lt;=$G22)</formula>
    </cfRule>
  </conditionalFormatting>
  <conditionalFormatting sqref="L25:AC25">
    <cfRule type="expression" dxfId="5" priority="20">
      <formula>AND(L$4&gt;=$F25,L$4&lt;=$G25)</formula>
    </cfRule>
  </conditionalFormatting>
  <conditionalFormatting sqref="L26:AC27">
    <cfRule type="expression" dxfId="4" priority="21">
      <formula>AND(L$4&gt;=$F26,L$4&lt;=$G26)</formula>
    </cfRule>
  </conditionalFormatting>
  <conditionalFormatting sqref="L28:AC28">
    <cfRule type="expression" dxfId="3" priority="23">
      <formula>AND(L$4&gt;=$F28,L$4&lt;=$G28)</formula>
    </cfRule>
  </conditionalFormatting>
  <conditionalFormatting sqref="L29:AC30">
    <cfRule type="expression" dxfId="2" priority="24">
      <formula>AND(L$4&gt;=$F29,L$4&lt;=$G29)</formula>
    </cfRule>
  </conditionalFormatting>
  <conditionalFormatting sqref="L31:AC31">
    <cfRule type="expression" dxfId="1" priority="26">
      <formula>AND(L$4&gt;=$F31,L$4&lt;=$G31)</formula>
    </cfRule>
  </conditionalFormatting>
  <conditionalFormatting sqref="L32:AC34">
    <cfRule type="expression" dxfId="0" priority="27">
      <formula>AND(L$4&gt;=$F32,L$4&lt;=$G32)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9"/>
  <sheetViews>
    <sheetView showGridLines="0" zoomScaleNormal="100" workbookViewId="0">
      <pane ySplit="3" topLeftCell="A4" activePane="bottomLeft" state="frozen"/>
      <selection pane="bottomLeft" activeCell="E23" sqref="E23"/>
    </sheetView>
  </sheetViews>
  <sheetFormatPr baseColWidth="10" defaultColWidth="8.6640625" defaultRowHeight="14" x14ac:dyDescent="0.2"/>
  <cols>
    <col min="1" max="1" width="22" style="4" customWidth="1"/>
    <col min="2" max="2" width="34" style="21" customWidth="1"/>
    <col min="3" max="3" width="44.5" style="21" customWidth="1"/>
    <col min="4" max="4" width="25.1640625" style="4" customWidth="1"/>
    <col min="5" max="5" width="70" style="4" customWidth="1"/>
    <col min="6" max="16384" width="8.6640625" style="4"/>
  </cols>
  <sheetData>
    <row r="1" spans="1:5" ht="18" customHeight="1" x14ac:dyDescent="0.2">
      <c r="A1" s="11" t="s">
        <v>733</v>
      </c>
      <c r="B1" s="11"/>
      <c r="C1" s="11"/>
      <c r="D1" s="11"/>
      <c r="E1" s="11"/>
    </row>
    <row r="2" spans="1:5" ht="30" customHeight="1" x14ac:dyDescent="0.2">
      <c r="A2" s="13" t="str">
        <f>"This sheet is a static restatement (not formula-linked) of every non-VERIFIED line elsewhere in the workbook, so a reviewer can find every place a number was estimated rather than sourced, and what to do to correct it."</f>
        <v>This sheet is a static restatement (not formula-linked) of every non-VERIFIED line elsewhere in the workbook, so a reviewer can find every place a number was estimated rather than sourced, and what to do to correct it.</v>
      </c>
      <c r="B2" s="13"/>
      <c r="C2" s="13"/>
      <c r="D2" s="13"/>
      <c r="E2" s="13"/>
    </row>
    <row r="3" spans="1:5" ht="15" x14ac:dyDescent="0.2">
      <c r="A3" s="2" t="s">
        <v>734</v>
      </c>
      <c r="B3" s="20" t="s">
        <v>735</v>
      </c>
      <c r="C3" s="20" t="s">
        <v>736</v>
      </c>
      <c r="D3" s="2" t="s">
        <v>76</v>
      </c>
      <c r="E3" s="2" t="s">
        <v>737</v>
      </c>
    </row>
    <row r="4" spans="1:5" ht="27.75" customHeight="1" x14ac:dyDescent="0.2">
      <c r="A4" s="4" t="s">
        <v>738</v>
      </c>
      <c r="B4" s="21" t="s">
        <v>409</v>
      </c>
      <c r="C4" s="21" t="s">
        <v>410</v>
      </c>
      <c r="D4" s="6" t="s">
        <v>28</v>
      </c>
      <c r="E4" s="7" t="s">
        <v>412</v>
      </c>
    </row>
    <row r="5" spans="1:5" ht="27.75" customHeight="1" x14ac:dyDescent="0.2">
      <c r="A5" s="4" t="s">
        <v>739</v>
      </c>
      <c r="B5" s="21" t="s">
        <v>413</v>
      </c>
      <c r="C5" s="21" t="s">
        <v>414</v>
      </c>
      <c r="D5" s="6" t="s">
        <v>28</v>
      </c>
      <c r="E5" s="7" t="s">
        <v>415</v>
      </c>
    </row>
    <row r="6" spans="1:5" ht="27.75" customHeight="1" x14ac:dyDescent="0.2">
      <c r="A6" s="4" t="s">
        <v>740</v>
      </c>
      <c r="B6" s="21" t="s">
        <v>422</v>
      </c>
      <c r="C6" s="21" t="s">
        <v>423</v>
      </c>
      <c r="D6" s="6" t="s">
        <v>28</v>
      </c>
      <c r="E6" s="7" t="s">
        <v>424</v>
      </c>
    </row>
    <row r="7" spans="1:5" ht="27.75" customHeight="1" x14ac:dyDescent="0.2">
      <c r="A7" s="4" t="s">
        <v>741</v>
      </c>
      <c r="B7" s="21" t="s">
        <v>444</v>
      </c>
      <c r="C7" s="21" t="s">
        <v>445</v>
      </c>
      <c r="D7" s="6" t="s">
        <v>28</v>
      </c>
      <c r="E7" s="7" t="s">
        <v>446</v>
      </c>
    </row>
    <row r="8" spans="1:5" ht="27.75" customHeight="1" x14ac:dyDescent="0.2">
      <c r="A8" s="4" t="s">
        <v>742</v>
      </c>
      <c r="B8" s="21" t="s">
        <v>451</v>
      </c>
      <c r="C8" s="21" t="s">
        <v>452</v>
      </c>
      <c r="D8" s="6" t="s">
        <v>453</v>
      </c>
      <c r="E8" s="7" t="s">
        <v>454</v>
      </c>
    </row>
    <row r="9" spans="1:5" ht="27.75" customHeight="1" x14ac:dyDescent="0.2">
      <c r="A9" s="4" t="s">
        <v>743</v>
      </c>
      <c r="B9" s="21" t="s">
        <v>478</v>
      </c>
      <c r="C9" s="21" t="s">
        <v>479</v>
      </c>
      <c r="D9" s="6" t="s">
        <v>28</v>
      </c>
      <c r="E9" s="7" t="s">
        <v>480</v>
      </c>
    </row>
    <row r="10" spans="1:5" ht="27.75" customHeight="1" x14ac:dyDescent="0.2">
      <c r="A10" s="4" t="s">
        <v>744</v>
      </c>
      <c r="B10" s="21" t="s">
        <v>481</v>
      </c>
      <c r="C10" s="21" t="s">
        <v>482</v>
      </c>
      <c r="D10" s="6" t="s">
        <v>28</v>
      </c>
      <c r="E10" s="7" t="s">
        <v>483</v>
      </c>
    </row>
    <row r="11" spans="1:5" ht="27.75" customHeight="1" x14ac:dyDescent="0.2">
      <c r="A11" s="4" t="s">
        <v>745</v>
      </c>
      <c r="B11" s="21" t="s">
        <v>493</v>
      </c>
      <c r="C11" s="21" t="s">
        <v>494</v>
      </c>
      <c r="D11" s="6" t="s">
        <v>28</v>
      </c>
      <c r="E11" s="7" t="s">
        <v>495</v>
      </c>
    </row>
    <row r="12" spans="1:5" ht="27.75" customHeight="1" x14ac:dyDescent="0.2">
      <c r="A12" s="4" t="s">
        <v>746</v>
      </c>
      <c r="B12" s="21" t="s">
        <v>497</v>
      </c>
      <c r="C12" s="21" t="s">
        <v>498</v>
      </c>
      <c r="D12" s="6" t="s">
        <v>453</v>
      </c>
      <c r="E12" s="7" t="s">
        <v>499</v>
      </c>
    </row>
    <row r="13" spans="1:5" ht="27.75" customHeight="1" x14ac:dyDescent="0.2">
      <c r="A13" s="4" t="s">
        <v>747</v>
      </c>
      <c r="B13" s="21" t="s">
        <v>504</v>
      </c>
      <c r="C13" s="21" t="s">
        <v>505</v>
      </c>
      <c r="D13" s="6" t="s">
        <v>28</v>
      </c>
      <c r="E13" s="7" t="s">
        <v>506</v>
      </c>
    </row>
    <row r="14" spans="1:5" ht="27.75" customHeight="1" x14ac:dyDescent="0.2">
      <c r="A14" s="4" t="s">
        <v>748</v>
      </c>
      <c r="B14" s="21" t="s">
        <v>510</v>
      </c>
      <c r="C14" s="21" t="s">
        <v>511</v>
      </c>
      <c r="D14" s="6" t="s">
        <v>28</v>
      </c>
      <c r="E14" s="7" t="s">
        <v>512</v>
      </c>
    </row>
    <row r="15" spans="1:5" ht="27.75" customHeight="1" x14ac:dyDescent="0.2">
      <c r="A15" s="4" t="s">
        <v>749</v>
      </c>
      <c r="B15" s="21" t="s">
        <v>516</v>
      </c>
      <c r="C15" s="21" t="s">
        <v>517</v>
      </c>
      <c r="D15" s="6" t="s">
        <v>28</v>
      </c>
      <c r="E15" s="7" t="s">
        <v>520</v>
      </c>
    </row>
    <row r="16" spans="1:5" ht="27.75" customHeight="1" x14ac:dyDescent="0.2">
      <c r="A16" s="4" t="s">
        <v>750</v>
      </c>
      <c r="B16" s="21" t="s">
        <v>524</v>
      </c>
      <c r="C16" s="21" t="s">
        <v>525</v>
      </c>
      <c r="D16" s="6" t="s">
        <v>28</v>
      </c>
      <c r="E16" s="7" t="s">
        <v>527</v>
      </c>
    </row>
    <row r="17" spans="1:5" ht="27.75" customHeight="1" x14ac:dyDescent="0.2">
      <c r="A17" s="4" t="s">
        <v>751</v>
      </c>
      <c r="B17" s="21" t="s">
        <v>531</v>
      </c>
      <c r="C17" s="21" t="s">
        <v>532</v>
      </c>
      <c r="D17" s="6" t="s">
        <v>28</v>
      </c>
      <c r="E17" s="7" t="s">
        <v>533</v>
      </c>
    </row>
    <row r="18" spans="1:5" ht="27.75" customHeight="1" x14ac:dyDescent="0.2">
      <c r="A18" s="4" t="s">
        <v>752</v>
      </c>
      <c r="B18" s="21" t="s">
        <v>534</v>
      </c>
      <c r="C18" s="21" t="s">
        <v>535</v>
      </c>
      <c r="D18" s="6" t="s">
        <v>453</v>
      </c>
      <c r="E18" s="7" t="s">
        <v>536</v>
      </c>
    </row>
    <row r="20" spans="1:5" x14ac:dyDescent="0.2">
      <c r="A20" s="3" t="s">
        <v>753</v>
      </c>
      <c r="B20" s="3"/>
      <c r="C20" s="3"/>
      <c r="D20" s="3"/>
      <c r="E20" s="3"/>
    </row>
    <row r="21" spans="1:5" ht="90" x14ac:dyDescent="0.2">
      <c r="A21" s="4" t="s">
        <v>754</v>
      </c>
      <c r="B21" s="21" t="s">
        <v>50</v>
      </c>
      <c r="C21" s="21" t="s">
        <v>755</v>
      </c>
      <c r="D21" s="6" t="s">
        <v>28</v>
      </c>
      <c r="E21" s="7" t="s">
        <v>756</v>
      </c>
    </row>
    <row r="22" spans="1:5" ht="60" x14ac:dyDescent="0.2">
      <c r="A22" s="4" t="s">
        <v>754</v>
      </c>
      <c r="B22" s="21" t="s">
        <v>55</v>
      </c>
      <c r="C22" s="21" t="s">
        <v>757</v>
      </c>
      <c r="D22" s="6" t="s">
        <v>28</v>
      </c>
      <c r="E22" s="7" t="s">
        <v>758</v>
      </c>
    </row>
    <row r="23" spans="1:5" ht="45" x14ac:dyDescent="0.2">
      <c r="A23" s="4" t="s">
        <v>739</v>
      </c>
      <c r="B23" s="21" t="s">
        <v>413</v>
      </c>
      <c r="C23" s="21" t="s">
        <v>759</v>
      </c>
      <c r="D23" s="6" t="s">
        <v>453</v>
      </c>
      <c r="E23" s="7" t="s">
        <v>760</v>
      </c>
    </row>
    <row r="24" spans="1:5" ht="60" x14ac:dyDescent="0.2">
      <c r="A24" s="4" t="s">
        <v>742</v>
      </c>
      <c r="B24" s="21" t="s">
        <v>451</v>
      </c>
      <c r="C24" s="21" t="s">
        <v>761</v>
      </c>
      <c r="D24" s="6" t="s">
        <v>453</v>
      </c>
      <c r="E24" s="7" t="s">
        <v>762</v>
      </c>
    </row>
    <row r="25" spans="1:5" ht="30" x14ac:dyDescent="0.2">
      <c r="A25" s="4" t="s">
        <v>746</v>
      </c>
      <c r="B25" s="21" t="s">
        <v>497</v>
      </c>
      <c r="C25" s="21" t="s">
        <v>763</v>
      </c>
      <c r="D25" s="6" t="s">
        <v>453</v>
      </c>
      <c r="E25" s="7" t="s">
        <v>764</v>
      </c>
    </row>
    <row r="26" spans="1:5" ht="45" x14ac:dyDescent="0.2">
      <c r="A26" s="4" t="s">
        <v>752</v>
      </c>
      <c r="B26" s="21" t="s">
        <v>534</v>
      </c>
      <c r="C26" s="21" t="s">
        <v>765</v>
      </c>
      <c r="D26" s="6" t="s">
        <v>453</v>
      </c>
      <c r="E26" s="7" t="s">
        <v>766</v>
      </c>
    </row>
    <row r="27" spans="1:5" ht="60" x14ac:dyDescent="0.2">
      <c r="A27" s="4" t="s">
        <v>767</v>
      </c>
      <c r="B27" s="21" t="s">
        <v>768</v>
      </c>
      <c r="C27" s="21" t="s">
        <v>769</v>
      </c>
      <c r="D27" s="6" t="s">
        <v>35</v>
      </c>
      <c r="E27" s="7" t="s">
        <v>770</v>
      </c>
    </row>
    <row r="28" spans="1:5" ht="75" x14ac:dyDescent="0.2">
      <c r="A28" s="4" t="s">
        <v>771</v>
      </c>
      <c r="B28" s="21" t="s">
        <v>772</v>
      </c>
      <c r="C28" s="21" t="s">
        <v>773</v>
      </c>
      <c r="D28" s="6" t="s">
        <v>774</v>
      </c>
      <c r="E28" s="7" t="s">
        <v>775</v>
      </c>
    </row>
    <row r="29" spans="1:5" ht="60" x14ac:dyDescent="0.2">
      <c r="A29" s="4" t="s">
        <v>776</v>
      </c>
      <c r="B29" s="21" t="s">
        <v>777</v>
      </c>
      <c r="C29" s="21" t="s">
        <v>778</v>
      </c>
      <c r="D29" s="6" t="s">
        <v>28</v>
      </c>
      <c r="E29" s="7" t="s">
        <v>779</v>
      </c>
    </row>
  </sheetData>
  <mergeCells count="3">
    <mergeCell ref="A1:E1"/>
    <mergeCell ref="A2:E2"/>
    <mergeCell ref="A20:E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25</vt:i4>
      </vt:variant>
    </vt:vector>
  </HeadingPairs>
  <TitlesOfParts>
    <vt:vector size="33" baseType="lpstr">
      <vt:lpstr>Overview</vt:lpstr>
      <vt:lpstr>Control Panel &gt;&gt;&gt;</vt:lpstr>
      <vt:lpstr>Rates</vt:lpstr>
      <vt:lpstr>Pod Build</vt:lpstr>
      <vt:lpstr>Monthly TCO</vt:lpstr>
      <vt:lpstr>12mo Run Cost</vt:lpstr>
      <vt:lpstr>Gantt</vt:lpstr>
      <vt:lpstr>Assumptions</vt:lpstr>
      <vt:lpstr>AuroraSize</vt:lpstr>
      <vt:lpstr>CallsPerItem</vt:lpstr>
      <vt:lpstr>ContingencyPct</vt:lpstr>
      <vt:lpstr>DatasetCount</vt:lpstr>
      <vt:lpstr>DeliveriesPerMonth</vt:lpstr>
      <vt:lpstr>EnvMultiplier</vt:lpstr>
      <vt:lpstr>GanttCorrGoLive</vt:lpstr>
      <vt:lpstr>HitlPct</vt:lpstr>
      <vt:lpstr>InputTokensPerCallK</vt:lpstr>
      <vt:lpstr>ItemsPerMonth</vt:lpstr>
      <vt:lpstr>LlmItems</vt:lpstr>
      <vt:lpstr>LlmReachablePct</vt:lpstr>
      <vt:lpstr>ModelSKU</vt:lpstr>
      <vt:lpstr>MonthlyTCO</vt:lpstr>
      <vt:lpstr>OutputTokensPerCallK</vt:lpstr>
      <vt:lpstr>PointRate</vt:lpstr>
      <vt:lpstr>ProductsPerDelivery</vt:lpstr>
      <vt:lpstr>RampM1</vt:lpstr>
      <vt:lpstr>RampM2</vt:lpstr>
      <vt:lpstr>RampM3Plus</vt:lpstr>
      <vt:lpstr>Run12mo</vt:lpstr>
      <vt:lpstr>SlipWeeks</vt:lpstr>
      <vt:lpstr>StoragePerItemKB</vt:lpstr>
      <vt:lpstr>TotalBuildCost</vt:lpstr>
      <vt:lpstr>TotalBuildPoints</vt:lpstr>
    </vt:vector>
  </TitlesOfParts>
  <Manager/>
  <Company>Cognizant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Lui</dc:creator>
  <cp:keywords/>
  <dc:description/>
  <cp:lastModifiedBy>A Lui</cp:lastModifiedBy>
  <cp:revision>3</cp:revision>
  <dcterms:created xsi:type="dcterms:W3CDTF">2026-07-22T17:35:12Z</dcterms:created>
  <dcterms:modified xsi:type="dcterms:W3CDTF">2026-07-23T09:41:49Z</dcterms:modified>
  <cp:category/>
  <dc:language>en-GB</dc:language>
</cp:coreProperties>
</file>